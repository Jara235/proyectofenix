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36CCEE95-424F-496F-9635-9FFD5889B0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2" r:id="rId1"/>
    <sheet name="Resumen_Ejecutivo_Copia" sheetId="15" r:id="rId2"/>
    <sheet name="Dashboard_Copia" sheetId="14" r:id="rId3"/>
    <sheet name="Base_Datos" sheetId="13" r:id="rId4"/>
    <sheet name="Dashboard_Ejecutivo" sheetId="11" r:id="rId5"/>
    <sheet name="Captura_Pegaso" sheetId="2" r:id="rId6"/>
    <sheet name="Captura_Marimba_M01" sheetId="3" r:id="rId7"/>
    <sheet name="Solicitudes" sheetId="10" r:id="rId8"/>
    <sheet name="Captura_Obra" sheetId="4" r:id="rId9"/>
    <sheet name="Catalogos" sheetId="6" r:id="rId10"/>
  </sheets>
  <calcPr calcId="191029"/>
  <pivotCaches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3" l="1"/>
  <c r="A35" i="13"/>
  <c r="A36" i="13"/>
  <c r="A37" i="13"/>
  <c r="A38" i="13"/>
  <c r="A39" i="13"/>
  <c r="A40" i="13"/>
  <c r="A41" i="13"/>
  <c r="A42" i="13"/>
  <c r="A43" i="13"/>
  <c r="A754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755" i="13"/>
  <c r="A127" i="13"/>
  <c r="A128" i="13"/>
  <c r="A129" i="13"/>
  <c r="A130" i="13"/>
  <c r="A138" i="13"/>
  <c r="A139" i="13"/>
  <c r="A140" i="13"/>
  <c r="A141" i="13"/>
  <c r="A142" i="13"/>
  <c r="A143" i="13"/>
  <c r="A144" i="13"/>
  <c r="A756" i="13"/>
  <c r="A757" i="13"/>
  <c r="A758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206" i="13"/>
  <c r="A207" i="13"/>
  <c r="A208" i="13"/>
  <c r="A209" i="13"/>
  <c r="A210" i="13"/>
  <c r="A211" i="13"/>
  <c r="A212" i="13"/>
  <c r="A213" i="13"/>
  <c r="A214" i="13"/>
  <c r="A215" i="13"/>
  <c r="A216" i="13"/>
  <c r="A759" i="13"/>
  <c r="A760" i="13"/>
  <c r="A761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25" i="13"/>
  <c r="A326" i="13"/>
  <c r="A327" i="13"/>
  <c r="A328" i="13"/>
  <c r="A329" i="13"/>
  <c r="A330" i="13"/>
  <c r="A331" i="13"/>
  <c r="A332" i="13"/>
  <c r="A333" i="13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357" i="13"/>
  <c r="A358" i="13"/>
  <c r="A359" i="13"/>
  <c r="A360" i="13"/>
  <c r="A361" i="13"/>
  <c r="A362" i="13"/>
  <c r="A363" i="13"/>
  <c r="A762" i="13"/>
  <c r="A763" i="13"/>
  <c r="A392" i="13"/>
  <c r="A393" i="13"/>
  <c r="A394" i="13"/>
  <c r="A395" i="13"/>
  <c r="A396" i="13"/>
  <c r="A397" i="13"/>
  <c r="A398" i="13"/>
  <c r="A399" i="13"/>
  <c r="A400" i="13"/>
  <c r="A436" i="13"/>
  <c r="A437" i="13"/>
  <c r="A438" i="13"/>
  <c r="A439" i="13"/>
  <c r="A440" i="13"/>
  <c r="A441" i="13"/>
  <c r="A442" i="13"/>
  <c r="A443" i="13"/>
  <c r="A444" i="13"/>
  <c r="A477" i="13"/>
  <c r="A478" i="13"/>
  <c r="A479" i="13"/>
  <c r="A480" i="13"/>
  <c r="A481" i="13"/>
  <c r="A482" i="13"/>
  <c r="A483" i="13"/>
  <c r="A484" i="13"/>
  <c r="A485" i="13"/>
  <c r="A522" i="13"/>
  <c r="A523" i="13"/>
  <c r="A524" i="13"/>
  <c r="A525" i="13"/>
  <c r="A526" i="13"/>
  <c r="A527" i="13"/>
  <c r="A528" i="13"/>
  <c r="A529" i="13"/>
  <c r="A530" i="13"/>
  <c r="A567" i="13"/>
  <c r="A568" i="13"/>
  <c r="A569" i="13"/>
  <c r="A570" i="13"/>
  <c r="A571" i="13"/>
  <c r="A572" i="13"/>
  <c r="A573" i="13"/>
  <c r="A574" i="13"/>
  <c r="A575" i="13"/>
  <c r="A401" i="13"/>
  <c r="A402" i="13"/>
  <c r="A403" i="13"/>
  <c r="A404" i="13"/>
  <c r="A445" i="13"/>
  <c r="A446" i="13"/>
  <c r="A486" i="13"/>
  <c r="A487" i="13"/>
  <c r="A488" i="13"/>
  <c r="A531" i="13"/>
  <c r="A532" i="13"/>
  <c r="A533" i="13"/>
  <c r="A576" i="13"/>
  <c r="A577" i="13"/>
  <c r="A578" i="13"/>
  <c r="A610" i="13"/>
  <c r="A405" i="13"/>
  <c r="A406" i="13"/>
  <c r="A407" i="13"/>
  <c r="A408" i="13"/>
  <c r="A409" i="13"/>
  <c r="A410" i="13"/>
  <c r="A411" i="13"/>
  <c r="A412" i="13"/>
  <c r="A447" i="13"/>
  <c r="A448" i="13"/>
  <c r="A449" i="13"/>
  <c r="A450" i="13"/>
  <c r="A451" i="13"/>
  <c r="A452" i="13"/>
  <c r="A453" i="13"/>
  <c r="A489" i="13"/>
  <c r="A490" i="13"/>
  <c r="A491" i="13"/>
  <c r="A492" i="13"/>
  <c r="A493" i="13"/>
  <c r="A494" i="13"/>
  <c r="A495" i="13"/>
  <c r="A496" i="13"/>
  <c r="A534" i="13"/>
  <c r="A535" i="13"/>
  <c r="A536" i="13"/>
  <c r="A537" i="13"/>
  <c r="A538" i="13"/>
  <c r="A539" i="13"/>
  <c r="A540" i="13"/>
  <c r="A541" i="13"/>
  <c r="A579" i="13"/>
  <c r="A580" i="13"/>
  <c r="A581" i="13"/>
  <c r="A582" i="13"/>
  <c r="A583" i="13"/>
  <c r="A584" i="13"/>
  <c r="A585" i="13"/>
  <c r="A586" i="13"/>
  <c r="A413" i="13"/>
  <c r="A414" i="13"/>
  <c r="A415" i="13"/>
  <c r="A416" i="13"/>
  <c r="A454" i="13"/>
  <c r="A455" i="13"/>
  <c r="A456" i="13"/>
  <c r="A457" i="13"/>
  <c r="A497" i="13"/>
  <c r="A498" i="13"/>
  <c r="A499" i="13"/>
  <c r="A500" i="13"/>
  <c r="A542" i="13"/>
  <c r="A543" i="13"/>
  <c r="A544" i="13"/>
  <c r="A587" i="13"/>
  <c r="A588" i="13"/>
  <c r="A589" i="13"/>
  <c r="A590" i="13"/>
  <c r="A458" i="13"/>
  <c r="A501" i="13"/>
  <c r="A502" i="13"/>
  <c r="A545" i="13"/>
  <c r="A417" i="13"/>
  <c r="A459" i="13"/>
  <c r="A503" i="13"/>
  <c r="A546" i="13"/>
  <c r="A591" i="13"/>
  <c r="A620" i="13"/>
  <c r="A621" i="13"/>
  <c r="A622" i="13"/>
  <c r="A623" i="13"/>
  <c r="A653" i="13"/>
  <c r="A654" i="13"/>
  <c r="A655" i="13"/>
  <c r="A656" i="13"/>
  <c r="A678" i="13"/>
  <c r="A679" i="13"/>
  <c r="A680" i="13"/>
  <c r="A701" i="13"/>
  <c r="A702" i="13"/>
  <c r="A703" i="13"/>
  <c r="A704" i="13"/>
  <c r="A705" i="13"/>
  <c r="A720" i="13"/>
  <c r="A721" i="13"/>
  <c r="A722" i="13"/>
  <c r="A738" i="13"/>
  <c r="A739" i="13"/>
  <c r="A740" i="13"/>
  <c r="A741" i="13"/>
  <c r="A752" i="13"/>
  <c r="A753" i="13"/>
  <c r="A624" i="13"/>
  <c r="A657" i="13"/>
  <c r="A681" i="13"/>
  <c r="A706" i="13"/>
  <c r="A723" i="13"/>
  <c r="A742" i="13"/>
  <c r="A625" i="13"/>
  <c r="A658" i="13"/>
  <c r="A682" i="13"/>
  <c r="A707" i="13"/>
  <c r="A724" i="13"/>
  <c r="A743" i="13"/>
  <c r="A626" i="13"/>
  <c r="A659" i="13"/>
  <c r="A683" i="13"/>
  <c r="A708" i="13"/>
  <c r="A725" i="13"/>
  <c r="A744" i="13"/>
  <c r="A627" i="13"/>
  <c r="A660" i="13"/>
  <c r="A684" i="13"/>
  <c r="A709" i="13"/>
  <c r="A726" i="13"/>
  <c r="A745" i="13"/>
  <c r="A628" i="13"/>
  <c r="A661" i="13"/>
  <c r="A685" i="13"/>
  <c r="A710" i="13"/>
  <c r="A727" i="13"/>
  <c r="A746" i="13"/>
  <c r="A629" i="13"/>
  <c r="A662" i="13"/>
  <c r="A686" i="13"/>
  <c r="A711" i="13"/>
  <c r="A728" i="13"/>
  <c r="A747" i="13"/>
  <c r="A630" i="13"/>
  <c r="A663" i="13"/>
  <c r="A687" i="13"/>
  <c r="A712" i="13"/>
  <c r="A729" i="13"/>
  <c r="A748" i="13"/>
  <c r="A631" i="13"/>
  <c r="A664" i="13"/>
  <c r="A688" i="13"/>
  <c r="A713" i="13"/>
  <c r="A730" i="13"/>
  <c r="A749" i="13"/>
  <c r="A632" i="13"/>
  <c r="A665" i="13"/>
  <c r="A689" i="13"/>
  <c r="A714" i="13"/>
  <c r="A731" i="13"/>
  <c r="A633" i="13"/>
  <c r="A666" i="13"/>
  <c r="A690" i="13"/>
  <c r="A715" i="13"/>
  <c r="A732" i="13"/>
  <c r="A667" i="13"/>
  <c r="A691" i="13"/>
  <c r="A716" i="13"/>
  <c r="A733" i="13"/>
  <c r="A750" i="13"/>
  <c r="A668" i="13"/>
  <c r="A692" i="13"/>
  <c r="A717" i="13"/>
  <c r="A734" i="13"/>
  <c r="A634" i="13"/>
  <c r="A669" i="13"/>
  <c r="A693" i="13"/>
  <c r="A718" i="13"/>
  <c r="A735" i="13"/>
  <c r="A670" i="13"/>
  <c r="A694" i="13"/>
  <c r="A719" i="13"/>
  <c r="A736" i="13"/>
  <c r="A751" i="13"/>
  <c r="A695" i="13"/>
  <c r="A73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31" i="13"/>
  <c r="A132" i="13"/>
  <c r="A133" i="13"/>
  <c r="A13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305" i="13"/>
  <c r="A306" i="13"/>
  <c r="A307" i="13"/>
  <c r="A308" i="13"/>
  <c r="A309" i="13"/>
  <c r="A310" i="13"/>
  <c r="A311" i="13"/>
  <c r="A312" i="13"/>
  <c r="A313" i="13"/>
  <c r="A314" i="13"/>
  <c r="A334" i="13"/>
  <c r="A335" i="13"/>
  <c r="A336" i="13"/>
  <c r="A337" i="13"/>
  <c r="A338" i="13"/>
  <c r="A339" i="13"/>
  <c r="A340" i="13"/>
  <c r="A341" i="13"/>
  <c r="A342" i="13"/>
  <c r="A34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60" i="13"/>
  <c r="A461" i="13"/>
  <c r="A462" i="13"/>
  <c r="A463" i="13"/>
  <c r="A464" i="13"/>
  <c r="A465" i="13"/>
  <c r="A466" i="13"/>
  <c r="A467" i="13"/>
  <c r="A468" i="13"/>
  <c r="A469" i="13"/>
  <c r="A470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11" i="13"/>
  <c r="A612" i="13"/>
  <c r="A613" i="13"/>
  <c r="A614" i="13"/>
  <c r="A615" i="13"/>
  <c r="A616" i="13"/>
  <c r="A617" i="13"/>
  <c r="A618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71" i="13"/>
  <c r="A672" i="13"/>
  <c r="A673" i="13"/>
  <c r="A674" i="13"/>
  <c r="A675" i="13"/>
  <c r="A676" i="13"/>
  <c r="A677" i="13"/>
  <c r="A696" i="13"/>
  <c r="A697" i="13"/>
  <c r="A698" i="13"/>
  <c r="A699" i="13"/>
  <c r="A700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116" i="13"/>
  <c r="A117" i="13"/>
  <c r="A118" i="13"/>
  <c r="A119" i="13"/>
  <c r="A120" i="13"/>
  <c r="A121" i="13"/>
  <c r="A122" i="13"/>
  <c r="A123" i="13"/>
  <c r="A124" i="13"/>
  <c r="A125" i="13"/>
  <c r="A126" i="13"/>
  <c r="A135" i="13"/>
  <c r="A136" i="13"/>
  <c r="A137" i="13"/>
  <c r="A160" i="13"/>
  <c r="A161" i="13"/>
  <c r="A162" i="13"/>
  <c r="A163" i="13"/>
  <c r="A164" i="13"/>
  <c r="A165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36" i="13"/>
  <c r="A237" i="13"/>
  <c r="A238" i="13"/>
  <c r="A239" i="13"/>
  <c r="A240" i="13"/>
  <c r="A241" i="13"/>
  <c r="A274" i="13"/>
  <c r="A275" i="13"/>
  <c r="A276" i="13"/>
  <c r="A277" i="13"/>
  <c r="A278" i="13"/>
  <c r="A279" i="13"/>
  <c r="A280" i="13"/>
  <c r="A315" i="13"/>
  <c r="A316" i="13"/>
  <c r="A317" i="13"/>
  <c r="A318" i="13"/>
  <c r="A319" i="13"/>
  <c r="A320" i="13"/>
  <c r="A344" i="13"/>
  <c r="A345" i="13"/>
  <c r="A346" i="13"/>
  <c r="A347" i="13"/>
  <c r="A348" i="13"/>
  <c r="A380" i="13"/>
  <c r="A381" i="13"/>
  <c r="A382" i="13"/>
  <c r="A383" i="13"/>
  <c r="A384" i="13"/>
  <c r="A349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85" i="13"/>
  <c r="A86" i="13"/>
  <c r="A166" i="13"/>
  <c r="A242" i="13"/>
  <c r="A281" i="13"/>
  <c r="A282" i="13"/>
  <c r="A321" i="13"/>
  <c r="A322" i="13"/>
  <c r="A350" i="13"/>
  <c r="A351" i="13"/>
  <c r="A352" i="13"/>
  <c r="A385" i="13"/>
  <c r="A389" i="13"/>
  <c r="A432" i="13"/>
  <c r="A433" i="13"/>
  <c r="A434" i="13"/>
  <c r="A471" i="13"/>
  <c r="A472" i="13"/>
  <c r="A517" i="13"/>
  <c r="A518" i="13"/>
  <c r="A519" i="13"/>
  <c r="A520" i="13"/>
  <c r="A608" i="13"/>
  <c r="A619" i="13"/>
  <c r="A390" i="13"/>
  <c r="A243" i="13"/>
  <c r="A244" i="13"/>
  <c r="A435" i="13"/>
  <c r="A473" i="13"/>
  <c r="A474" i="13"/>
  <c r="A475" i="13"/>
  <c r="A476" i="13"/>
  <c r="A521" i="13"/>
  <c r="A562" i="13"/>
  <c r="A563" i="13"/>
  <c r="A564" i="13"/>
  <c r="A565" i="13"/>
  <c r="A566" i="13"/>
  <c r="A609" i="13"/>
  <c r="A283" i="13"/>
  <c r="A323" i="13"/>
  <c r="A353" i="13"/>
  <c r="A354" i="13"/>
  <c r="A324" i="13"/>
  <c r="A386" i="13"/>
  <c r="A391" i="13"/>
  <c r="A245" i="13"/>
  <c r="A355" i="13"/>
  <c r="A356" i="13"/>
  <c r="A387" i="13"/>
  <c r="A388" i="13"/>
  <c r="H304" i="4"/>
  <c r="E304" i="4"/>
  <c r="H303" i="4"/>
  <c r="E303" i="4"/>
  <c r="H302" i="4"/>
  <c r="E302" i="4"/>
  <c r="H301" i="4"/>
  <c r="E301" i="4"/>
  <c r="H300" i="4"/>
  <c r="E300" i="4"/>
  <c r="H299" i="4"/>
  <c r="E299" i="4"/>
  <c r="H298" i="4"/>
  <c r="E298" i="4"/>
  <c r="H297" i="4"/>
  <c r="E297" i="4"/>
  <c r="H296" i="4"/>
  <c r="E296" i="4"/>
  <c r="H295" i="4"/>
  <c r="E295" i="4"/>
  <c r="H294" i="4"/>
  <c r="E294" i="4"/>
  <c r="H293" i="4"/>
  <c r="E293" i="4"/>
  <c r="H292" i="4"/>
  <c r="E292" i="4"/>
  <c r="H291" i="4"/>
  <c r="E291" i="4"/>
  <c r="H290" i="4"/>
  <c r="E290" i="4"/>
  <c r="H289" i="4"/>
  <c r="E289" i="4"/>
  <c r="H288" i="4"/>
  <c r="E288" i="4"/>
  <c r="H287" i="4"/>
  <c r="E287" i="4"/>
  <c r="H286" i="4"/>
  <c r="E286" i="4"/>
  <c r="H285" i="4"/>
  <c r="E285" i="4"/>
  <c r="H284" i="4"/>
  <c r="E284" i="4"/>
  <c r="H283" i="4"/>
  <c r="E283" i="4"/>
  <c r="H282" i="4"/>
  <c r="E282" i="4"/>
  <c r="H281" i="4"/>
  <c r="E281" i="4"/>
  <c r="H280" i="4"/>
  <c r="E280" i="4"/>
  <c r="H279" i="4"/>
  <c r="E279" i="4"/>
  <c r="H278" i="4"/>
  <c r="E278" i="4"/>
  <c r="H277" i="4"/>
  <c r="E277" i="4"/>
  <c r="H276" i="4"/>
  <c r="E276" i="4"/>
  <c r="H275" i="4"/>
  <c r="E275" i="4"/>
  <c r="H274" i="4"/>
  <c r="E274" i="4"/>
  <c r="H273" i="4"/>
  <c r="E273" i="4"/>
  <c r="H272" i="4"/>
  <c r="E272" i="4"/>
  <c r="H271" i="4"/>
  <c r="E271" i="4"/>
  <c r="H270" i="4"/>
  <c r="E270" i="4"/>
  <c r="H269" i="4"/>
  <c r="E269" i="4"/>
  <c r="H268" i="4"/>
  <c r="E268" i="4"/>
  <c r="H267" i="4"/>
  <c r="E267" i="4"/>
  <c r="H266" i="4"/>
  <c r="E266" i="4"/>
  <c r="H265" i="4"/>
  <c r="E265" i="4"/>
  <c r="H264" i="4"/>
  <c r="E264" i="4"/>
  <c r="H263" i="4"/>
  <c r="E263" i="4"/>
  <c r="H262" i="4"/>
  <c r="E262" i="4"/>
  <c r="H261" i="4"/>
  <c r="E261" i="4"/>
  <c r="H260" i="4"/>
  <c r="E260" i="4"/>
  <c r="H259" i="4"/>
  <c r="E259" i="4"/>
  <c r="H258" i="4"/>
  <c r="E258" i="4"/>
  <c r="H257" i="4"/>
  <c r="E257" i="4"/>
  <c r="H256" i="4"/>
  <c r="E256" i="4"/>
  <c r="H255" i="4"/>
  <c r="E255" i="4"/>
  <c r="H254" i="4"/>
  <c r="E254" i="4"/>
  <c r="H253" i="4"/>
  <c r="E253" i="4"/>
  <c r="H252" i="4"/>
  <c r="E252" i="4"/>
  <c r="H251" i="4"/>
  <c r="E251" i="4"/>
  <c r="H250" i="4"/>
  <c r="E250" i="4"/>
  <c r="H249" i="4"/>
  <c r="E249" i="4"/>
  <c r="H248" i="4"/>
  <c r="E248" i="4"/>
  <c r="H247" i="4"/>
  <c r="E247" i="4"/>
  <c r="H246" i="4"/>
  <c r="E246" i="4"/>
  <c r="H245" i="4"/>
  <c r="E245" i="4"/>
  <c r="H244" i="4"/>
  <c r="E244" i="4"/>
  <c r="H243" i="4"/>
  <c r="E243" i="4"/>
  <c r="H242" i="4"/>
  <c r="E242" i="4"/>
  <c r="H241" i="4"/>
  <c r="E241" i="4"/>
  <c r="H240" i="4"/>
  <c r="E240" i="4"/>
  <c r="H239" i="4"/>
  <c r="E239" i="4"/>
  <c r="H238" i="4"/>
  <c r="E238" i="4"/>
  <c r="H237" i="4"/>
  <c r="E237" i="4"/>
  <c r="H236" i="4"/>
  <c r="E236" i="4"/>
  <c r="H235" i="4"/>
  <c r="E235" i="4"/>
  <c r="H234" i="4"/>
  <c r="E234" i="4"/>
  <c r="H233" i="4"/>
  <c r="E233" i="4"/>
  <c r="H232" i="4"/>
  <c r="E232" i="4"/>
  <c r="H231" i="4"/>
  <c r="E231" i="4"/>
  <c r="H230" i="4"/>
  <c r="E230" i="4"/>
  <c r="H229" i="4"/>
  <c r="E229" i="4"/>
  <c r="H228" i="4"/>
  <c r="E228" i="4"/>
  <c r="H227" i="4"/>
  <c r="E227" i="4"/>
  <c r="H226" i="4"/>
  <c r="E226" i="4"/>
  <c r="H225" i="4"/>
  <c r="E225" i="4"/>
  <c r="H224" i="4"/>
  <c r="E224" i="4"/>
  <c r="H223" i="4"/>
  <c r="E223" i="4"/>
  <c r="H222" i="4"/>
  <c r="E222" i="4"/>
  <c r="H221" i="4"/>
  <c r="E221" i="4"/>
  <c r="H220" i="4"/>
  <c r="E220" i="4"/>
  <c r="H219" i="4"/>
  <c r="E219" i="4"/>
  <c r="H218" i="4"/>
  <c r="E218" i="4"/>
  <c r="H217" i="4"/>
  <c r="E217" i="4"/>
  <c r="H216" i="4"/>
  <c r="E216" i="4"/>
  <c r="H215" i="4"/>
  <c r="E215" i="4"/>
  <c r="H214" i="4"/>
  <c r="E214" i="4"/>
  <c r="H213" i="4"/>
  <c r="E213" i="4"/>
  <c r="H212" i="4"/>
  <c r="E212" i="4"/>
  <c r="H211" i="4"/>
  <c r="E211" i="4"/>
  <c r="H210" i="4"/>
  <c r="E210" i="4"/>
  <c r="H209" i="4"/>
  <c r="E209" i="4"/>
  <c r="H208" i="4"/>
  <c r="E208" i="4"/>
  <c r="H207" i="4"/>
  <c r="E207" i="4"/>
  <c r="H206" i="4"/>
  <c r="E206" i="4"/>
  <c r="H205" i="4"/>
  <c r="E205" i="4"/>
  <c r="H204" i="4"/>
  <c r="E204" i="4"/>
  <c r="H203" i="4"/>
  <c r="E203" i="4"/>
  <c r="H202" i="4"/>
  <c r="E202" i="4"/>
  <c r="H201" i="4"/>
  <c r="E201" i="4"/>
  <c r="H200" i="4"/>
  <c r="E200" i="4"/>
  <c r="H199" i="4"/>
  <c r="E199" i="4"/>
  <c r="H198" i="4"/>
  <c r="E198" i="4"/>
  <c r="H197" i="4"/>
  <c r="E197" i="4"/>
  <c r="H196" i="4"/>
  <c r="E196" i="4"/>
  <c r="H195" i="4"/>
  <c r="E195" i="4"/>
  <c r="H194" i="4"/>
  <c r="E194" i="4"/>
  <c r="H193" i="4"/>
  <c r="E193" i="4"/>
  <c r="H192" i="4"/>
  <c r="E192" i="4"/>
  <c r="H191" i="4"/>
  <c r="E191" i="4"/>
  <c r="H190" i="4"/>
  <c r="E190" i="4"/>
  <c r="H189" i="4"/>
  <c r="E189" i="4"/>
  <c r="H188" i="4"/>
  <c r="E188" i="4"/>
  <c r="H187" i="4"/>
  <c r="E187" i="4"/>
  <c r="H186" i="4"/>
  <c r="E186" i="4"/>
  <c r="H185" i="4"/>
  <c r="E185" i="4"/>
  <c r="H184" i="4"/>
  <c r="E184" i="4"/>
  <c r="H183" i="4"/>
  <c r="E183" i="4"/>
  <c r="H182" i="4"/>
  <c r="E182" i="4"/>
  <c r="H181" i="4"/>
  <c r="E181" i="4"/>
  <c r="H180" i="4"/>
  <c r="E180" i="4"/>
  <c r="H179" i="4"/>
  <c r="E179" i="4"/>
  <c r="H178" i="4"/>
  <c r="E178" i="4"/>
  <c r="H177" i="4"/>
  <c r="E177" i="4"/>
  <c r="H176" i="4"/>
  <c r="E176" i="4"/>
  <c r="H175" i="4"/>
  <c r="E175" i="4"/>
  <c r="H174" i="4"/>
  <c r="E174" i="4"/>
  <c r="H173" i="4"/>
  <c r="E173" i="4"/>
  <c r="H172" i="4"/>
  <c r="E172" i="4"/>
  <c r="H171" i="4"/>
  <c r="E171" i="4"/>
  <c r="H170" i="4"/>
  <c r="E170" i="4"/>
  <c r="H169" i="4"/>
  <c r="E169" i="4"/>
  <c r="H168" i="4"/>
  <c r="E168" i="4"/>
  <c r="H167" i="4"/>
  <c r="E167" i="4"/>
  <c r="H166" i="4"/>
  <c r="E166" i="4"/>
  <c r="H165" i="4"/>
  <c r="E165" i="4"/>
  <c r="H164" i="4"/>
  <c r="E164" i="4"/>
  <c r="H163" i="4"/>
  <c r="E163" i="4"/>
  <c r="H162" i="4"/>
  <c r="E162" i="4"/>
  <c r="H161" i="4"/>
  <c r="E161" i="4"/>
  <c r="H160" i="4"/>
  <c r="E160" i="4"/>
  <c r="H159" i="4"/>
  <c r="E159" i="4"/>
  <c r="H158" i="4"/>
  <c r="E158" i="4"/>
  <c r="H157" i="4"/>
  <c r="E157" i="4"/>
  <c r="H156" i="4"/>
  <c r="E156" i="4"/>
  <c r="H155" i="4"/>
  <c r="E155" i="4"/>
  <c r="H154" i="4"/>
  <c r="E154" i="4"/>
  <c r="H153" i="4"/>
  <c r="E153" i="4"/>
  <c r="H152" i="4"/>
  <c r="E152" i="4"/>
  <c r="H151" i="4"/>
  <c r="E151" i="4"/>
  <c r="H150" i="4"/>
  <c r="E150" i="4"/>
  <c r="H149" i="4"/>
  <c r="E149" i="4"/>
  <c r="H148" i="4"/>
  <c r="E148" i="4"/>
  <c r="H147" i="4"/>
  <c r="E147" i="4"/>
  <c r="H146" i="4"/>
  <c r="E146" i="4"/>
  <c r="H145" i="4"/>
  <c r="E145" i="4"/>
  <c r="H144" i="4"/>
  <c r="E144" i="4"/>
  <c r="H143" i="4"/>
  <c r="E143" i="4"/>
  <c r="H142" i="4"/>
  <c r="E142" i="4"/>
  <c r="H141" i="4"/>
  <c r="E141" i="4"/>
  <c r="H140" i="4"/>
  <c r="E140" i="4"/>
  <c r="H139" i="4"/>
  <c r="E139" i="4"/>
  <c r="H138" i="4"/>
  <c r="E138" i="4"/>
  <c r="H137" i="4"/>
  <c r="E137" i="4"/>
  <c r="H136" i="4"/>
  <c r="E136" i="4"/>
  <c r="H135" i="4"/>
  <c r="E135" i="4"/>
  <c r="H134" i="4"/>
  <c r="E134" i="4"/>
  <c r="H133" i="4"/>
  <c r="E133" i="4"/>
  <c r="H132" i="4"/>
  <c r="E132" i="4"/>
  <c r="H131" i="4"/>
  <c r="E131" i="4"/>
  <c r="H130" i="4"/>
  <c r="E130" i="4"/>
  <c r="H129" i="4"/>
  <c r="E129" i="4"/>
  <c r="H128" i="4"/>
  <c r="E128" i="4"/>
  <c r="H127" i="4"/>
  <c r="E127" i="4"/>
  <c r="H126" i="4"/>
  <c r="E126" i="4"/>
  <c r="H125" i="4"/>
  <c r="E125" i="4"/>
  <c r="H124" i="4"/>
  <c r="E124" i="4"/>
  <c r="H123" i="4"/>
  <c r="E123" i="4"/>
  <c r="H122" i="4"/>
  <c r="E122" i="4"/>
  <c r="H121" i="4"/>
  <c r="E121" i="4"/>
  <c r="H120" i="4"/>
  <c r="E120" i="4"/>
  <c r="H119" i="4"/>
  <c r="E119" i="4"/>
  <c r="H118" i="4"/>
  <c r="E118" i="4"/>
  <c r="H117" i="4"/>
  <c r="E117" i="4"/>
  <c r="H116" i="4"/>
  <c r="E116" i="4"/>
  <c r="H115" i="4"/>
  <c r="E115" i="4"/>
  <c r="H114" i="4"/>
  <c r="E114" i="4"/>
  <c r="H113" i="4"/>
  <c r="E113" i="4"/>
  <c r="H112" i="4"/>
  <c r="E112" i="4"/>
  <c r="H111" i="4"/>
  <c r="E111" i="4"/>
  <c r="H110" i="4"/>
  <c r="E110" i="4"/>
  <c r="H109" i="4"/>
  <c r="E109" i="4"/>
  <c r="H108" i="4"/>
  <c r="E108" i="4"/>
  <c r="H107" i="4"/>
  <c r="E107" i="4"/>
  <c r="H106" i="4"/>
  <c r="E106" i="4"/>
  <c r="H105" i="4"/>
  <c r="E105" i="4"/>
  <c r="H104" i="4"/>
  <c r="E104" i="4"/>
  <c r="H103" i="4"/>
  <c r="E103" i="4"/>
  <c r="H102" i="4"/>
  <c r="E102" i="4"/>
  <c r="H101" i="4"/>
  <c r="E101" i="4"/>
  <c r="H100" i="4"/>
  <c r="E100" i="4"/>
  <c r="H99" i="4"/>
  <c r="E99" i="4"/>
  <c r="H98" i="4"/>
  <c r="E98" i="4"/>
  <c r="H97" i="4"/>
  <c r="E97" i="4"/>
  <c r="H96" i="4"/>
  <c r="E96" i="4"/>
  <c r="H95" i="4"/>
  <c r="E95" i="4"/>
  <c r="H94" i="4"/>
  <c r="E94" i="4"/>
  <c r="H93" i="4"/>
  <c r="E93" i="4"/>
  <c r="H92" i="4"/>
  <c r="E92" i="4"/>
  <c r="H91" i="4"/>
  <c r="E91" i="4"/>
  <c r="H90" i="4"/>
  <c r="E90" i="4"/>
  <c r="H89" i="4"/>
  <c r="E89" i="4"/>
  <c r="H88" i="4"/>
  <c r="E88" i="4"/>
  <c r="H87" i="4"/>
  <c r="E87" i="4"/>
  <c r="H86" i="4"/>
  <c r="E86" i="4"/>
  <c r="H85" i="4"/>
  <c r="E85" i="4"/>
  <c r="H84" i="4"/>
  <c r="E84" i="4"/>
  <c r="H83" i="4"/>
  <c r="E83" i="4"/>
  <c r="H82" i="4"/>
  <c r="E82" i="4"/>
  <c r="H81" i="4"/>
  <c r="E81" i="4"/>
  <c r="H80" i="4"/>
  <c r="E80" i="4"/>
  <c r="H79" i="4"/>
  <c r="E79" i="4"/>
  <c r="H78" i="4"/>
  <c r="E78" i="4"/>
  <c r="H77" i="4"/>
  <c r="E77" i="4"/>
  <c r="H76" i="4"/>
  <c r="E76" i="4"/>
  <c r="H75" i="4"/>
  <c r="E75" i="4"/>
  <c r="H74" i="4"/>
  <c r="E74" i="4"/>
  <c r="H73" i="4"/>
  <c r="E73" i="4"/>
  <c r="H72" i="4"/>
  <c r="E72" i="4"/>
  <c r="H71" i="4"/>
  <c r="E71" i="4"/>
  <c r="H70" i="4"/>
  <c r="E70" i="4"/>
  <c r="H69" i="4"/>
  <c r="E69" i="4"/>
  <c r="H68" i="4"/>
  <c r="E68" i="4"/>
  <c r="H67" i="4"/>
  <c r="E67" i="4"/>
  <c r="H66" i="4"/>
  <c r="E66" i="4"/>
  <c r="H65" i="4"/>
  <c r="E65" i="4"/>
  <c r="H64" i="4"/>
  <c r="E64" i="4"/>
  <c r="H63" i="4"/>
  <c r="E63" i="4"/>
  <c r="H62" i="4"/>
  <c r="E62" i="4"/>
  <c r="H61" i="4"/>
  <c r="E61" i="4"/>
  <c r="H60" i="4"/>
  <c r="E60" i="4"/>
  <c r="H59" i="4"/>
  <c r="E59" i="4"/>
  <c r="H58" i="4"/>
  <c r="E58" i="4"/>
  <c r="H57" i="4"/>
  <c r="E57" i="4"/>
  <c r="H56" i="4"/>
  <c r="E56" i="4"/>
  <c r="H55" i="4"/>
  <c r="E55" i="4"/>
  <c r="H54" i="4"/>
  <c r="E54" i="4"/>
  <c r="H53" i="4"/>
  <c r="E53" i="4"/>
  <c r="H52" i="4"/>
  <c r="E52" i="4"/>
  <c r="H51" i="4"/>
  <c r="E51" i="4"/>
  <c r="H50" i="4"/>
  <c r="E50" i="4"/>
  <c r="H49" i="4"/>
  <c r="E49" i="4"/>
  <c r="H48" i="4"/>
  <c r="E48" i="4"/>
  <c r="H47" i="4"/>
  <c r="E47" i="4"/>
  <c r="H46" i="4"/>
  <c r="E46" i="4"/>
  <c r="H45" i="4"/>
  <c r="E45" i="4"/>
  <c r="H44" i="4"/>
  <c r="E44" i="4"/>
  <c r="H43" i="4"/>
  <c r="E43" i="4"/>
  <c r="H42" i="4"/>
  <c r="E42" i="4"/>
  <c r="H41" i="4"/>
  <c r="E41" i="4"/>
  <c r="H40" i="4"/>
  <c r="E40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H15" i="4"/>
  <c r="E15" i="4"/>
  <c r="M14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I306" i="10"/>
  <c r="H306" i="10"/>
  <c r="E306" i="10"/>
  <c r="I305" i="10"/>
  <c r="H305" i="10"/>
  <c r="E305" i="10"/>
  <c r="I304" i="10"/>
  <c r="H304" i="10"/>
  <c r="E304" i="10"/>
  <c r="I303" i="10"/>
  <c r="H303" i="10"/>
  <c r="E303" i="10"/>
  <c r="I302" i="10"/>
  <c r="H302" i="10"/>
  <c r="E302" i="10"/>
  <c r="I301" i="10"/>
  <c r="H301" i="10"/>
  <c r="E301" i="10"/>
  <c r="I300" i="10"/>
  <c r="H300" i="10"/>
  <c r="E300" i="10"/>
  <c r="I299" i="10"/>
  <c r="H299" i="10"/>
  <c r="E299" i="10"/>
  <c r="I298" i="10"/>
  <c r="H298" i="10"/>
  <c r="E298" i="10"/>
  <c r="I297" i="10"/>
  <c r="H297" i="10"/>
  <c r="E297" i="10"/>
  <c r="I296" i="10"/>
  <c r="H296" i="10"/>
  <c r="E296" i="10"/>
  <c r="I295" i="10"/>
  <c r="H295" i="10"/>
  <c r="E295" i="10"/>
  <c r="I294" i="10"/>
  <c r="H294" i="10"/>
  <c r="E294" i="10"/>
  <c r="I293" i="10"/>
  <c r="H293" i="10"/>
  <c r="E293" i="10"/>
  <c r="I292" i="10"/>
  <c r="H292" i="10"/>
  <c r="E292" i="10"/>
  <c r="I291" i="10"/>
  <c r="H291" i="10"/>
  <c r="E291" i="10"/>
  <c r="I290" i="10"/>
  <c r="H290" i="10"/>
  <c r="E290" i="10"/>
  <c r="I289" i="10"/>
  <c r="H289" i="10"/>
  <c r="E289" i="10"/>
  <c r="I288" i="10"/>
  <c r="H288" i="10"/>
  <c r="E288" i="10"/>
  <c r="I287" i="10"/>
  <c r="H287" i="10"/>
  <c r="E287" i="10"/>
  <c r="I286" i="10"/>
  <c r="H286" i="10"/>
  <c r="E286" i="10"/>
  <c r="I285" i="10"/>
  <c r="H285" i="10"/>
  <c r="E285" i="10"/>
  <c r="I284" i="10"/>
  <c r="H284" i="10"/>
  <c r="E284" i="10"/>
  <c r="I283" i="10"/>
  <c r="H283" i="10"/>
  <c r="E283" i="10"/>
  <c r="I282" i="10"/>
  <c r="H282" i="10"/>
  <c r="E282" i="10"/>
  <c r="I281" i="10"/>
  <c r="H281" i="10"/>
  <c r="E281" i="10"/>
  <c r="I280" i="10"/>
  <c r="H280" i="10"/>
  <c r="E280" i="10"/>
  <c r="I279" i="10"/>
  <c r="H279" i="10"/>
  <c r="E279" i="10"/>
  <c r="I278" i="10"/>
  <c r="H278" i="10"/>
  <c r="E278" i="10"/>
  <c r="I277" i="10"/>
  <c r="H277" i="10"/>
  <c r="E277" i="10"/>
  <c r="I276" i="10"/>
  <c r="H276" i="10"/>
  <c r="E276" i="10"/>
  <c r="I275" i="10"/>
  <c r="H275" i="10"/>
  <c r="E275" i="10"/>
  <c r="I274" i="10"/>
  <c r="H274" i="10"/>
  <c r="E274" i="10"/>
  <c r="I273" i="10"/>
  <c r="H273" i="10"/>
  <c r="E273" i="10"/>
  <c r="I272" i="10"/>
  <c r="H272" i="10"/>
  <c r="E272" i="10"/>
  <c r="I271" i="10"/>
  <c r="H271" i="10"/>
  <c r="E271" i="10"/>
  <c r="I270" i="10"/>
  <c r="H270" i="10"/>
  <c r="E270" i="10"/>
  <c r="I269" i="10"/>
  <c r="H269" i="10"/>
  <c r="E269" i="10"/>
  <c r="I268" i="10"/>
  <c r="H268" i="10"/>
  <c r="E268" i="10"/>
  <c r="I267" i="10"/>
  <c r="H267" i="10"/>
  <c r="E267" i="10"/>
  <c r="I266" i="10"/>
  <c r="H266" i="10"/>
  <c r="E266" i="10"/>
  <c r="I265" i="10"/>
  <c r="H265" i="10"/>
  <c r="E265" i="10"/>
  <c r="I264" i="10"/>
  <c r="H264" i="10"/>
  <c r="E264" i="10"/>
  <c r="I263" i="10"/>
  <c r="H263" i="10"/>
  <c r="E263" i="10"/>
  <c r="I262" i="10"/>
  <c r="H262" i="10"/>
  <c r="E262" i="10"/>
  <c r="I261" i="10"/>
  <c r="H261" i="10"/>
  <c r="E261" i="10"/>
  <c r="I260" i="10"/>
  <c r="H260" i="10"/>
  <c r="E260" i="10"/>
  <c r="I259" i="10"/>
  <c r="H259" i="10"/>
  <c r="E259" i="10"/>
  <c r="I258" i="10"/>
  <c r="H258" i="10"/>
  <c r="E258" i="10"/>
  <c r="I257" i="10"/>
  <c r="H257" i="10"/>
  <c r="E257" i="10"/>
  <c r="I256" i="10"/>
  <c r="H256" i="10"/>
  <c r="E256" i="10"/>
  <c r="I255" i="10"/>
  <c r="H255" i="10"/>
  <c r="E255" i="10"/>
  <c r="I254" i="10"/>
  <c r="H254" i="10"/>
  <c r="E254" i="10"/>
  <c r="I253" i="10"/>
  <c r="H253" i="10"/>
  <c r="E253" i="10"/>
  <c r="I252" i="10"/>
  <c r="H252" i="10"/>
  <c r="E252" i="10"/>
  <c r="I251" i="10"/>
  <c r="H251" i="10"/>
  <c r="E251" i="10"/>
  <c r="I250" i="10"/>
  <c r="H250" i="10"/>
  <c r="E250" i="10"/>
  <c r="I249" i="10"/>
  <c r="H249" i="10"/>
  <c r="E249" i="10"/>
  <c r="I248" i="10"/>
  <c r="H248" i="10"/>
  <c r="E248" i="10"/>
  <c r="I247" i="10"/>
  <c r="H247" i="10"/>
  <c r="E247" i="10"/>
  <c r="I246" i="10"/>
  <c r="H246" i="10"/>
  <c r="E246" i="10"/>
  <c r="I245" i="10"/>
  <c r="H245" i="10"/>
  <c r="E245" i="10"/>
  <c r="I244" i="10"/>
  <c r="H244" i="10"/>
  <c r="E244" i="10"/>
  <c r="I243" i="10"/>
  <c r="H243" i="10"/>
  <c r="E243" i="10"/>
  <c r="I242" i="10"/>
  <c r="H242" i="10"/>
  <c r="E242" i="10"/>
  <c r="I241" i="10"/>
  <c r="H241" i="10"/>
  <c r="E241" i="10"/>
  <c r="I240" i="10"/>
  <c r="H240" i="10"/>
  <c r="E240" i="10"/>
  <c r="I239" i="10"/>
  <c r="H239" i="10"/>
  <c r="E239" i="10"/>
  <c r="I238" i="10"/>
  <c r="H238" i="10"/>
  <c r="E238" i="10"/>
  <c r="I237" i="10"/>
  <c r="H237" i="10"/>
  <c r="E237" i="10"/>
  <c r="I236" i="10"/>
  <c r="H236" i="10"/>
  <c r="E236" i="10"/>
  <c r="I235" i="10"/>
  <c r="H235" i="10"/>
  <c r="E235" i="10"/>
  <c r="I234" i="10"/>
  <c r="H234" i="10"/>
  <c r="E234" i="10"/>
  <c r="I233" i="10"/>
  <c r="H233" i="10"/>
  <c r="E233" i="10"/>
  <c r="I232" i="10"/>
  <c r="H232" i="10"/>
  <c r="E232" i="10"/>
  <c r="I231" i="10"/>
  <c r="H231" i="10"/>
  <c r="E231" i="10"/>
  <c r="I230" i="10"/>
  <c r="H230" i="10"/>
  <c r="E230" i="10"/>
  <c r="I229" i="10"/>
  <c r="H229" i="10"/>
  <c r="E229" i="10"/>
  <c r="I228" i="10"/>
  <c r="H228" i="10"/>
  <c r="E228" i="10"/>
  <c r="I227" i="10"/>
  <c r="H227" i="10"/>
  <c r="E227" i="10"/>
  <c r="I226" i="10"/>
  <c r="H226" i="10"/>
  <c r="E226" i="10"/>
  <c r="I225" i="10"/>
  <c r="H225" i="10"/>
  <c r="E225" i="10"/>
  <c r="I224" i="10"/>
  <c r="H224" i="10"/>
  <c r="E224" i="10"/>
  <c r="I223" i="10"/>
  <c r="H223" i="10"/>
  <c r="E223" i="10"/>
  <c r="I222" i="10"/>
  <c r="H222" i="10"/>
  <c r="E222" i="10"/>
  <c r="I221" i="10"/>
  <c r="H221" i="10"/>
  <c r="E221" i="10"/>
  <c r="I220" i="10"/>
  <c r="H220" i="10"/>
  <c r="E220" i="10"/>
  <c r="I219" i="10"/>
  <c r="H219" i="10"/>
  <c r="E219" i="10"/>
  <c r="I218" i="10"/>
  <c r="H218" i="10"/>
  <c r="E218" i="10"/>
  <c r="I217" i="10"/>
  <c r="H217" i="10"/>
  <c r="E217" i="10"/>
  <c r="I216" i="10"/>
  <c r="H216" i="10"/>
  <c r="E216" i="10"/>
  <c r="I215" i="10"/>
  <c r="H215" i="10"/>
  <c r="E215" i="10"/>
  <c r="I214" i="10"/>
  <c r="H214" i="10"/>
  <c r="E214" i="10"/>
  <c r="I213" i="10"/>
  <c r="H213" i="10"/>
  <c r="E213" i="10"/>
  <c r="I212" i="10"/>
  <c r="H212" i="10"/>
  <c r="E212" i="10"/>
  <c r="I211" i="10"/>
  <c r="H211" i="10"/>
  <c r="E211" i="10"/>
  <c r="I210" i="10"/>
  <c r="H210" i="10"/>
  <c r="E210" i="10"/>
  <c r="I209" i="10"/>
  <c r="H209" i="10"/>
  <c r="E209" i="10"/>
  <c r="I208" i="10"/>
  <c r="H208" i="10"/>
  <c r="E208" i="10"/>
  <c r="I207" i="10"/>
  <c r="H207" i="10"/>
  <c r="E207" i="10"/>
  <c r="I206" i="10"/>
  <c r="H206" i="10"/>
  <c r="E206" i="10"/>
  <c r="I205" i="10"/>
  <c r="H205" i="10"/>
  <c r="E205" i="10"/>
  <c r="I204" i="10"/>
  <c r="H204" i="10"/>
  <c r="E204" i="10"/>
  <c r="I203" i="10"/>
  <c r="H203" i="10"/>
  <c r="E203" i="10"/>
  <c r="I202" i="10"/>
  <c r="H202" i="10"/>
  <c r="E202" i="10"/>
  <c r="I201" i="10"/>
  <c r="H201" i="10"/>
  <c r="E201" i="10"/>
  <c r="I200" i="10"/>
  <c r="H200" i="10"/>
  <c r="E200" i="10"/>
  <c r="I199" i="10"/>
  <c r="H199" i="10"/>
  <c r="E199" i="10"/>
  <c r="I198" i="10"/>
  <c r="H198" i="10"/>
  <c r="E198" i="10"/>
  <c r="I197" i="10"/>
  <c r="H197" i="10"/>
  <c r="E197" i="10"/>
  <c r="I196" i="10"/>
  <c r="H196" i="10"/>
  <c r="E196" i="10"/>
  <c r="I195" i="10"/>
  <c r="H195" i="10"/>
  <c r="E195" i="10"/>
  <c r="I194" i="10"/>
  <c r="H194" i="10"/>
  <c r="E194" i="10"/>
  <c r="I193" i="10"/>
  <c r="H193" i="10"/>
  <c r="E193" i="10"/>
  <c r="I192" i="10"/>
  <c r="H192" i="10"/>
  <c r="E192" i="10"/>
  <c r="I191" i="10"/>
  <c r="H191" i="10"/>
  <c r="E191" i="10"/>
  <c r="I190" i="10"/>
  <c r="H190" i="10"/>
  <c r="E190" i="10"/>
  <c r="I189" i="10"/>
  <c r="H189" i="10"/>
  <c r="E189" i="10"/>
  <c r="I188" i="10"/>
  <c r="H188" i="10"/>
  <c r="E188" i="10"/>
  <c r="I187" i="10"/>
  <c r="H187" i="10"/>
  <c r="E187" i="10"/>
  <c r="I186" i="10"/>
  <c r="H186" i="10"/>
  <c r="E186" i="10"/>
  <c r="I185" i="10"/>
  <c r="H185" i="10"/>
  <c r="E185" i="10"/>
  <c r="I184" i="10"/>
  <c r="H184" i="10"/>
  <c r="E184" i="10"/>
  <c r="I183" i="10"/>
  <c r="H183" i="10"/>
  <c r="E183" i="10"/>
  <c r="I182" i="10"/>
  <c r="H182" i="10"/>
  <c r="E182" i="10"/>
  <c r="I181" i="10"/>
  <c r="H181" i="10"/>
  <c r="E181" i="10"/>
  <c r="I180" i="10"/>
  <c r="H180" i="10"/>
  <c r="E180" i="10"/>
  <c r="I179" i="10"/>
  <c r="H179" i="10"/>
  <c r="E179" i="10"/>
  <c r="I178" i="10"/>
  <c r="H178" i="10"/>
  <c r="E178" i="10"/>
  <c r="I177" i="10"/>
  <c r="H177" i="10"/>
  <c r="E177" i="10"/>
  <c r="I176" i="10"/>
  <c r="H176" i="10"/>
  <c r="E176" i="10"/>
  <c r="I175" i="10"/>
  <c r="H175" i="10"/>
  <c r="E175" i="10"/>
  <c r="I174" i="10"/>
  <c r="H174" i="10"/>
  <c r="E174" i="10"/>
  <c r="I173" i="10"/>
  <c r="H173" i="10"/>
  <c r="E173" i="10"/>
  <c r="I172" i="10"/>
  <c r="H172" i="10"/>
  <c r="E172" i="10"/>
  <c r="I171" i="10"/>
  <c r="H171" i="10"/>
  <c r="E171" i="10"/>
  <c r="I170" i="10"/>
  <c r="H170" i="10"/>
  <c r="E170" i="10"/>
  <c r="I169" i="10"/>
  <c r="H169" i="10"/>
  <c r="E169" i="10"/>
  <c r="I168" i="10"/>
  <c r="H168" i="10"/>
  <c r="E168" i="10"/>
  <c r="I167" i="10"/>
  <c r="H167" i="10"/>
  <c r="E167" i="10"/>
  <c r="I166" i="10"/>
  <c r="H166" i="10"/>
  <c r="E166" i="10"/>
  <c r="I165" i="10"/>
  <c r="H165" i="10"/>
  <c r="E165" i="10"/>
  <c r="I164" i="10"/>
  <c r="H164" i="10"/>
  <c r="E164" i="10"/>
  <c r="I163" i="10"/>
  <c r="H163" i="10"/>
  <c r="E163" i="10"/>
  <c r="I162" i="10"/>
  <c r="H162" i="10"/>
  <c r="E162" i="10"/>
  <c r="I161" i="10"/>
  <c r="H161" i="10"/>
  <c r="E161" i="10"/>
  <c r="I160" i="10"/>
  <c r="H160" i="10"/>
  <c r="E160" i="10"/>
  <c r="I159" i="10"/>
  <c r="H159" i="10"/>
  <c r="E159" i="10"/>
  <c r="I158" i="10"/>
  <c r="H158" i="10"/>
  <c r="E158" i="10"/>
  <c r="I157" i="10"/>
  <c r="H157" i="10"/>
  <c r="E157" i="10"/>
  <c r="I156" i="10"/>
  <c r="H156" i="10"/>
  <c r="E156" i="10"/>
  <c r="I155" i="10"/>
  <c r="H155" i="10"/>
  <c r="E155" i="10"/>
  <c r="I154" i="10"/>
  <c r="H154" i="10"/>
  <c r="E154" i="10"/>
  <c r="I153" i="10"/>
  <c r="H153" i="10"/>
  <c r="E153" i="10"/>
  <c r="I152" i="10"/>
  <c r="H152" i="10"/>
  <c r="E152" i="10"/>
  <c r="I151" i="10"/>
  <c r="H151" i="10"/>
  <c r="E151" i="10"/>
  <c r="I150" i="10"/>
  <c r="H150" i="10"/>
  <c r="E150" i="10"/>
  <c r="I149" i="10"/>
  <c r="H149" i="10"/>
  <c r="E149" i="10"/>
  <c r="I148" i="10"/>
  <c r="H148" i="10"/>
  <c r="E148" i="10"/>
  <c r="I147" i="10"/>
  <c r="H147" i="10"/>
  <c r="E147" i="10"/>
  <c r="I146" i="10"/>
  <c r="H146" i="10"/>
  <c r="E146" i="10"/>
  <c r="I145" i="10"/>
  <c r="H145" i="10"/>
  <c r="E145" i="10"/>
  <c r="I144" i="10"/>
  <c r="H144" i="10"/>
  <c r="E144" i="10"/>
  <c r="I143" i="10"/>
  <c r="H143" i="10"/>
  <c r="E143" i="10"/>
  <c r="I142" i="10"/>
  <c r="H142" i="10"/>
  <c r="E142" i="10"/>
  <c r="I141" i="10"/>
  <c r="H141" i="10"/>
  <c r="E141" i="10"/>
  <c r="I140" i="10"/>
  <c r="H140" i="10"/>
  <c r="E140" i="10"/>
  <c r="I139" i="10"/>
  <c r="H139" i="10"/>
  <c r="E139" i="10"/>
  <c r="I138" i="10"/>
  <c r="H138" i="10"/>
  <c r="E138" i="10"/>
  <c r="I137" i="10"/>
  <c r="H137" i="10"/>
  <c r="E137" i="10"/>
  <c r="I136" i="10"/>
  <c r="H136" i="10"/>
  <c r="E136" i="10"/>
  <c r="I135" i="10"/>
  <c r="H135" i="10"/>
  <c r="E135" i="10"/>
  <c r="I134" i="10"/>
  <c r="H134" i="10"/>
  <c r="E134" i="10"/>
  <c r="I133" i="10"/>
  <c r="H133" i="10"/>
  <c r="E133" i="10"/>
  <c r="I132" i="10"/>
  <c r="H132" i="10"/>
  <c r="E132" i="10"/>
  <c r="I131" i="10"/>
  <c r="H131" i="10"/>
  <c r="E131" i="10"/>
  <c r="I130" i="10"/>
  <c r="H130" i="10"/>
  <c r="E130" i="10"/>
  <c r="I129" i="10"/>
  <c r="H129" i="10"/>
  <c r="E129" i="10"/>
  <c r="I128" i="10"/>
  <c r="H128" i="10"/>
  <c r="E128" i="10"/>
  <c r="I127" i="10"/>
  <c r="H127" i="10"/>
  <c r="E127" i="10"/>
  <c r="I126" i="10"/>
  <c r="H126" i="10"/>
  <c r="E126" i="10"/>
  <c r="I125" i="10"/>
  <c r="H125" i="10"/>
  <c r="E125" i="10"/>
  <c r="I124" i="10"/>
  <c r="H124" i="10"/>
  <c r="E124" i="10"/>
  <c r="I123" i="10"/>
  <c r="H123" i="10"/>
  <c r="E123" i="10"/>
  <c r="I122" i="10"/>
  <c r="H122" i="10"/>
  <c r="E122" i="10"/>
  <c r="I121" i="10"/>
  <c r="H121" i="10"/>
  <c r="E121" i="10"/>
  <c r="I120" i="10"/>
  <c r="H120" i="10"/>
  <c r="E120" i="10"/>
  <c r="I119" i="10"/>
  <c r="H119" i="10"/>
  <c r="E119" i="10"/>
  <c r="I118" i="10"/>
  <c r="H118" i="10"/>
  <c r="E118" i="10"/>
  <c r="I117" i="10"/>
  <c r="H117" i="10"/>
  <c r="E117" i="10"/>
  <c r="I116" i="10"/>
  <c r="H116" i="10"/>
  <c r="E116" i="10"/>
  <c r="I115" i="10"/>
  <c r="H115" i="10"/>
  <c r="E115" i="10"/>
  <c r="I114" i="10"/>
  <c r="H114" i="10"/>
  <c r="E114" i="10"/>
  <c r="I113" i="10"/>
  <c r="H113" i="10"/>
  <c r="E113" i="10"/>
  <c r="I112" i="10"/>
  <c r="H112" i="10"/>
  <c r="E112" i="10"/>
  <c r="I111" i="10"/>
  <c r="H111" i="10"/>
  <c r="E111" i="10"/>
  <c r="I110" i="10"/>
  <c r="H110" i="10"/>
  <c r="E110" i="10"/>
  <c r="I109" i="10"/>
  <c r="H109" i="10"/>
  <c r="E109" i="10"/>
  <c r="I108" i="10"/>
  <c r="H108" i="10"/>
  <c r="E108" i="10"/>
  <c r="I107" i="10"/>
  <c r="H107" i="10"/>
  <c r="E107" i="10"/>
  <c r="I106" i="10"/>
  <c r="H106" i="10"/>
  <c r="E106" i="10"/>
  <c r="I105" i="10"/>
  <c r="H105" i="10"/>
  <c r="E105" i="10"/>
  <c r="I104" i="10"/>
  <c r="H104" i="10"/>
  <c r="E104" i="10"/>
  <c r="I103" i="10"/>
  <c r="H103" i="10"/>
  <c r="E103" i="10"/>
  <c r="I102" i="10"/>
  <c r="H102" i="10"/>
  <c r="E102" i="10"/>
  <c r="I101" i="10"/>
  <c r="H101" i="10"/>
  <c r="E101" i="10"/>
  <c r="I100" i="10"/>
  <c r="H100" i="10"/>
  <c r="E100" i="10"/>
  <c r="I99" i="10"/>
  <c r="H99" i="10"/>
  <c r="E99" i="10"/>
  <c r="I98" i="10"/>
  <c r="H98" i="10"/>
  <c r="E98" i="10"/>
  <c r="I97" i="10"/>
  <c r="H97" i="10"/>
  <c r="E97" i="10"/>
  <c r="I96" i="10"/>
  <c r="H96" i="10"/>
  <c r="E96" i="10"/>
  <c r="I95" i="10"/>
  <c r="H95" i="10"/>
  <c r="E95" i="10"/>
  <c r="I94" i="10"/>
  <c r="H94" i="10"/>
  <c r="E94" i="10"/>
  <c r="I93" i="10"/>
  <c r="H93" i="10"/>
  <c r="E93" i="10"/>
  <c r="I92" i="10"/>
  <c r="H92" i="10"/>
  <c r="E92" i="10"/>
  <c r="I91" i="10"/>
  <c r="H91" i="10"/>
  <c r="E91" i="10"/>
  <c r="I90" i="10"/>
  <c r="H90" i="10"/>
  <c r="E90" i="10"/>
  <c r="I89" i="10"/>
  <c r="H89" i="10"/>
  <c r="E89" i="10"/>
  <c r="I88" i="10"/>
  <c r="H88" i="10"/>
  <c r="E88" i="10"/>
  <c r="I87" i="10"/>
  <c r="H87" i="10"/>
  <c r="E87" i="10"/>
  <c r="I86" i="10"/>
  <c r="H86" i="10"/>
  <c r="E86" i="10"/>
  <c r="I85" i="10"/>
  <c r="H85" i="10"/>
  <c r="E85" i="10"/>
  <c r="I84" i="10"/>
  <c r="H84" i="10"/>
  <c r="E84" i="10"/>
  <c r="I83" i="10"/>
  <c r="H83" i="10"/>
  <c r="E83" i="10"/>
  <c r="I82" i="10"/>
  <c r="H82" i="10"/>
  <c r="E82" i="10"/>
  <c r="I81" i="10"/>
  <c r="H81" i="10"/>
  <c r="E81" i="10"/>
  <c r="I80" i="10"/>
  <c r="H80" i="10"/>
  <c r="E80" i="10"/>
  <c r="I79" i="10"/>
  <c r="H79" i="10"/>
  <c r="E79" i="10"/>
  <c r="I78" i="10"/>
  <c r="H78" i="10"/>
  <c r="E78" i="10"/>
  <c r="I77" i="10"/>
  <c r="H77" i="10"/>
  <c r="E77" i="10"/>
  <c r="I76" i="10"/>
  <c r="H76" i="10"/>
  <c r="E76" i="10"/>
  <c r="I75" i="10"/>
  <c r="H75" i="10"/>
  <c r="E75" i="10"/>
  <c r="I74" i="10"/>
  <c r="H74" i="10"/>
  <c r="E74" i="10"/>
  <c r="I73" i="10"/>
  <c r="H73" i="10"/>
  <c r="E73" i="10"/>
  <c r="I72" i="10"/>
  <c r="H72" i="10"/>
  <c r="E72" i="10"/>
  <c r="I71" i="10"/>
  <c r="H71" i="10"/>
  <c r="E71" i="10"/>
  <c r="I70" i="10"/>
  <c r="H70" i="10"/>
  <c r="E70" i="10"/>
  <c r="I69" i="10"/>
  <c r="H69" i="10"/>
  <c r="E69" i="10"/>
  <c r="I68" i="10"/>
  <c r="H68" i="10"/>
  <c r="E68" i="10"/>
  <c r="I67" i="10"/>
  <c r="H67" i="10"/>
  <c r="E67" i="10"/>
  <c r="I66" i="10"/>
  <c r="H66" i="10"/>
  <c r="E66" i="10"/>
  <c r="I65" i="10"/>
  <c r="H65" i="10"/>
  <c r="E65" i="10"/>
  <c r="I64" i="10"/>
  <c r="H64" i="10"/>
  <c r="E64" i="10"/>
  <c r="I63" i="10"/>
  <c r="H63" i="10"/>
  <c r="E63" i="10"/>
  <c r="I62" i="10"/>
  <c r="H62" i="10"/>
  <c r="E62" i="10"/>
  <c r="I61" i="10"/>
  <c r="H61" i="10"/>
  <c r="E61" i="10"/>
  <c r="I60" i="10"/>
  <c r="H60" i="10"/>
  <c r="E60" i="10"/>
  <c r="I59" i="10"/>
  <c r="H59" i="10"/>
  <c r="E59" i="10"/>
  <c r="I58" i="10"/>
  <c r="H58" i="10"/>
  <c r="E58" i="10"/>
  <c r="I57" i="10"/>
  <c r="H57" i="10"/>
  <c r="E57" i="10"/>
  <c r="I56" i="10"/>
  <c r="H56" i="10"/>
  <c r="E56" i="10"/>
  <c r="I55" i="10"/>
  <c r="H55" i="10"/>
  <c r="E55" i="10"/>
  <c r="I54" i="10"/>
  <c r="H54" i="10"/>
  <c r="E54" i="10"/>
  <c r="I53" i="10"/>
  <c r="H53" i="10"/>
  <c r="E53" i="10"/>
  <c r="I52" i="10"/>
  <c r="H52" i="10"/>
  <c r="E52" i="10"/>
  <c r="I51" i="10"/>
  <c r="H51" i="10"/>
  <c r="E51" i="10"/>
  <c r="I50" i="10"/>
  <c r="H50" i="10"/>
  <c r="E50" i="10"/>
  <c r="I49" i="10"/>
  <c r="H49" i="10"/>
  <c r="E49" i="10"/>
  <c r="I48" i="10"/>
  <c r="H48" i="10"/>
  <c r="E48" i="10"/>
  <c r="I47" i="10"/>
  <c r="H47" i="10"/>
  <c r="E47" i="10"/>
  <c r="I46" i="10"/>
  <c r="H46" i="10"/>
  <c r="E46" i="10"/>
  <c r="I45" i="10"/>
  <c r="H45" i="10"/>
  <c r="E45" i="10"/>
  <c r="I44" i="10"/>
  <c r="H44" i="10"/>
  <c r="E44" i="10"/>
  <c r="I43" i="10"/>
  <c r="H43" i="10"/>
  <c r="E43" i="10"/>
  <c r="I42" i="10"/>
  <c r="H42" i="10"/>
  <c r="E42" i="10"/>
  <c r="I41" i="10"/>
  <c r="H41" i="10"/>
  <c r="E41" i="10"/>
  <c r="I40" i="10"/>
  <c r="H40" i="10"/>
  <c r="E40" i="10"/>
  <c r="I39" i="10"/>
  <c r="H39" i="10"/>
  <c r="E39" i="10"/>
  <c r="I38" i="10"/>
  <c r="H38" i="10"/>
  <c r="E38" i="10"/>
  <c r="I37" i="10"/>
  <c r="H37" i="10"/>
  <c r="E37" i="10"/>
  <c r="I36" i="10"/>
  <c r="H36" i="10"/>
  <c r="E36" i="10"/>
  <c r="I35" i="10"/>
  <c r="H35" i="10"/>
  <c r="E35" i="10"/>
  <c r="I34" i="10"/>
  <c r="H34" i="10"/>
  <c r="E34" i="10"/>
  <c r="I33" i="10"/>
  <c r="H33" i="10"/>
  <c r="E33" i="10"/>
  <c r="I32" i="10"/>
  <c r="H32" i="10"/>
  <c r="E32" i="10"/>
  <c r="I31" i="10"/>
  <c r="H31" i="10"/>
  <c r="E31" i="10"/>
  <c r="I30" i="10"/>
  <c r="H30" i="10"/>
  <c r="E30" i="10"/>
  <c r="I29" i="10"/>
  <c r="H29" i="10"/>
  <c r="E29" i="10"/>
  <c r="I28" i="10"/>
  <c r="H28" i="10"/>
  <c r="E28" i="10"/>
  <c r="I27" i="10"/>
  <c r="H27" i="10"/>
  <c r="E27" i="10"/>
  <c r="I26" i="10"/>
  <c r="H26" i="10"/>
  <c r="E26" i="10"/>
  <c r="I25" i="10"/>
  <c r="H25" i="10"/>
  <c r="E25" i="10"/>
  <c r="I24" i="10"/>
  <c r="H24" i="10"/>
  <c r="E24" i="10"/>
  <c r="I23" i="10"/>
  <c r="H23" i="10"/>
  <c r="E23" i="10"/>
  <c r="I22" i="10"/>
  <c r="H22" i="10"/>
  <c r="E22" i="10"/>
  <c r="I21" i="10"/>
  <c r="H21" i="10"/>
  <c r="E21" i="10"/>
  <c r="I20" i="10"/>
  <c r="H20" i="10"/>
  <c r="E20" i="10"/>
  <c r="I19" i="10"/>
  <c r="H19" i="10"/>
  <c r="E19" i="10"/>
  <c r="I18" i="10"/>
  <c r="H18" i="10"/>
  <c r="E18" i="10"/>
  <c r="I17" i="10"/>
  <c r="H17" i="10"/>
  <c r="E17" i="10"/>
  <c r="I16" i="10"/>
  <c r="H16" i="10"/>
  <c r="E16" i="10"/>
  <c r="I15" i="10"/>
  <c r="H15" i="10"/>
  <c r="E15" i="10"/>
  <c r="I14" i="10"/>
  <c r="H14" i="10"/>
  <c r="E14" i="10"/>
  <c r="I13" i="10"/>
  <c r="H13" i="10"/>
  <c r="E13" i="10"/>
  <c r="I12" i="10"/>
  <c r="H12" i="10"/>
  <c r="E12" i="10"/>
  <c r="I11" i="10"/>
  <c r="H11" i="10"/>
  <c r="E11" i="10"/>
  <c r="I10" i="10"/>
  <c r="H10" i="10"/>
  <c r="E10" i="10"/>
  <c r="I9" i="10"/>
  <c r="H9" i="10"/>
  <c r="E9" i="10"/>
  <c r="I8" i="10"/>
  <c r="H8" i="10"/>
  <c r="E8" i="10"/>
  <c r="I7" i="10"/>
  <c r="H7" i="10"/>
  <c r="E7" i="10"/>
  <c r="I6" i="10"/>
  <c r="H6" i="10"/>
  <c r="E6" i="10"/>
  <c r="I5" i="10"/>
  <c r="H5" i="10"/>
  <c r="E5" i="10"/>
  <c r="J204" i="3"/>
  <c r="E204" i="3"/>
  <c r="J203" i="3"/>
  <c r="E203" i="3"/>
  <c r="J202" i="3"/>
  <c r="E202" i="3"/>
  <c r="J201" i="3"/>
  <c r="E201" i="3"/>
  <c r="J200" i="3"/>
  <c r="E200" i="3"/>
  <c r="J199" i="3"/>
  <c r="E199" i="3"/>
  <c r="J198" i="3"/>
  <c r="E198" i="3"/>
  <c r="J197" i="3"/>
  <c r="E197" i="3"/>
  <c r="J196" i="3"/>
  <c r="E196" i="3"/>
  <c r="J195" i="3"/>
  <c r="E195" i="3"/>
  <c r="J194" i="3"/>
  <c r="E194" i="3"/>
  <c r="J193" i="3"/>
  <c r="E193" i="3"/>
  <c r="J192" i="3"/>
  <c r="E192" i="3"/>
  <c r="J191" i="3"/>
  <c r="E191" i="3"/>
  <c r="J190" i="3"/>
  <c r="E190" i="3"/>
  <c r="J189" i="3"/>
  <c r="E189" i="3"/>
  <c r="J188" i="3"/>
  <c r="E188" i="3"/>
  <c r="J187" i="3"/>
  <c r="E187" i="3"/>
  <c r="J186" i="3"/>
  <c r="E186" i="3"/>
  <c r="J185" i="3"/>
  <c r="E185" i="3"/>
  <c r="J184" i="3"/>
  <c r="E184" i="3"/>
  <c r="J183" i="3"/>
  <c r="E183" i="3"/>
  <c r="J182" i="3"/>
  <c r="E182" i="3"/>
  <c r="J181" i="3"/>
  <c r="E181" i="3"/>
  <c r="J180" i="3"/>
  <c r="E180" i="3"/>
  <c r="J179" i="3"/>
  <c r="E179" i="3"/>
  <c r="J178" i="3"/>
  <c r="E178" i="3"/>
  <c r="J177" i="3"/>
  <c r="E177" i="3"/>
  <c r="J176" i="3"/>
  <c r="E176" i="3"/>
  <c r="J175" i="3"/>
  <c r="E175" i="3"/>
  <c r="J174" i="3"/>
  <c r="E174" i="3"/>
  <c r="J173" i="3"/>
  <c r="E173" i="3"/>
  <c r="J172" i="3"/>
  <c r="E172" i="3"/>
  <c r="J171" i="3"/>
  <c r="E171" i="3"/>
  <c r="J170" i="3"/>
  <c r="E170" i="3"/>
  <c r="J169" i="3"/>
  <c r="E169" i="3"/>
  <c r="J168" i="3"/>
  <c r="E168" i="3"/>
  <c r="J167" i="3"/>
  <c r="E167" i="3"/>
  <c r="J166" i="3"/>
  <c r="E166" i="3"/>
  <c r="J165" i="3"/>
  <c r="E165" i="3"/>
  <c r="J164" i="3"/>
  <c r="E164" i="3"/>
  <c r="J163" i="3"/>
  <c r="E163" i="3"/>
  <c r="J162" i="3"/>
  <c r="E162" i="3"/>
  <c r="J161" i="3"/>
  <c r="E161" i="3"/>
  <c r="J160" i="3"/>
  <c r="E160" i="3"/>
  <c r="J159" i="3"/>
  <c r="E159" i="3"/>
  <c r="J158" i="3"/>
  <c r="E158" i="3"/>
  <c r="J157" i="3"/>
  <c r="E157" i="3"/>
  <c r="J156" i="3"/>
  <c r="E156" i="3"/>
  <c r="J155" i="3"/>
  <c r="E155" i="3"/>
  <c r="J154" i="3"/>
  <c r="E154" i="3"/>
  <c r="J153" i="3"/>
  <c r="E153" i="3"/>
  <c r="J152" i="3"/>
  <c r="E152" i="3"/>
  <c r="J151" i="3"/>
  <c r="E151" i="3"/>
  <c r="J150" i="3"/>
  <c r="E150" i="3"/>
  <c r="J149" i="3"/>
  <c r="E149" i="3"/>
  <c r="J148" i="3"/>
  <c r="E148" i="3"/>
  <c r="J147" i="3"/>
  <c r="E147" i="3"/>
  <c r="J146" i="3"/>
  <c r="E146" i="3"/>
  <c r="J145" i="3"/>
  <c r="E145" i="3"/>
  <c r="J144" i="3"/>
  <c r="E144" i="3"/>
  <c r="J143" i="3"/>
  <c r="E143" i="3"/>
  <c r="J142" i="3"/>
  <c r="E142" i="3"/>
  <c r="J141" i="3"/>
  <c r="E141" i="3"/>
  <c r="J140" i="3"/>
  <c r="E140" i="3"/>
  <c r="J139" i="3"/>
  <c r="E139" i="3"/>
  <c r="J138" i="3"/>
  <c r="E138" i="3"/>
  <c r="J137" i="3"/>
  <c r="E137" i="3"/>
  <c r="J136" i="3"/>
  <c r="E136" i="3"/>
  <c r="J135" i="3"/>
  <c r="E135" i="3"/>
  <c r="J134" i="3"/>
  <c r="E134" i="3"/>
  <c r="J133" i="3"/>
  <c r="E133" i="3"/>
  <c r="J132" i="3"/>
  <c r="E132" i="3"/>
  <c r="J131" i="3"/>
  <c r="E131" i="3"/>
  <c r="J130" i="3"/>
  <c r="E130" i="3"/>
  <c r="J129" i="3"/>
  <c r="E129" i="3"/>
  <c r="J128" i="3"/>
  <c r="E128" i="3"/>
  <c r="J127" i="3"/>
  <c r="E127" i="3"/>
  <c r="J126" i="3"/>
  <c r="E126" i="3"/>
  <c r="J125" i="3"/>
  <c r="E125" i="3"/>
  <c r="J124" i="3"/>
  <c r="E124" i="3"/>
  <c r="J123" i="3"/>
  <c r="E123" i="3"/>
  <c r="J122" i="3"/>
  <c r="E122" i="3"/>
  <c r="J121" i="3"/>
  <c r="E121" i="3"/>
  <c r="J120" i="3"/>
  <c r="E120" i="3"/>
  <c r="J119" i="3"/>
  <c r="E119" i="3"/>
  <c r="J118" i="3"/>
  <c r="E118" i="3"/>
  <c r="J117" i="3"/>
  <c r="E117" i="3"/>
  <c r="J116" i="3"/>
  <c r="E116" i="3"/>
  <c r="J115" i="3"/>
  <c r="E115" i="3"/>
  <c r="J114" i="3"/>
  <c r="E114" i="3"/>
  <c r="J113" i="3"/>
  <c r="E113" i="3"/>
  <c r="J112" i="3"/>
  <c r="E112" i="3"/>
  <c r="J111" i="3"/>
  <c r="E111" i="3"/>
  <c r="J110" i="3"/>
  <c r="E110" i="3"/>
  <c r="J109" i="3"/>
  <c r="E109" i="3"/>
  <c r="J108" i="3"/>
  <c r="E108" i="3"/>
  <c r="J107" i="3"/>
  <c r="E107" i="3"/>
  <c r="J106" i="3"/>
  <c r="E106" i="3"/>
  <c r="J105" i="3"/>
  <c r="E105" i="3"/>
  <c r="J104" i="3"/>
  <c r="E104" i="3"/>
  <c r="J103" i="3"/>
  <c r="E103" i="3"/>
  <c r="J102" i="3"/>
  <c r="E102" i="3"/>
  <c r="J101" i="3"/>
  <c r="E101" i="3"/>
  <c r="J100" i="3"/>
  <c r="E100" i="3"/>
  <c r="J99" i="3"/>
  <c r="E99" i="3"/>
  <c r="J98" i="3"/>
  <c r="E98" i="3"/>
  <c r="J97" i="3"/>
  <c r="E97" i="3"/>
  <c r="J96" i="3"/>
  <c r="E96" i="3"/>
  <c r="J95" i="3"/>
  <c r="E95" i="3"/>
  <c r="J94" i="3"/>
  <c r="E94" i="3"/>
  <c r="J93" i="3"/>
  <c r="E93" i="3"/>
  <c r="J92" i="3"/>
  <c r="E92" i="3"/>
  <c r="J91" i="3"/>
  <c r="E91" i="3"/>
  <c r="J90" i="3"/>
  <c r="E90" i="3"/>
  <c r="J89" i="3"/>
  <c r="E89" i="3"/>
  <c r="J88" i="3"/>
  <c r="E88" i="3"/>
  <c r="J87" i="3"/>
  <c r="E87" i="3"/>
  <c r="J86" i="3"/>
  <c r="E86" i="3"/>
  <c r="J85" i="3"/>
  <c r="E85" i="3"/>
  <c r="J84" i="3"/>
  <c r="E84" i="3"/>
  <c r="J83" i="3"/>
  <c r="E83" i="3"/>
  <c r="J82" i="3"/>
  <c r="E82" i="3"/>
  <c r="J81" i="3"/>
  <c r="E81" i="3"/>
  <c r="J80" i="3"/>
  <c r="E80" i="3"/>
  <c r="J79" i="3"/>
  <c r="E79" i="3"/>
  <c r="J78" i="3"/>
  <c r="E78" i="3"/>
  <c r="J77" i="3"/>
  <c r="E77" i="3"/>
  <c r="J76" i="3"/>
  <c r="E76" i="3"/>
  <c r="J75" i="3"/>
  <c r="E75" i="3"/>
  <c r="J74" i="3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N43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J21" i="3"/>
  <c r="E21" i="3"/>
  <c r="J20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3" i="3"/>
  <c r="E13" i="3"/>
  <c r="J12" i="3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E12" i="3"/>
  <c r="J11" i="3"/>
  <c r="E11" i="3"/>
  <c r="J10" i="3"/>
  <c r="E10" i="3"/>
  <c r="J9" i="3"/>
  <c r="E9" i="3"/>
  <c r="J8" i="3"/>
  <c r="E8" i="3"/>
  <c r="J7" i="3"/>
  <c r="E7" i="3"/>
  <c r="J6" i="3"/>
  <c r="H6" i="3"/>
  <c r="H7" i="3" s="1"/>
  <c r="H8" i="3" s="1"/>
  <c r="H9" i="3" s="1"/>
  <c r="H10" i="3" s="1"/>
  <c r="H11" i="3" s="1"/>
  <c r="E6" i="3"/>
  <c r="J5" i="3"/>
  <c r="H5" i="3"/>
  <c r="E5" i="3"/>
  <c r="K206" i="2"/>
  <c r="F206" i="2"/>
  <c r="K205" i="2"/>
  <c r="F205" i="2"/>
  <c r="K204" i="2"/>
  <c r="F204" i="2"/>
  <c r="K203" i="2"/>
  <c r="F203" i="2"/>
  <c r="K202" i="2"/>
  <c r="F202" i="2"/>
  <c r="K201" i="2"/>
  <c r="F201" i="2"/>
  <c r="K200" i="2"/>
  <c r="F200" i="2"/>
  <c r="K199" i="2"/>
  <c r="F199" i="2"/>
  <c r="K198" i="2"/>
  <c r="F198" i="2"/>
  <c r="K197" i="2"/>
  <c r="F197" i="2"/>
  <c r="K196" i="2"/>
  <c r="F196" i="2"/>
  <c r="K195" i="2"/>
  <c r="F195" i="2"/>
  <c r="K194" i="2"/>
  <c r="F194" i="2"/>
  <c r="K193" i="2"/>
  <c r="F193" i="2"/>
  <c r="K192" i="2"/>
  <c r="F192" i="2"/>
  <c r="K191" i="2"/>
  <c r="F191" i="2"/>
  <c r="K190" i="2"/>
  <c r="F190" i="2"/>
  <c r="K189" i="2"/>
  <c r="F189" i="2"/>
  <c r="K188" i="2"/>
  <c r="F188" i="2"/>
  <c r="K187" i="2"/>
  <c r="F187" i="2"/>
  <c r="K186" i="2"/>
  <c r="F186" i="2"/>
  <c r="K185" i="2"/>
  <c r="F185" i="2"/>
  <c r="K184" i="2"/>
  <c r="F184" i="2"/>
  <c r="K183" i="2"/>
  <c r="F183" i="2"/>
  <c r="K182" i="2"/>
  <c r="F182" i="2"/>
  <c r="K181" i="2"/>
  <c r="F181" i="2"/>
  <c r="K180" i="2"/>
  <c r="F180" i="2"/>
  <c r="K179" i="2"/>
  <c r="F179" i="2"/>
  <c r="K178" i="2"/>
  <c r="F178" i="2"/>
  <c r="K177" i="2"/>
  <c r="F177" i="2"/>
  <c r="K176" i="2"/>
  <c r="F176" i="2"/>
  <c r="K175" i="2"/>
  <c r="F175" i="2"/>
  <c r="K174" i="2"/>
  <c r="F174" i="2"/>
  <c r="K173" i="2"/>
  <c r="F173" i="2"/>
  <c r="K172" i="2"/>
  <c r="F172" i="2"/>
  <c r="K171" i="2"/>
  <c r="F171" i="2"/>
  <c r="K170" i="2"/>
  <c r="F170" i="2"/>
  <c r="K169" i="2"/>
  <c r="F169" i="2"/>
  <c r="K168" i="2"/>
  <c r="F168" i="2"/>
  <c r="K167" i="2"/>
  <c r="F167" i="2"/>
  <c r="K166" i="2"/>
  <c r="F166" i="2"/>
  <c r="K165" i="2"/>
  <c r="F165" i="2"/>
  <c r="K164" i="2"/>
  <c r="F164" i="2"/>
  <c r="K163" i="2"/>
  <c r="F163" i="2"/>
  <c r="K162" i="2"/>
  <c r="F162" i="2"/>
  <c r="K161" i="2"/>
  <c r="F161" i="2"/>
  <c r="K160" i="2"/>
  <c r="F160" i="2"/>
  <c r="K159" i="2"/>
  <c r="F159" i="2"/>
  <c r="K158" i="2"/>
  <c r="F158" i="2"/>
  <c r="K157" i="2"/>
  <c r="F157" i="2"/>
  <c r="K156" i="2"/>
  <c r="F156" i="2"/>
  <c r="K155" i="2"/>
  <c r="F155" i="2"/>
  <c r="K154" i="2"/>
  <c r="F154" i="2"/>
  <c r="K153" i="2"/>
  <c r="F153" i="2"/>
  <c r="K152" i="2"/>
  <c r="F152" i="2"/>
  <c r="K151" i="2"/>
  <c r="F151" i="2"/>
  <c r="K150" i="2"/>
  <c r="F150" i="2"/>
  <c r="K149" i="2"/>
  <c r="F149" i="2"/>
  <c r="K148" i="2"/>
  <c r="F148" i="2"/>
  <c r="K147" i="2"/>
  <c r="F147" i="2"/>
  <c r="K146" i="2"/>
  <c r="F146" i="2"/>
  <c r="K145" i="2"/>
  <c r="F145" i="2"/>
  <c r="K144" i="2"/>
  <c r="F144" i="2"/>
  <c r="K143" i="2"/>
  <c r="F143" i="2"/>
  <c r="K142" i="2"/>
  <c r="F142" i="2"/>
  <c r="K141" i="2"/>
  <c r="F141" i="2"/>
  <c r="K140" i="2"/>
  <c r="F140" i="2"/>
  <c r="K139" i="2"/>
  <c r="F139" i="2"/>
  <c r="K138" i="2"/>
  <c r="F138" i="2"/>
  <c r="K137" i="2"/>
  <c r="F137" i="2"/>
  <c r="K136" i="2"/>
  <c r="F136" i="2"/>
  <c r="K135" i="2"/>
  <c r="F135" i="2"/>
  <c r="K134" i="2"/>
  <c r="F134" i="2"/>
  <c r="K133" i="2"/>
  <c r="F133" i="2"/>
  <c r="K132" i="2"/>
  <c r="F132" i="2"/>
  <c r="K131" i="2"/>
  <c r="F131" i="2"/>
  <c r="K130" i="2"/>
  <c r="F130" i="2"/>
  <c r="K129" i="2"/>
  <c r="F129" i="2"/>
  <c r="K128" i="2"/>
  <c r="F128" i="2"/>
  <c r="K127" i="2"/>
  <c r="F127" i="2"/>
  <c r="K126" i="2"/>
  <c r="F126" i="2"/>
  <c r="K125" i="2"/>
  <c r="F125" i="2"/>
  <c r="K124" i="2"/>
  <c r="F124" i="2"/>
  <c r="K123" i="2"/>
  <c r="F123" i="2"/>
  <c r="K122" i="2"/>
  <c r="F122" i="2"/>
  <c r="K121" i="2"/>
  <c r="F121" i="2"/>
  <c r="K120" i="2"/>
  <c r="F120" i="2"/>
  <c r="K119" i="2"/>
  <c r="F119" i="2"/>
  <c r="K118" i="2"/>
  <c r="F118" i="2"/>
  <c r="K117" i="2"/>
  <c r="F117" i="2"/>
  <c r="K116" i="2"/>
  <c r="F116" i="2"/>
  <c r="K115" i="2"/>
  <c r="F115" i="2"/>
  <c r="K114" i="2"/>
  <c r="F114" i="2"/>
  <c r="K113" i="2"/>
  <c r="F113" i="2"/>
  <c r="K112" i="2"/>
  <c r="F112" i="2"/>
  <c r="K111" i="2"/>
  <c r="F111" i="2"/>
  <c r="K110" i="2"/>
  <c r="F110" i="2"/>
  <c r="K109" i="2"/>
  <c r="F109" i="2"/>
  <c r="K108" i="2"/>
  <c r="F108" i="2"/>
  <c r="K107" i="2"/>
  <c r="F107" i="2"/>
  <c r="K106" i="2"/>
  <c r="F106" i="2"/>
  <c r="K105" i="2"/>
  <c r="F105" i="2"/>
  <c r="K104" i="2"/>
  <c r="F104" i="2"/>
  <c r="K103" i="2"/>
  <c r="F103" i="2"/>
  <c r="K102" i="2"/>
  <c r="F102" i="2"/>
  <c r="K101" i="2"/>
  <c r="F101" i="2"/>
  <c r="K100" i="2"/>
  <c r="F100" i="2"/>
  <c r="K99" i="2"/>
  <c r="F99" i="2"/>
  <c r="K98" i="2"/>
  <c r="F98" i="2"/>
  <c r="K97" i="2"/>
  <c r="F97" i="2"/>
  <c r="K96" i="2"/>
  <c r="F96" i="2"/>
  <c r="K95" i="2"/>
  <c r="F95" i="2"/>
  <c r="K94" i="2"/>
  <c r="F94" i="2"/>
  <c r="K93" i="2"/>
  <c r="F93" i="2"/>
  <c r="K92" i="2"/>
  <c r="F92" i="2"/>
  <c r="K91" i="2"/>
  <c r="F91" i="2"/>
  <c r="K90" i="2"/>
  <c r="F90" i="2"/>
  <c r="K89" i="2"/>
  <c r="F89" i="2"/>
  <c r="K88" i="2"/>
  <c r="F88" i="2"/>
  <c r="K87" i="2"/>
  <c r="F87" i="2"/>
  <c r="K86" i="2"/>
  <c r="F86" i="2"/>
  <c r="K85" i="2"/>
  <c r="F85" i="2"/>
  <c r="K84" i="2"/>
  <c r="F84" i="2"/>
  <c r="K83" i="2"/>
  <c r="F83" i="2"/>
  <c r="K82" i="2"/>
  <c r="F82" i="2"/>
  <c r="K81" i="2"/>
  <c r="F81" i="2"/>
  <c r="K80" i="2"/>
  <c r="F80" i="2"/>
  <c r="K79" i="2"/>
  <c r="F79" i="2"/>
  <c r="K78" i="2"/>
  <c r="F78" i="2"/>
  <c r="K77" i="2"/>
  <c r="F77" i="2"/>
  <c r="K76" i="2"/>
  <c r="F76" i="2"/>
  <c r="K75" i="2"/>
  <c r="F75" i="2"/>
  <c r="K74" i="2"/>
  <c r="F74" i="2"/>
  <c r="K73" i="2"/>
  <c r="F73" i="2"/>
  <c r="K72" i="2"/>
  <c r="F72" i="2"/>
  <c r="K71" i="2"/>
  <c r="F71" i="2"/>
  <c r="K70" i="2"/>
  <c r="F70" i="2"/>
  <c r="K69" i="2"/>
  <c r="F69" i="2"/>
  <c r="K68" i="2"/>
  <c r="F68" i="2"/>
  <c r="K67" i="2"/>
  <c r="F67" i="2"/>
  <c r="K66" i="2"/>
  <c r="F66" i="2"/>
  <c r="K65" i="2"/>
  <c r="F65" i="2"/>
  <c r="K64" i="2"/>
  <c r="F64" i="2"/>
  <c r="K63" i="2"/>
  <c r="F63" i="2"/>
  <c r="K62" i="2"/>
  <c r="F62" i="2"/>
  <c r="K61" i="2"/>
  <c r="F61" i="2"/>
  <c r="K60" i="2"/>
  <c r="F60" i="2"/>
  <c r="K59" i="2"/>
  <c r="F59" i="2"/>
  <c r="K58" i="2"/>
  <c r="F58" i="2"/>
  <c r="K57" i="2"/>
  <c r="F57" i="2"/>
  <c r="K56" i="2"/>
  <c r="F56" i="2"/>
  <c r="K55" i="2"/>
  <c r="F55" i="2"/>
  <c r="K54" i="2"/>
  <c r="F54" i="2"/>
  <c r="K53" i="2"/>
  <c r="F53" i="2"/>
  <c r="K52" i="2"/>
  <c r="F52" i="2"/>
  <c r="K51" i="2"/>
  <c r="F51" i="2"/>
  <c r="K50" i="2"/>
  <c r="F50" i="2"/>
  <c r="K49" i="2"/>
  <c r="F49" i="2"/>
  <c r="K48" i="2"/>
  <c r="F48" i="2"/>
  <c r="K47" i="2"/>
  <c r="F47" i="2"/>
  <c r="K46" i="2"/>
  <c r="F46" i="2"/>
  <c r="K45" i="2"/>
  <c r="F45" i="2"/>
  <c r="K44" i="2"/>
  <c r="F44" i="2"/>
  <c r="K43" i="2"/>
  <c r="F43" i="2"/>
  <c r="K42" i="2"/>
  <c r="F42" i="2"/>
  <c r="K41" i="2"/>
  <c r="F41" i="2"/>
  <c r="K40" i="2"/>
  <c r="F40" i="2"/>
  <c r="K39" i="2"/>
  <c r="F39" i="2"/>
  <c r="K38" i="2"/>
  <c r="F38" i="2"/>
  <c r="K37" i="2"/>
  <c r="F37" i="2"/>
  <c r="K36" i="2"/>
  <c r="F36" i="2"/>
  <c r="K35" i="2"/>
  <c r="F35" i="2"/>
  <c r="K34" i="2"/>
  <c r="F34" i="2"/>
  <c r="K33" i="2"/>
  <c r="F33" i="2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K15" i="2"/>
  <c r="F15" i="2"/>
  <c r="K14" i="2"/>
  <c r="F14" i="2"/>
  <c r="K13" i="2"/>
  <c r="F13" i="2"/>
  <c r="K12" i="2"/>
  <c r="F12" i="2"/>
  <c r="K11" i="2"/>
  <c r="F11" i="2"/>
  <c r="K10" i="2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F10" i="2"/>
  <c r="K9" i="2"/>
  <c r="F9" i="2"/>
  <c r="K8" i="2"/>
  <c r="F8" i="2"/>
  <c r="K7" i="2"/>
  <c r="F7" i="2"/>
  <c r="K6" i="2"/>
  <c r="I6" i="2"/>
  <c r="I7" i="2" s="1"/>
  <c r="I8" i="2" s="1"/>
  <c r="I9" i="2" s="1"/>
  <c r="F6" i="2"/>
  <c r="K5" i="2"/>
  <c r="I5" i="2"/>
  <c r="F5" i="2"/>
  <c r="B11" i="12"/>
  <c r="G10" i="12"/>
  <c r="E10" i="12"/>
  <c r="D10" i="12"/>
  <c r="C10" i="12"/>
  <c r="F10" i="12" s="1"/>
  <c r="B10" i="12"/>
  <c r="B21" i="12" s="1"/>
  <c r="X10" i="11"/>
  <c r="G21" i="12" l="1"/>
  <c r="F21" i="12"/>
  <c r="D21" i="12"/>
  <c r="C21" i="12"/>
  <c r="B12" i="12"/>
  <c r="D11" i="12"/>
  <c r="B22" i="12"/>
  <c r="C11" i="12"/>
  <c r="F11" i="12" s="1"/>
  <c r="H10" i="12"/>
  <c r="G11" i="12" l="1"/>
  <c r="E11" i="12"/>
  <c r="B13" i="12"/>
  <c r="B23" i="12"/>
  <c r="D12" i="12"/>
  <c r="C12" i="12"/>
  <c r="F12" i="12" s="1"/>
  <c r="H21" i="12"/>
  <c r="E21" i="12"/>
  <c r="G22" i="12"/>
  <c r="F22" i="12"/>
  <c r="H22" i="12" s="1"/>
  <c r="D22" i="12"/>
  <c r="C22" i="12"/>
  <c r="G23" i="12" l="1"/>
  <c r="F23" i="12"/>
  <c r="H23" i="12" s="1"/>
  <c r="D23" i="12"/>
  <c r="C23" i="12"/>
  <c r="I21" i="12"/>
  <c r="C13" i="12"/>
  <c r="F13" i="12" s="1"/>
  <c r="B14" i="12"/>
  <c r="B24" i="12"/>
  <c r="D13" i="12"/>
  <c r="E12" i="12"/>
  <c r="G12" i="12"/>
  <c r="H12" i="12" s="1"/>
  <c r="H11" i="12"/>
  <c r="E22" i="12"/>
  <c r="I22" i="12" s="1"/>
  <c r="G13" i="12" l="1"/>
  <c r="E13" i="12"/>
  <c r="G24" i="12"/>
  <c r="F24" i="12"/>
  <c r="H24" i="12" s="1"/>
  <c r="D24" i="12"/>
  <c r="C24" i="12"/>
  <c r="D14" i="12"/>
  <c r="C14" i="12"/>
  <c r="F14" i="12" s="1"/>
  <c r="B25" i="12"/>
  <c r="B15" i="12"/>
  <c r="E23" i="12"/>
  <c r="I23" i="12" s="1"/>
  <c r="E24" i="12" l="1"/>
  <c r="D15" i="12"/>
  <c r="C15" i="12"/>
  <c r="F15" i="12" s="1"/>
  <c r="F16" i="12" s="1"/>
  <c r="B26" i="12"/>
  <c r="G25" i="12"/>
  <c r="F25" i="12"/>
  <c r="D25" i="12"/>
  <c r="C25" i="12"/>
  <c r="H13" i="12"/>
  <c r="G14" i="12"/>
  <c r="H14" i="12" s="1"/>
  <c r="E14" i="12"/>
  <c r="E15" i="12" l="1"/>
  <c r="E16" i="12" s="1"/>
  <c r="G15" i="12"/>
  <c r="H15" i="12" s="1"/>
  <c r="D16" i="12"/>
  <c r="H16" i="12"/>
  <c r="C16" i="12"/>
  <c r="E25" i="12"/>
  <c r="G26" i="12"/>
  <c r="G27" i="12" s="1"/>
  <c r="F26" i="12"/>
  <c r="D26" i="12"/>
  <c r="D27" i="12" s="1"/>
  <c r="C26" i="12"/>
  <c r="E26" i="12" s="1"/>
  <c r="G16" i="12"/>
  <c r="I24" i="12"/>
  <c r="H25" i="12"/>
  <c r="I26" i="12" l="1"/>
  <c r="I27" i="12" s="1"/>
  <c r="H27" i="12"/>
  <c r="C27" i="12"/>
  <c r="E27" i="12"/>
  <c r="I25" i="12"/>
  <c r="H26" i="12"/>
  <c r="F27" i="12"/>
</calcChain>
</file>

<file path=xl/sharedStrings.xml><?xml version="1.0" encoding="utf-8"?>
<sst xmlns="http://schemas.openxmlformats.org/spreadsheetml/2006/main" count="4081" uniqueCount="340">
  <si>
    <t>Obra</t>
  </si>
  <si>
    <t>México-Toluca</t>
  </si>
  <si>
    <t>Lerma - Tres Marías</t>
  </si>
  <si>
    <t>Chamapa-Lechería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</si>
  <si>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</si>
  <si>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</si>
  <si>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</si>
  <si>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</si>
  <si>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</si>
  <si>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</si>
  <si>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</si>
  <si>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</si>
  <si>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</si>
  <si>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</si>
  <si>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</si>
  <si>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</si>
  <si>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</si>
  <si>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</si>
  <si>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</si>
  <si>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</si>
  <si>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</si>
  <si>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</si>
  <si>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</si>
  <si>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</si>
  <si>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</si>
  <si>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</si>
  <si>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</si>
  <si>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</si>
  <si>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</si>
  <si>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</si>
  <si>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</si>
  <si>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</si>
  <si>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</si>
  <si>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</si>
  <si>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</si>
  <si>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</si>
  <si>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</si>
  <si>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</si>
  <si>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</si>
  <si>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</si>
  <si>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</si>
  <si>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</si>
  <si>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</si>
  <si>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</si>
  <si>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</si>
  <si>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FR-01</t>
  </si>
  <si>
    <t>Fresadora</t>
  </si>
  <si>
    <t>L3M</t>
  </si>
  <si>
    <t>PEG</t>
  </si>
  <si>
    <t>Tanque Pegaso</t>
  </si>
  <si>
    <t>CP-01</t>
  </si>
  <si>
    <t>Compactador</t>
  </si>
  <si>
    <t>CL</t>
  </si>
  <si>
    <t>M01</t>
  </si>
  <si>
    <t>Marimba M-01</t>
  </si>
  <si>
    <t>EX-01</t>
  </si>
  <si>
    <t>Excavadora</t>
  </si>
  <si>
    <t>DIR</t>
  </si>
  <si>
    <t>Carga directa</t>
  </si>
  <si>
    <t>RT-01</t>
  </si>
  <si>
    <t>Retroexcavadora</t>
  </si>
  <si>
    <t>Otro</t>
  </si>
  <si>
    <t>MG-01</t>
  </si>
  <si>
    <t>Motoconformadora</t>
  </si>
  <si>
    <t>PT-01</t>
  </si>
  <si>
    <t>Petrolizadora</t>
  </si>
  <si>
    <t>PP-01</t>
  </si>
  <si>
    <t>Pipa</t>
  </si>
  <si>
    <t>CM-01</t>
  </si>
  <si>
    <t>Camión</t>
  </si>
  <si>
    <t>CR-01</t>
  </si>
  <si>
    <t>Cargador</t>
  </si>
  <si>
    <t>Salida Directa Máquina</t>
  </si>
  <si>
    <t>Salida a Obra</t>
  </si>
  <si>
    <t>Pegaso Directo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</si>
  <si>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</si>
  <si>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</si>
  <si>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</si>
  <si>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</si>
  <si>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</si>
  <si>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</si>
  <si>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</si>
  <si>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</si>
  <si>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</si>
  <si>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</si>
  <si>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</si>
  <si>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</si>
  <si>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</si>
  <si>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</si>
  <si>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</si>
  <si>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PR-03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</si>
  <si>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</si>
  <si>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</si>
  <si>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</si>
  <si>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</si>
  <si>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</si>
  <si>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</si>
  <si>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</si>
  <si>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</si>
  <si>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</si>
  <si>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</si>
  <si>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</si>
  <si>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</si>
  <si>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</si>
  <si>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</si>
  <si>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</si>
  <si>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</si>
  <si>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</si>
  <si>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</si>
  <si>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</si>
  <si>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</si>
  <si>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</si>
  <si>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</si>
  <si>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</si>
  <si>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</si>
  <si>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</si>
  <si>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</si>
  <si>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</si>
  <si>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</si>
  <si>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</si>
  <si>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</si>
  <si>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Samuel Ortega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</si>
  <si>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</si>
  <si>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</si>
  <si>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</si>
  <si>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</si>
  <si>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</si>
  <si>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</si>
  <si>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</si>
  <si>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</si>
  <si>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</si>
  <si>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</si>
  <si>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Otr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</si>
  <si>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</si>
  <si>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</si>
  <si>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</si>
  <si>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</si>
  <si>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</si>
  <si>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</si>
  <si>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</si>
  <si>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</si>
  <si>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</si>
  <si>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</si>
  <si>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</si>
  <si>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</si>
  <si>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</si>
  <si>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</si>
  <si>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</si>
  <si>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</si>
  <si>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</si>
  <si>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</si>
  <si>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</si>
  <si>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</si>
  <si>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</si>
  <si>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</si>
  <si>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</si>
  <si>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</si>
  <si>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</si>
  <si>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</si>
  <si>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</si>
  <si>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</si>
  <si>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</si>
  <si>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</si>
  <si>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</si>
  <si>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</si>
  <si>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</si>
  <si>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</si>
  <si>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</si>
  <si>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</si>
  <si>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</si>
  <si>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</si>
  <si>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</si>
  <si>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</si>
  <si>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</si>
  <si>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</si>
  <si>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</si>
  <si>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</si>
  <si>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</si>
  <si>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</si>
  <si>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</si>
  <si>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</si>
  <si>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</si>
  <si>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</si>
  <si>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</si>
  <si>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</si>
  <si>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</si>
  <si>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</si>
  <si>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</si>
  <si>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</si>
  <si>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</si>
  <si>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</si>
  <si>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</si>
  <si>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</si>
  <si>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</si>
  <si>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</si>
  <si>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</si>
  <si>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</si>
  <si>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ID_TICKET</t>
  </si>
  <si>
    <t>SEMANA</t>
  </si>
  <si>
    <t>FECHA</t>
  </si>
  <si>
    <t>OBRA</t>
  </si>
  <si>
    <t>TIPO_REGISTRO</t>
  </si>
  <si>
    <t>EQUIPO_CONCEPTO</t>
  </si>
  <si>
    <t>LITROS</t>
  </si>
  <si>
    <t>PRECIO_UNITARIO</t>
  </si>
  <si>
    <t>COSTO_TOTAL</t>
  </si>
  <si>
    <t>CATEGORIA</t>
  </si>
  <si>
    <t>OBSERVACIONES</t>
  </si>
  <si>
    <t>1. Solicitud</t>
  </si>
  <si>
    <t>DIESEL</t>
  </si>
  <si>
    <t>Generador</t>
  </si>
  <si>
    <t>Criba Roja</t>
  </si>
  <si>
    <t>Tandem CAT</t>
  </si>
  <si>
    <t>PERFILADORA RODATEC RX600E</t>
  </si>
  <si>
    <t>BARREDORA LAYMOR SM400</t>
  </si>
  <si>
    <t>RETROEXCAVADORA JHONDEREE 310 K</t>
  </si>
  <si>
    <t>PAVIMENTADORA VOGELE 1800-3 I</t>
  </si>
  <si>
    <t>DOBLE RODILLO RAD ROLLER FILY-325 PRO</t>
  </si>
  <si>
    <t>NEUMATICO / COMPACTADOR DE NEUMATICOS DINAPAC CP271</t>
  </si>
  <si>
    <t>IMPACTO FORD 4300</t>
  </si>
  <si>
    <t>COMPRESOR SULLIVAN PALATEK D2010</t>
  </si>
  <si>
    <t>PETROLIZADORA INTERNATIONAL</t>
  </si>
  <si>
    <t>GENERADOR</t>
  </si>
  <si>
    <t>RETROEXCAVADORA CASE 580 N</t>
  </si>
  <si>
    <t>MAXILIGHT</t>
  </si>
  <si>
    <t>CRIBA ROJA</t>
  </si>
  <si>
    <t>TANDEM DOBLE RODILLO / VIBROCOMPACTOR RODILLO CAT CB54</t>
  </si>
  <si>
    <t>NEUMATICO VOLVO PT-240R</t>
  </si>
  <si>
    <t>BARREDORA BROCE BROOM KR350</t>
  </si>
  <si>
    <t>HOMBRE A BORDO</t>
  </si>
  <si>
    <t>LIMPIEZA</t>
  </si>
  <si>
    <t>PAYLODER</t>
  </si>
  <si>
    <t>CALDERA TECNO</t>
  </si>
  <si>
    <t>CALDERA TRIASO</t>
  </si>
  <si>
    <t>PIPA DE AGUA (IMPACTO 01) FORD</t>
  </si>
  <si>
    <t>Planta Asfalto Huixquilucan</t>
  </si>
  <si>
    <t>GENERADOR PLANTA AMMANN</t>
  </si>
  <si>
    <t>TORRE DE LUZ MAXILIGHT</t>
  </si>
  <si>
    <t>CALDERA</t>
  </si>
  <si>
    <t>CARGADOR CASE 821 F</t>
  </si>
  <si>
    <t>CRIBA RAP</t>
  </si>
  <si>
    <t>DOBLE RODILLO/VIBROCOMPACTADOR DE RODILLOS HAMM 120HD VV</t>
  </si>
  <si>
    <t>BARREDORA BROCE RJ350</t>
  </si>
  <si>
    <t>BIDONES</t>
  </si>
  <si>
    <t>MOTOCONFORMADORA CAT 120H</t>
  </si>
  <si>
    <t>VIBROCOMPACTADOR CATERPILLAR CB66B</t>
  </si>
  <si>
    <t>2. Consumo Real</t>
  </si>
  <si>
    <t>Maquinaria Pegaso</t>
  </si>
  <si>
    <t>PERFILADORA WIRGENT-W200i</t>
  </si>
  <si>
    <t>RETROEXCAVADORA JHONDEREE 310SK</t>
  </si>
  <si>
    <t>PAVIMENTADORA  VOGELE 1800-3 i</t>
  </si>
  <si>
    <t>PAVIMENTADORA  VOGELE SJ 1800-3</t>
  </si>
  <si>
    <t>PETROLIZADORA    INTERNATIONAL</t>
  </si>
  <si>
    <t>DOBLE RODILLO/VIBROCOMPACTADOR DE RODILLOS HAMM 140HD</t>
  </si>
  <si>
    <t>GENERADOR AMMANN</t>
  </si>
  <si>
    <t>PERFILADORA RODATEC RX600-4-4008</t>
  </si>
  <si>
    <t>Dragones</t>
  </si>
  <si>
    <t>PAVIMENTADORA VOGELE SJ 1800-3</t>
  </si>
  <si>
    <t>PAVIMENTADORA VOGELE 1800-2 SJ</t>
  </si>
  <si>
    <t>COMPRESOR  SULLIVAN PALATEK D2010</t>
  </si>
  <si>
    <t>PAVIMENTADORA  VOGELE 1800-2 SJ</t>
  </si>
  <si>
    <t>MOTOCONFORMADORA RENTADA</t>
  </si>
  <si>
    <t>AUTOTANQUE(QUEMADOR)</t>
  </si>
  <si>
    <t>Providencia</t>
  </si>
  <si>
    <t>NEUMATICO VOLVO PT-125R</t>
  </si>
  <si>
    <t>CAMION DE SELLO</t>
  </si>
  <si>
    <t>(Captura_Marimba_M01) Neuomatico</t>
  </si>
  <si>
    <t>(Captura_Marimba_M01) Compactador</t>
  </si>
  <si>
    <t>(Captura_Marimba_M01) Perfiladora</t>
  </si>
  <si>
    <t>(Captura_Marimba_M01) Retroexcavadora</t>
  </si>
  <si>
    <t>(Captura_Marimba_M01) Vogel</t>
  </si>
  <si>
    <t>(Captura_Marimba_M01) Perfiladora Wirgent</t>
  </si>
  <si>
    <t>(Captura_Marimba_M01) Maxilihgs</t>
  </si>
  <si>
    <t>(Captura_Marimba_M01) Neuomatico Dynapac</t>
  </si>
  <si>
    <t>(Captura_Marimba_M01) Compresor</t>
  </si>
  <si>
    <t>(Captura_Marimba_M01) Retroexcavadora Jonh Deere</t>
  </si>
  <si>
    <t>(Captura_Marimba_M01) Vogele Guion</t>
  </si>
  <si>
    <t>(Captura_Marimba_M01) Petrolizadora Elton</t>
  </si>
  <si>
    <t>(Captura_Marimba_M01) Barredora Broce</t>
  </si>
  <si>
    <t>(Captura_Marimba_M01) Buggy Trasnfer</t>
  </si>
  <si>
    <t>(Captura_Marimba_M01) Tandem Hamm</t>
  </si>
  <si>
    <t>(Captura_Marimba_M01) Barredora</t>
  </si>
  <si>
    <t>(Captura_Marimba_M01) PERFILADORA WIRGENT-W200i</t>
  </si>
  <si>
    <t>(Captura_Marimba_M01) RETROEXCAVADORA JHONDEREE 310SK</t>
  </si>
  <si>
    <t>(Captura_Marimba_M01) TANDEM DOBLE RODILLO / VIBROCOMPACTOR RODILLO CAT CB54</t>
  </si>
  <si>
    <t>(Captura_Marimba_M01) NEUMATICO VOLVO PT-240R</t>
  </si>
  <si>
    <t>(Captura_Marimba_M01) PAVIMENTADORA  VOGELE SJ 1800-3</t>
  </si>
  <si>
    <t>(Captura_Marimba_M01) PETROLIZADORA    INTERNATIONAL</t>
  </si>
  <si>
    <t>(Captura_Marimba_M01) BARREDORA BROCE RJ350</t>
  </si>
  <si>
    <t>Jalisco</t>
  </si>
  <si>
    <t>(Captura_Jalisco) Motoconformadora Rentada</t>
  </si>
  <si>
    <t>(Captura_Jalisco) Motoconformadora</t>
  </si>
  <si>
    <t>(Captura_Jalisco) Retroexcavadora</t>
  </si>
  <si>
    <t>(Captura_Jalisco) Vibro Compactador</t>
  </si>
  <si>
    <t>(Captura_Jalisco) Pipa</t>
  </si>
  <si>
    <t>(Captura_Jalisco) Excavadora</t>
  </si>
  <si>
    <t>(Captura_Jalisco) EXCAVADORA</t>
  </si>
  <si>
    <t>(Captura_Jalisco) RETROEXCAVADORA CASE 580 N</t>
  </si>
  <si>
    <t>(Captura_Jalisco) TRACTOR</t>
  </si>
  <si>
    <t>(Captura_Jalisco) MOTOCONFORMADORA RENTADA</t>
  </si>
  <si>
    <t>Transportes Pegaso</t>
  </si>
  <si>
    <t>4. Facturas</t>
  </si>
  <si>
    <t>Factura: A-10128</t>
  </si>
  <si>
    <t>Facturacion</t>
  </si>
  <si>
    <t>Factura: A-10053</t>
  </si>
  <si>
    <t>Factura: A-10056</t>
  </si>
  <si>
    <t>Factura: A-10148</t>
  </si>
  <si>
    <t>Factura: A-10166</t>
  </si>
  <si>
    <t>Factura: A-10167</t>
  </si>
  <si>
    <t>Factura: A-10168</t>
  </si>
  <si>
    <t>Factura: A-10172</t>
  </si>
  <si>
    <t>Factura: A-10198</t>
  </si>
  <si>
    <t>Factura: A-10211</t>
  </si>
  <si>
    <t>Factura: A-10213</t>
  </si>
  <si>
    <t>Factura: A-10214</t>
  </si>
  <si>
    <t>Factura: A-10216</t>
  </si>
  <si>
    <t>Factura: A-10225</t>
  </si>
  <si>
    <t>Factura: A-10226</t>
  </si>
  <si>
    <t>Factura: A-10058</t>
  </si>
  <si>
    <t>Factura: A-10072</t>
  </si>
  <si>
    <t>Factura: A-10088</t>
  </si>
  <si>
    <t>Factura: A-10087</t>
  </si>
  <si>
    <t>Factura: A-10078</t>
  </si>
  <si>
    <t>Factura: A-10108</t>
  </si>
  <si>
    <t>Factura: A-23783082</t>
  </si>
  <si>
    <t>Factura: A-10052</t>
  </si>
  <si>
    <t>Factura: A-10090</t>
  </si>
  <si>
    <t>Factura: A-10091</t>
  </si>
  <si>
    <t>Factura: A-10113</t>
  </si>
  <si>
    <t>Factura: A-10111</t>
  </si>
  <si>
    <t>TABLAS DINAMICAS DE OPERACION (VOLUMEN)</t>
  </si>
  <si>
    <t>Etiquetas de fila</t>
  </si>
  <si>
    <t>Total general</t>
  </si>
  <si>
    <t>Etiquetas de columna</t>
  </si>
  <si>
    <t>Cuenta de Lts Operativos</t>
  </si>
  <si>
    <t>TABLAS DINAMICAS DE COSTOS Y FINANZAS</t>
  </si>
  <si>
    <t>Cuenta de Costo Total</t>
  </si>
  <si>
    <t>Total Cuenta de Costo Total</t>
  </si>
  <si>
    <t>Total Cuenta de Litros</t>
  </si>
  <si>
    <t>Cuenta de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</si>
</sst>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&quot;$&quot;#,##0.00"/>
    <numFmt numFmtId="166" formatCode="yyyy\-mm\-dd"/>
    <numFmt numFmtId="167" formatCode="dd/mm/\y\y\y\y"/>
  </numFmts>
  <fonts count="394"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FF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b/>
      <sz val="10"/>
      <color rgb="FFFFFFFF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b/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Segoe UI"/>
    </font>
    <font>
      <b/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sz val="11"/>
      <name val="Segoe UI"/>
    </font>
    <font>
      <b/>
      <sz val="11"/>
      <name val="Carlito"/>
    </font>
  </fonts>
  <fills count="39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8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165" fontId="1" fillId="0" borderId="0" xfId="1" applyNumberFormat="1"/>
    <xf numFmtId="0" fontId="10" fillId="7" borderId="4" xfId="0" applyFont="1" applyFill="1" applyBorder="1" applyAlignment="1">
      <alignment horizontal="right"/>
    </xf>
    <xf numFmtId="0" fontId="11" fillId="8" borderId="5" xfId="0" applyFont="1" applyFill="1" applyBorder="1" applyAlignment="1">
      <alignment horizontal="right"/>
    </xf>
    <xf numFmtId="0" fontId="12" fillId="9" borderId="6" xfId="0" applyFont="1" applyFill="1" applyBorder="1" applyAlignment="1">
      <alignment horizontal="right"/>
    </xf>
    <xf numFmtId="0" fontId="13" fillId="10" borderId="7" xfId="0" applyFont="1" applyFill="1" applyBorder="1"/>
    <xf numFmtId="166" fontId="14" fillId="11" borderId="8" xfId="0" applyNumberFormat="1" applyFont="1" applyFill="1" applyBorder="1"/>
    <xf numFmtId="164" fontId="15" fillId="12" borderId="9" xfId="0" applyNumberFormat="1" applyFont="1" applyFill="1" applyBorder="1"/>
    <xf numFmtId="0" fontId="17" fillId="14" borderId="11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9" fillId="16" borderId="13" xfId="0" applyFont="1" applyFill="1" applyBorder="1" applyAlignment="1">
      <alignment horizontal="center" vertical="center"/>
    </xf>
    <xf numFmtId="0" fontId="20" fillId="17" borderId="14" xfId="0" applyFont="1" applyFill="1" applyBorder="1" applyAlignment="1">
      <alignment horizontal="center" vertical="center"/>
    </xf>
    <xf numFmtId="0" fontId="21" fillId="18" borderId="15" xfId="0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center" vertical="center"/>
    </xf>
    <xf numFmtId="0" fontId="23" fillId="20" borderId="17" xfId="0" applyFont="1" applyFill="1" applyBorder="1" applyAlignment="1">
      <alignment horizontal="center" vertical="center"/>
    </xf>
    <xf numFmtId="0" fontId="24" fillId="21" borderId="18" xfId="0" applyFont="1" applyFill="1" applyBorder="1" applyAlignment="1">
      <alignment horizontal="center" vertical="center"/>
    </xf>
    <xf numFmtId="0" fontId="25" fillId="22" borderId="19" xfId="0" applyFont="1" applyFill="1" applyBorder="1" applyAlignment="1">
      <alignment horizontal="center"/>
    </xf>
    <xf numFmtId="166" fontId="26" fillId="23" borderId="20" xfId="0" applyNumberFormat="1" applyFont="1" applyFill="1" applyBorder="1" applyAlignment="1">
      <alignment horizontal="center"/>
    </xf>
    <xf numFmtId="3" fontId="27" fillId="24" borderId="21" xfId="0" applyNumberFormat="1" applyFont="1" applyFill="1" applyBorder="1"/>
    <xf numFmtId="3" fontId="28" fillId="25" borderId="22" xfId="0" applyNumberFormat="1" applyFont="1" applyFill="1" applyBorder="1"/>
    <xf numFmtId="3" fontId="29" fillId="26" borderId="23" xfId="0" applyNumberFormat="1" applyFont="1" applyFill="1" applyBorder="1"/>
    <xf numFmtId="164" fontId="30" fillId="27" borderId="24" xfId="0" applyNumberFormat="1" applyFont="1" applyFill="1" applyBorder="1"/>
    <xf numFmtId="164" fontId="31" fillId="28" borderId="25" xfId="0" applyNumberFormat="1" applyFont="1" applyFill="1" applyBorder="1"/>
    <xf numFmtId="164" fontId="32" fillId="29" borderId="26" xfId="0" applyNumberFormat="1" applyFont="1" applyFill="1" applyBorder="1"/>
    <xf numFmtId="0" fontId="33" fillId="30" borderId="27" xfId="0" applyFont="1" applyFill="1" applyBorder="1" applyAlignment="1">
      <alignment horizontal="center"/>
    </xf>
    <xf numFmtId="166" fontId="34" fillId="31" borderId="28" xfId="0" applyNumberFormat="1" applyFont="1" applyFill="1" applyBorder="1" applyAlignment="1">
      <alignment horizontal="center"/>
    </xf>
    <xf numFmtId="3" fontId="35" fillId="32" borderId="29" xfId="0" applyNumberFormat="1" applyFont="1" applyFill="1" applyBorder="1"/>
    <xf numFmtId="3" fontId="36" fillId="33" borderId="30" xfId="0" applyNumberFormat="1" applyFont="1" applyFill="1" applyBorder="1"/>
    <xf numFmtId="3" fontId="37" fillId="34" borderId="31" xfId="0" applyNumberFormat="1" applyFont="1" applyFill="1" applyBorder="1"/>
    <xf numFmtId="164" fontId="38" fillId="35" borderId="32" xfId="0" applyNumberFormat="1" applyFont="1" applyFill="1" applyBorder="1"/>
    <xf numFmtId="164" fontId="39" fillId="36" borderId="33" xfId="0" applyNumberFormat="1" applyFont="1" applyFill="1" applyBorder="1"/>
    <xf numFmtId="164" fontId="40" fillId="37" borderId="34" xfId="0" applyNumberFormat="1" applyFont="1" applyFill="1" applyBorder="1"/>
    <xf numFmtId="0" fontId="41" fillId="38" borderId="35" xfId="0" applyFont="1" applyFill="1" applyBorder="1" applyAlignment="1">
      <alignment horizontal="center"/>
    </xf>
    <xf numFmtId="166" fontId="42" fillId="39" borderId="36" xfId="0" applyNumberFormat="1" applyFont="1" applyFill="1" applyBorder="1" applyAlignment="1">
      <alignment horizontal="center"/>
    </xf>
    <xf numFmtId="3" fontId="43" fillId="40" borderId="37" xfId="0" applyNumberFormat="1" applyFont="1" applyFill="1" applyBorder="1"/>
    <xf numFmtId="3" fontId="44" fillId="41" borderId="38" xfId="0" applyNumberFormat="1" applyFont="1" applyFill="1" applyBorder="1"/>
    <xf numFmtId="3" fontId="45" fillId="42" borderId="39" xfId="0" applyNumberFormat="1" applyFont="1" applyFill="1" applyBorder="1"/>
    <xf numFmtId="164" fontId="46" fillId="43" borderId="40" xfId="0" applyNumberFormat="1" applyFont="1" applyFill="1" applyBorder="1"/>
    <xf numFmtId="164" fontId="47" fillId="44" borderId="41" xfId="0" applyNumberFormat="1" applyFont="1" applyFill="1" applyBorder="1"/>
    <xf numFmtId="164" fontId="48" fillId="45" borderId="42" xfId="0" applyNumberFormat="1" applyFont="1" applyFill="1" applyBorder="1"/>
    <xf numFmtId="0" fontId="49" fillId="46" borderId="43" xfId="0" applyFont="1" applyFill="1" applyBorder="1" applyAlignment="1">
      <alignment horizontal="center"/>
    </xf>
    <xf numFmtId="166" fontId="50" fillId="47" borderId="44" xfId="0" applyNumberFormat="1" applyFont="1" applyFill="1" applyBorder="1" applyAlignment="1">
      <alignment horizontal="center"/>
    </xf>
    <xf numFmtId="3" fontId="51" fillId="48" borderId="45" xfId="0" applyNumberFormat="1" applyFont="1" applyFill="1" applyBorder="1"/>
    <xf numFmtId="3" fontId="52" fillId="49" borderId="46" xfId="0" applyNumberFormat="1" applyFont="1" applyFill="1" applyBorder="1"/>
    <xf numFmtId="3" fontId="53" fillId="50" borderId="47" xfId="0" applyNumberFormat="1" applyFont="1" applyFill="1" applyBorder="1"/>
    <xf numFmtId="164" fontId="54" fillId="51" borderId="48" xfId="0" applyNumberFormat="1" applyFont="1" applyFill="1" applyBorder="1"/>
    <xf numFmtId="164" fontId="55" fillId="52" borderId="49" xfId="0" applyNumberFormat="1" applyFont="1" applyFill="1" applyBorder="1"/>
    <xf numFmtId="164" fontId="56" fillId="53" borderId="50" xfId="0" applyNumberFormat="1" applyFont="1" applyFill="1" applyBorder="1"/>
    <xf numFmtId="0" fontId="57" fillId="54" borderId="51" xfId="0" applyFont="1" applyFill="1" applyBorder="1" applyAlignment="1">
      <alignment horizontal="center"/>
    </xf>
    <xf numFmtId="166" fontId="58" fillId="55" borderId="52" xfId="0" applyNumberFormat="1" applyFont="1" applyFill="1" applyBorder="1" applyAlignment="1">
      <alignment horizontal="center"/>
    </xf>
    <xf numFmtId="3" fontId="59" fillId="56" borderId="53" xfId="0" applyNumberFormat="1" applyFont="1" applyFill="1" applyBorder="1"/>
    <xf numFmtId="3" fontId="60" fillId="57" borderId="54" xfId="0" applyNumberFormat="1" applyFont="1" applyFill="1" applyBorder="1"/>
    <xf numFmtId="3" fontId="61" fillId="58" borderId="55" xfId="0" applyNumberFormat="1" applyFont="1" applyFill="1" applyBorder="1"/>
    <xf numFmtId="164" fontId="62" fillId="59" borderId="56" xfId="0" applyNumberFormat="1" applyFont="1" applyFill="1" applyBorder="1"/>
    <xf numFmtId="164" fontId="63" fillId="60" borderId="57" xfId="0" applyNumberFormat="1" applyFont="1" applyFill="1" applyBorder="1"/>
    <xf numFmtId="164" fontId="64" fillId="61" borderId="58" xfId="0" applyNumberFormat="1" applyFont="1" applyFill="1" applyBorder="1"/>
    <xf numFmtId="0" fontId="65" fillId="62" borderId="59" xfId="0" applyFont="1" applyFill="1" applyBorder="1" applyAlignment="1">
      <alignment horizontal="center"/>
    </xf>
    <xf numFmtId="166" fontId="66" fillId="63" borderId="60" xfId="0" applyNumberFormat="1" applyFont="1" applyFill="1" applyBorder="1" applyAlignment="1">
      <alignment horizontal="center"/>
    </xf>
    <xf numFmtId="3" fontId="67" fillId="64" borderId="61" xfId="0" applyNumberFormat="1" applyFont="1" applyFill="1" applyBorder="1"/>
    <xf numFmtId="3" fontId="68" fillId="65" borderId="62" xfId="0" applyNumberFormat="1" applyFont="1" applyFill="1" applyBorder="1"/>
    <xf numFmtId="3" fontId="69" fillId="66" borderId="63" xfId="0" applyNumberFormat="1" applyFont="1" applyFill="1" applyBorder="1"/>
    <xf numFmtId="164" fontId="70" fillId="67" borderId="64" xfId="0" applyNumberFormat="1" applyFont="1" applyFill="1" applyBorder="1"/>
    <xf numFmtId="164" fontId="71" fillId="68" borderId="65" xfId="0" applyNumberFormat="1" applyFont="1" applyFill="1" applyBorder="1"/>
    <xf numFmtId="164" fontId="72" fillId="69" borderId="66" xfId="0" applyNumberFormat="1" applyFont="1" applyFill="1" applyBorder="1"/>
    <xf numFmtId="0" fontId="73" fillId="70" borderId="67" xfId="0" applyFont="1" applyFill="1" applyBorder="1" applyAlignment="1">
      <alignment horizontal="center"/>
    </xf>
    <xf numFmtId="0" fontId="74" fillId="71" borderId="68" xfId="0" applyFont="1" applyFill="1" applyBorder="1"/>
    <xf numFmtId="3" fontId="75" fillId="72" borderId="69" xfId="0" applyNumberFormat="1" applyFont="1" applyFill="1" applyBorder="1"/>
    <xf numFmtId="3" fontId="76" fillId="73" borderId="70" xfId="0" applyNumberFormat="1" applyFont="1" applyFill="1" applyBorder="1"/>
    <xf numFmtId="3" fontId="77" fillId="74" borderId="71" xfId="0" applyNumberFormat="1" applyFont="1" applyFill="1" applyBorder="1"/>
    <xf numFmtId="164" fontId="78" fillId="75" borderId="72" xfId="0" applyNumberFormat="1" applyFont="1" applyFill="1" applyBorder="1"/>
    <xf numFmtId="164" fontId="79" fillId="76" borderId="73" xfId="0" applyNumberFormat="1" applyFont="1" applyFill="1" applyBorder="1"/>
    <xf numFmtId="164" fontId="80" fillId="77" borderId="74" xfId="0" applyNumberFormat="1" applyFont="1" applyFill="1" applyBorder="1"/>
    <xf numFmtId="0" fontId="82" fillId="79" borderId="76" xfId="0" applyFont="1" applyFill="1" applyBorder="1" applyAlignment="1">
      <alignment horizontal="center" vertical="center"/>
    </xf>
    <xf numFmtId="0" fontId="83" fillId="80" borderId="77" xfId="0" applyFont="1" applyFill="1" applyBorder="1" applyAlignment="1">
      <alignment horizontal="center" vertical="center"/>
    </xf>
    <xf numFmtId="0" fontId="84" fillId="81" borderId="78" xfId="0" applyFont="1" applyFill="1" applyBorder="1" applyAlignment="1">
      <alignment horizontal="center" vertical="center"/>
    </xf>
    <xf numFmtId="0" fontId="85" fillId="82" borderId="79" xfId="0" applyFont="1" applyFill="1" applyBorder="1" applyAlignment="1">
      <alignment horizontal="center" vertical="center"/>
    </xf>
    <xf numFmtId="0" fontId="86" fillId="83" borderId="80" xfId="0" applyFont="1" applyFill="1" applyBorder="1" applyAlignment="1">
      <alignment horizontal="center" vertical="center"/>
    </xf>
    <xf numFmtId="0" fontId="87" fillId="84" borderId="81" xfId="0" applyFont="1" applyFill="1" applyBorder="1" applyAlignment="1">
      <alignment horizontal="center" vertical="center"/>
    </xf>
    <xf numFmtId="0" fontId="88" fillId="85" borderId="82" xfId="0" applyFont="1" applyFill="1" applyBorder="1" applyAlignment="1">
      <alignment horizontal="center" vertical="center"/>
    </xf>
    <xf numFmtId="0" fontId="89" fillId="86" borderId="83" xfId="0" applyFont="1" applyFill="1" applyBorder="1" applyAlignment="1">
      <alignment horizontal="center" vertical="center"/>
    </xf>
    <xf numFmtId="0" fontId="90" fillId="87" borderId="84" xfId="0" applyFont="1" applyFill="1" applyBorder="1" applyAlignment="1">
      <alignment horizontal="center" vertical="center"/>
    </xf>
    <xf numFmtId="0" fontId="91" fillId="88" borderId="85" xfId="0" applyFont="1" applyFill="1" applyBorder="1" applyAlignment="1">
      <alignment horizontal="center"/>
    </xf>
    <xf numFmtId="166" fontId="92" fillId="89" borderId="86" xfId="0" applyNumberFormat="1" applyFont="1" applyFill="1" applyBorder="1" applyAlignment="1">
      <alignment horizontal="center"/>
    </xf>
    <xf numFmtId="3" fontId="93" fillId="90" borderId="87" xfId="0" applyNumberFormat="1" applyFont="1" applyFill="1" applyBorder="1"/>
    <xf numFmtId="3" fontId="94" fillId="91" borderId="88" xfId="0" applyNumberFormat="1" applyFont="1" applyFill="1" applyBorder="1"/>
    <xf numFmtId="3" fontId="95" fillId="92" borderId="89" xfId="0" applyNumberFormat="1" applyFont="1" applyFill="1" applyBorder="1"/>
    <xf numFmtId="3" fontId="96" fillId="93" borderId="90" xfId="0" applyNumberFormat="1" applyFont="1" applyFill="1" applyBorder="1"/>
    <xf numFmtId="3" fontId="97" fillId="94" borderId="91" xfId="0" applyNumberFormat="1" applyFont="1" applyFill="1" applyBorder="1"/>
    <xf numFmtId="3" fontId="98" fillId="95" borderId="92" xfId="0" applyNumberFormat="1" applyFont="1" applyFill="1" applyBorder="1"/>
    <xf numFmtId="3" fontId="99" fillId="96" borderId="93" xfId="0" applyNumberFormat="1" applyFont="1" applyFill="1" applyBorder="1"/>
    <xf numFmtId="0" fontId="100" fillId="97" borderId="94" xfId="0" applyFont="1" applyFill="1" applyBorder="1" applyAlignment="1">
      <alignment horizontal="center"/>
    </xf>
    <xf numFmtId="166" fontId="101" fillId="98" borderId="95" xfId="0" applyNumberFormat="1" applyFont="1" applyFill="1" applyBorder="1" applyAlignment="1">
      <alignment horizontal="center"/>
    </xf>
    <xf numFmtId="3" fontId="102" fillId="99" borderId="96" xfId="0" applyNumberFormat="1" applyFont="1" applyFill="1" applyBorder="1"/>
    <xf numFmtId="3" fontId="103" fillId="100" borderId="97" xfId="0" applyNumberFormat="1" applyFont="1" applyFill="1" applyBorder="1"/>
    <xf numFmtId="3" fontId="104" fillId="101" borderId="98" xfId="0" applyNumberFormat="1" applyFont="1" applyFill="1" applyBorder="1"/>
    <xf numFmtId="3" fontId="105" fillId="102" borderId="99" xfId="0" applyNumberFormat="1" applyFont="1" applyFill="1" applyBorder="1"/>
    <xf numFmtId="3" fontId="106" fillId="103" borderId="100" xfId="0" applyNumberFormat="1" applyFont="1" applyFill="1" applyBorder="1"/>
    <xf numFmtId="3" fontId="107" fillId="104" borderId="101" xfId="0" applyNumberFormat="1" applyFont="1" applyFill="1" applyBorder="1"/>
    <xf numFmtId="3" fontId="108" fillId="105" borderId="102" xfId="0" applyNumberFormat="1" applyFont="1" applyFill="1" applyBorder="1"/>
    <xf numFmtId="0" fontId="109" fillId="106" borderId="103" xfId="0" applyFont="1" applyFill="1" applyBorder="1" applyAlignment="1">
      <alignment horizontal="center"/>
    </xf>
    <xf numFmtId="166" fontId="110" fillId="107" borderId="104" xfId="0" applyNumberFormat="1" applyFont="1" applyFill="1" applyBorder="1" applyAlignment="1">
      <alignment horizontal="center"/>
    </xf>
    <xf numFmtId="3" fontId="111" fillId="108" borderId="105" xfId="0" applyNumberFormat="1" applyFont="1" applyFill="1" applyBorder="1"/>
    <xf numFmtId="3" fontId="112" fillId="109" borderId="106" xfId="0" applyNumberFormat="1" applyFont="1" applyFill="1" applyBorder="1"/>
    <xf numFmtId="3" fontId="113" fillId="110" borderId="107" xfId="0" applyNumberFormat="1" applyFont="1" applyFill="1" applyBorder="1"/>
    <xf numFmtId="3" fontId="114" fillId="111" borderId="108" xfId="0" applyNumberFormat="1" applyFont="1" applyFill="1" applyBorder="1"/>
    <xf numFmtId="3" fontId="115" fillId="112" borderId="109" xfId="0" applyNumberFormat="1" applyFont="1" applyFill="1" applyBorder="1"/>
    <xf numFmtId="3" fontId="116" fillId="113" borderId="110" xfId="0" applyNumberFormat="1" applyFont="1" applyFill="1" applyBorder="1"/>
    <xf numFmtId="3" fontId="117" fillId="114" borderId="111" xfId="0" applyNumberFormat="1" applyFont="1" applyFill="1" applyBorder="1"/>
    <xf numFmtId="0" fontId="118" fillId="115" borderId="112" xfId="0" applyFont="1" applyFill="1" applyBorder="1" applyAlignment="1">
      <alignment horizontal="center"/>
    </xf>
    <xf numFmtId="166" fontId="119" fillId="116" borderId="113" xfId="0" applyNumberFormat="1" applyFont="1" applyFill="1" applyBorder="1" applyAlignment="1">
      <alignment horizontal="center"/>
    </xf>
    <xf numFmtId="3" fontId="120" fillId="117" borderId="114" xfId="0" applyNumberFormat="1" applyFont="1" applyFill="1" applyBorder="1"/>
    <xf numFmtId="3" fontId="121" fillId="118" borderId="115" xfId="0" applyNumberFormat="1" applyFont="1" applyFill="1" applyBorder="1"/>
    <xf numFmtId="3" fontId="122" fillId="119" borderId="116" xfId="0" applyNumberFormat="1" applyFont="1" applyFill="1" applyBorder="1"/>
    <xf numFmtId="3" fontId="123" fillId="120" borderId="117" xfId="0" applyNumberFormat="1" applyFont="1" applyFill="1" applyBorder="1"/>
    <xf numFmtId="3" fontId="124" fillId="121" borderId="118" xfId="0" applyNumberFormat="1" applyFont="1" applyFill="1" applyBorder="1"/>
    <xf numFmtId="3" fontId="125" fillId="122" borderId="119" xfId="0" applyNumberFormat="1" applyFont="1" applyFill="1" applyBorder="1"/>
    <xf numFmtId="3" fontId="126" fillId="123" borderId="120" xfId="0" applyNumberFormat="1" applyFont="1" applyFill="1" applyBorder="1"/>
    <xf numFmtId="0" fontId="127" fillId="124" borderId="121" xfId="0" applyFont="1" applyFill="1" applyBorder="1" applyAlignment="1">
      <alignment horizontal="center"/>
    </xf>
    <xf numFmtId="166" fontId="128" fillId="125" borderId="122" xfId="0" applyNumberFormat="1" applyFont="1" applyFill="1" applyBorder="1" applyAlignment="1">
      <alignment horizontal="center"/>
    </xf>
    <xf numFmtId="3" fontId="129" fillId="126" borderId="123" xfId="0" applyNumberFormat="1" applyFont="1" applyFill="1" applyBorder="1"/>
    <xf numFmtId="3" fontId="130" fillId="127" borderId="124" xfId="0" applyNumberFormat="1" applyFont="1" applyFill="1" applyBorder="1"/>
    <xf numFmtId="3" fontId="131" fillId="128" borderId="125" xfId="0" applyNumberFormat="1" applyFont="1" applyFill="1" applyBorder="1"/>
    <xf numFmtId="3" fontId="132" fillId="129" borderId="126" xfId="0" applyNumberFormat="1" applyFont="1" applyFill="1" applyBorder="1"/>
    <xf numFmtId="3" fontId="133" fillId="130" borderId="127" xfId="0" applyNumberFormat="1" applyFont="1" applyFill="1" applyBorder="1"/>
    <xf numFmtId="3" fontId="134" fillId="131" borderId="128" xfId="0" applyNumberFormat="1" applyFont="1" applyFill="1" applyBorder="1"/>
    <xf numFmtId="3" fontId="135" fillId="132" borderId="129" xfId="0" applyNumberFormat="1" applyFont="1" applyFill="1" applyBorder="1"/>
    <xf numFmtId="0" fontId="136" fillId="133" borderId="130" xfId="0" applyFont="1" applyFill="1" applyBorder="1" applyAlignment="1">
      <alignment horizontal="center"/>
    </xf>
    <xf numFmtId="166" fontId="137" fillId="134" borderId="131" xfId="0" applyNumberFormat="1" applyFont="1" applyFill="1" applyBorder="1" applyAlignment="1">
      <alignment horizontal="center"/>
    </xf>
    <xf numFmtId="3" fontId="138" fillId="135" borderId="132" xfId="0" applyNumberFormat="1" applyFont="1" applyFill="1" applyBorder="1"/>
    <xf numFmtId="3" fontId="139" fillId="136" borderId="133" xfId="0" applyNumberFormat="1" applyFont="1" applyFill="1" applyBorder="1"/>
    <xf numFmtId="3" fontId="140" fillId="137" borderId="134" xfId="0" applyNumberFormat="1" applyFont="1" applyFill="1" applyBorder="1"/>
    <xf numFmtId="3" fontId="141" fillId="138" borderId="135" xfId="0" applyNumberFormat="1" applyFont="1" applyFill="1" applyBorder="1"/>
    <xf numFmtId="3" fontId="142" fillId="139" borderId="136" xfId="0" applyNumberFormat="1" applyFont="1" applyFill="1" applyBorder="1"/>
    <xf numFmtId="3" fontId="143" fillId="140" borderId="137" xfId="0" applyNumberFormat="1" applyFont="1" applyFill="1" applyBorder="1"/>
    <xf numFmtId="3" fontId="144" fillId="141" borderId="138" xfId="0" applyNumberFormat="1" applyFont="1" applyFill="1" applyBorder="1"/>
    <xf numFmtId="0" fontId="145" fillId="142" borderId="139" xfId="0" applyFont="1" applyFill="1" applyBorder="1" applyAlignment="1">
      <alignment horizontal="center"/>
    </xf>
    <xf numFmtId="3" fontId="146" fillId="143" borderId="140" xfId="0" applyNumberFormat="1" applyFont="1" applyFill="1" applyBorder="1"/>
    <xf numFmtId="3" fontId="147" fillId="144" borderId="141" xfId="0" applyNumberFormat="1" applyFont="1" applyFill="1" applyBorder="1"/>
    <xf numFmtId="3" fontId="148" fillId="145" borderId="142" xfId="0" applyNumberFormat="1" applyFont="1" applyFill="1" applyBorder="1"/>
    <xf numFmtId="3" fontId="149" fillId="146" borderId="143" xfId="0" applyNumberFormat="1" applyFont="1" applyFill="1" applyBorder="1"/>
    <xf numFmtId="3" fontId="150" fillId="147" borderId="144" xfId="0" applyNumberFormat="1" applyFont="1" applyFill="1" applyBorder="1"/>
    <xf numFmtId="3" fontId="151" fillId="148" borderId="145" xfId="0" applyNumberFormat="1" applyFont="1" applyFill="1" applyBorder="1"/>
    <xf numFmtId="3" fontId="152" fillId="149" borderId="146" xfId="0" applyNumberFormat="1" applyFont="1" applyFill="1" applyBorder="1"/>
    <xf numFmtId="3" fontId="153" fillId="150" borderId="147" xfId="0" applyNumberFormat="1" applyFont="1" applyFill="1" applyBorder="1"/>
    <xf numFmtId="0" fontId="162" fillId="159" borderId="156" xfId="0" applyFont="1" applyFill="1" applyBorder="1"/>
    <xf numFmtId="0" fontId="163" fillId="160" borderId="157" xfId="0" applyFont="1" applyFill="1" applyBorder="1"/>
    <xf numFmtId="0" fontId="164" fillId="161" borderId="158" xfId="0" applyFont="1" applyFill="1" applyBorder="1"/>
    <xf numFmtId="0" fontId="165" fillId="162" borderId="159" xfId="0" applyFont="1" applyFill="1" applyBorder="1"/>
    <xf numFmtId="0" fontId="166" fillId="163" borderId="160" xfId="0" applyFont="1" applyFill="1" applyBorder="1"/>
    <xf numFmtId="0" fontId="167" fillId="164" borderId="161" xfId="0" applyFont="1" applyFill="1" applyBorder="1"/>
    <xf numFmtId="0" fontId="168" fillId="165" borderId="162" xfId="0" applyFont="1" applyFill="1" applyBorder="1"/>
    <xf numFmtId="0" fontId="169" fillId="166" borderId="163" xfId="0" applyFont="1" applyFill="1" applyBorder="1"/>
    <xf numFmtId="0" fontId="170" fillId="167" borderId="164" xfId="0" applyFont="1" applyFill="1" applyBorder="1"/>
    <xf numFmtId="0" fontId="179" fillId="176" borderId="173" xfId="0" applyFont="1" applyFill="1" applyBorder="1"/>
    <xf numFmtId="0" fontId="180" fillId="177" borderId="174" xfId="0" applyFont="1" applyFill="1" applyBorder="1"/>
    <xf numFmtId="0" fontId="181" fillId="178" borderId="175" xfId="0" applyFont="1" applyFill="1" applyBorder="1"/>
    <xf numFmtId="0" fontId="182" fillId="179" borderId="176" xfId="0" applyFont="1" applyFill="1" applyBorder="1"/>
    <xf numFmtId="0" fontId="183" fillId="180" borderId="177" xfId="0" applyFont="1" applyFill="1" applyBorder="1"/>
    <xf numFmtId="0" fontId="184" fillId="181" borderId="178" xfId="0" applyFont="1" applyFill="1" applyBorder="1"/>
    <xf numFmtId="0" fontId="185" fillId="182" borderId="179" xfId="0" applyFont="1" applyFill="1" applyBorder="1"/>
    <xf numFmtId="0" fontId="186" fillId="183" borderId="180" xfId="0" applyFont="1" applyFill="1" applyBorder="1"/>
    <xf numFmtId="0" fontId="187" fillId="184" borderId="181" xfId="0" applyFont="1" applyFill="1" applyBorder="1"/>
    <xf numFmtId="0" fontId="188" fillId="185" borderId="182" xfId="0" applyFont="1" applyFill="1" applyBorder="1"/>
    <xf numFmtId="0" fontId="189" fillId="186" borderId="183" xfId="0" applyFont="1" applyFill="1" applyBorder="1"/>
    <xf numFmtId="0" fontId="190" fillId="187" borderId="184" xfId="0" applyFont="1" applyFill="1" applyBorder="1"/>
    <xf numFmtId="0" fontId="191" fillId="188" borderId="185" xfId="0" applyFont="1" applyFill="1" applyBorder="1"/>
    <xf numFmtId="0" fontId="192" fillId="189" borderId="186" xfId="0" applyFont="1" applyFill="1" applyBorder="1"/>
    <xf numFmtId="0" fontId="193" fillId="190" borderId="187" xfId="0" applyFont="1" applyFill="1" applyBorder="1"/>
    <xf numFmtId="0" fontId="194" fillId="191" borderId="188" xfId="0" applyFont="1" applyFill="1" applyBorder="1"/>
    <xf numFmtId="0" fontId="195" fillId="192" borderId="189" xfId="0" applyFont="1" applyFill="1" applyBorder="1"/>
    <xf numFmtId="0" fontId="196" fillId="193" borderId="190" xfId="0" applyFont="1" applyFill="1" applyBorder="1"/>
    <xf numFmtId="0" fontId="197" fillId="194" borderId="191" xfId="0" applyFont="1" applyFill="1" applyBorder="1"/>
    <xf numFmtId="0" fontId="198" fillId="195" borderId="192" xfId="0" applyFont="1" applyFill="1" applyBorder="1"/>
    <xf numFmtId="0" fontId="199" fillId="196" borderId="193" xfId="0" applyFont="1" applyFill="1" applyBorder="1"/>
    <xf numFmtId="0" fontId="200" fillId="197" borderId="194" xfId="0" applyFont="1" applyFill="1" applyBorder="1"/>
    <xf numFmtId="0" fontId="201" fillId="198" borderId="195" xfId="0" applyFont="1" applyFill="1" applyBorder="1"/>
    <xf numFmtId="0" fontId="202" fillId="199" borderId="196" xfId="0" applyFont="1" applyFill="1" applyBorder="1"/>
    <xf numFmtId="0" fontId="203" fillId="200" borderId="197" xfId="0" applyFont="1" applyFill="1" applyBorder="1"/>
    <xf numFmtId="0" fontId="204" fillId="201" borderId="198" xfId="0" applyFont="1" applyFill="1" applyBorder="1"/>
    <xf numFmtId="0" fontId="205" fillId="202" borderId="199" xfId="0" applyFont="1" applyFill="1" applyBorder="1"/>
    <xf numFmtId="0" fontId="206" fillId="203" borderId="200" xfId="0" applyFont="1" applyFill="1" applyBorder="1"/>
    <xf numFmtId="0" fontId="207" fillId="204" borderId="201" xfId="0" applyFont="1" applyFill="1" applyBorder="1"/>
    <xf numFmtId="0" fontId="208" fillId="205" borderId="202" xfId="0" applyFont="1" applyFill="1" applyBorder="1"/>
    <xf numFmtId="0" fontId="217" fillId="214" borderId="211" xfId="0" applyFont="1" applyFill="1" applyBorder="1"/>
    <xf numFmtId="0" fontId="218" fillId="215" borderId="212" xfId="0" applyFont="1" applyFill="1" applyBorder="1"/>
    <xf numFmtId="0" fontId="219" fillId="216" borderId="213" xfId="0" applyFont="1" applyFill="1" applyBorder="1"/>
    <xf numFmtId="0" fontId="220" fillId="217" borderId="214" xfId="0" applyFont="1" applyFill="1" applyBorder="1"/>
    <xf numFmtId="0" fontId="221" fillId="218" borderId="215" xfId="0" applyFont="1" applyFill="1" applyBorder="1"/>
    <xf numFmtId="0" fontId="222" fillId="219" borderId="216" xfId="0" applyFont="1" applyFill="1" applyBorder="1"/>
    <xf numFmtId="0" fontId="223" fillId="220" borderId="217" xfId="0" applyFont="1" applyFill="1" applyBorder="1"/>
    <xf numFmtId="0" fontId="224" fillId="221" borderId="218" xfId="0" applyFont="1" applyFill="1" applyBorder="1"/>
    <xf numFmtId="0" fontId="225" fillId="222" borderId="219" xfId="0" applyFont="1" applyFill="1" applyBorder="1"/>
    <xf numFmtId="0" fontId="226" fillId="223" borderId="220" xfId="0" applyFont="1" applyFill="1" applyBorder="1"/>
    <xf numFmtId="0" fontId="227" fillId="224" borderId="221" xfId="0" applyFont="1" applyFill="1" applyBorder="1"/>
    <xf numFmtId="0" fontId="228" fillId="225" borderId="222" xfId="0" applyFont="1" applyFill="1" applyBorder="1"/>
    <xf numFmtId="0" fontId="229" fillId="226" borderId="223" xfId="0" applyFont="1" applyFill="1" applyBorder="1"/>
    <xf numFmtId="0" fontId="230" fillId="227" borderId="224" xfId="0" applyFont="1" applyFill="1" applyBorder="1"/>
    <xf numFmtId="0" fontId="231" fillId="228" borderId="225" xfId="0" applyFont="1" applyFill="1" applyBorder="1"/>
    <xf numFmtId="0" fontId="232" fillId="229" borderId="226" xfId="0" applyFont="1" applyFill="1" applyBorder="1"/>
    <xf numFmtId="0" fontId="233" fillId="230" borderId="227" xfId="0" applyFont="1" applyFill="1" applyBorder="1"/>
    <xf numFmtId="0" fontId="234" fillId="231" borderId="228" xfId="0" applyFont="1" applyFill="1" applyBorder="1"/>
    <xf numFmtId="0" fontId="235" fillId="232" borderId="229" xfId="0" applyFont="1" applyFill="1" applyBorder="1"/>
    <xf numFmtId="0" fontId="236" fillId="233" borderId="230" xfId="0" applyFont="1" applyFill="1" applyBorder="1"/>
    <xf numFmtId="0" fontId="237" fillId="234" borderId="231" xfId="0" applyFont="1" applyFill="1" applyBorder="1"/>
    <xf numFmtId="0" fontId="238" fillId="235" borderId="232" xfId="0" applyFont="1" applyFill="1" applyBorder="1"/>
    <xf numFmtId="0" fontId="239" fillId="236" borderId="233" xfId="0" applyFont="1" applyFill="1" applyBorder="1"/>
    <xf numFmtId="0" fontId="240" fillId="237" borderId="234" xfId="0" applyFont="1" applyFill="1" applyBorder="1"/>
    <xf numFmtId="0" fontId="241" fillId="238" borderId="235" xfId="0" applyFont="1" applyFill="1" applyBorder="1"/>
    <xf numFmtId="0" fontId="242" fillId="239" borderId="236" xfId="0" applyFont="1" applyFill="1" applyBorder="1"/>
    <xf numFmtId="0" fontId="251" fillId="248" borderId="245" xfId="0" applyFont="1" applyFill="1" applyBorder="1"/>
    <xf numFmtId="0" fontId="252" fillId="249" borderId="246" xfId="0" applyFont="1" applyFill="1" applyBorder="1"/>
    <xf numFmtId="0" fontId="253" fillId="250" borderId="247" xfId="0" applyFont="1" applyFill="1" applyBorder="1"/>
    <xf numFmtId="0" fontId="254" fillId="251" borderId="248" xfId="0" applyFont="1" applyFill="1" applyBorder="1"/>
    <xf numFmtId="0" fontId="255" fillId="252" borderId="249" xfId="0" applyFont="1" applyFill="1" applyBorder="1"/>
    <xf numFmtId="0" fontId="256" fillId="253" borderId="250" xfId="0" applyFont="1" applyFill="1" applyBorder="1"/>
    <xf numFmtId="0" fontId="257" fillId="254" borderId="251" xfId="0" applyFont="1" applyFill="1" applyBorder="1"/>
    <xf numFmtId="0" fontId="258" fillId="255" borderId="252" xfId="0" applyFont="1" applyFill="1" applyBorder="1"/>
    <xf numFmtId="0" fontId="259" fillId="256" borderId="253" xfId="0" applyFont="1" applyFill="1" applyBorder="1"/>
    <xf numFmtId="0" fontId="260" fillId="257" borderId="254" xfId="0" applyFont="1" applyFill="1" applyBorder="1"/>
    <xf numFmtId="0" fontId="261" fillId="258" borderId="255" xfId="0" applyFont="1" applyFill="1" applyBorder="1"/>
    <xf numFmtId="0" fontId="262" fillId="259" borderId="256" xfId="0" applyFont="1" applyFill="1" applyBorder="1"/>
    <xf numFmtId="0" fontId="263" fillId="260" borderId="257" xfId="0" applyFont="1" applyFill="1" applyBorder="1"/>
    <xf numFmtId="0" fontId="264" fillId="261" borderId="258" xfId="0" applyFont="1" applyFill="1" applyBorder="1"/>
    <xf numFmtId="0" fontId="265" fillId="262" borderId="259" xfId="0" applyFont="1" applyFill="1" applyBorder="1"/>
    <xf numFmtId="0" fontId="266" fillId="263" borderId="260" xfId="0" applyFont="1" applyFill="1" applyBorder="1"/>
    <xf numFmtId="0" fontId="267" fillId="264" borderId="261" xfId="0" applyFont="1" applyFill="1" applyBorder="1"/>
    <xf numFmtId="0" fontId="268" fillId="265" borderId="262" xfId="0" applyFont="1" applyFill="1" applyBorder="1"/>
    <xf numFmtId="0" fontId="269" fillId="266" borderId="263" xfId="0" applyFont="1" applyFill="1" applyBorder="1"/>
    <xf numFmtId="0" fontId="270" fillId="267" borderId="264" xfId="0" applyFont="1" applyFill="1" applyBorder="1"/>
    <xf numFmtId="0" fontId="271" fillId="268" borderId="265" xfId="0" applyFont="1" applyFill="1" applyBorder="1"/>
    <xf numFmtId="0" fontId="272" fillId="269" borderId="266" xfId="0" applyFont="1" applyFill="1" applyBorder="1"/>
    <xf numFmtId="0" fontId="273" fillId="270" borderId="267" xfId="0" applyFont="1" applyFill="1" applyBorder="1"/>
    <xf numFmtId="0" fontId="274" fillId="271" borderId="268" xfId="0" applyFont="1" applyFill="1" applyBorder="1"/>
    <xf numFmtId="0" fontId="275" fillId="272" borderId="269" xfId="0" applyFont="1" applyFill="1" applyBorder="1"/>
    <xf numFmtId="0" fontId="276" fillId="273" borderId="270" xfId="0" applyFont="1" applyFill="1" applyBorder="1"/>
    <xf numFmtId="0" fontId="277" fillId="274" borderId="271" xfId="0" applyFont="1" applyFill="1" applyBorder="1"/>
    <xf numFmtId="0" fontId="278" fillId="275" borderId="272" xfId="0" applyFont="1" applyFill="1" applyBorder="1"/>
    <xf numFmtId="0" fontId="279" fillId="276" borderId="273" xfId="0" applyFont="1" applyFill="1" applyBorder="1"/>
    <xf numFmtId="0" fontId="280" fillId="277" borderId="274" xfId="0" applyFont="1" applyFill="1" applyBorder="1"/>
    <xf numFmtId="0" fontId="281" fillId="278" borderId="275" xfId="0" applyFont="1" applyFill="1" applyBorder="1"/>
    <xf numFmtId="0" fontId="282" fillId="279" borderId="276" xfId="0" applyFont="1" applyFill="1" applyBorder="1"/>
    <xf numFmtId="0" fontId="283" fillId="280" borderId="277" xfId="0" applyFont="1" applyFill="1" applyBorder="1"/>
    <xf numFmtId="0" fontId="284" fillId="281" borderId="278" xfId="0" applyFont="1" applyFill="1" applyBorder="1"/>
    <xf numFmtId="0" fontId="285" fillId="282" borderId="279" xfId="0" applyFont="1" applyFill="1" applyBorder="1"/>
    <xf numFmtId="0" fontId="286" fillId="283" borderId="280" xfId="0" applyFont="1" applyFill="1" applyBorder="1"/>
    <xf numFmtId="0" fontId="287" fillId="284" borderId="281" xfId="0" applyFont="1" applyFill="1" applyBorder="1"/>
    <xf numFmtId="0" fontId="288" fillId="285" borderId="282" xfId="0" applyFont="1" applyFill="1" applyBorder="1"/>
    <xf numFmtId="0" fontId="289" fillId="286" borderId="283" xfId="0" applyFont="1" applyFill="1" applyBorder="1"/>
    <xf numFmtId="0" fontId="290" fillId="287" borderId="284" xfId="0" applyFont="1" applyFill="1" applyBorder="1"/>
    <xf numFmtId="0" fontId="291" fillId="288" borderId="285" xfId="0" applyFont="1" applyFill="1" applyBorder="1"/>
    <xf numFmtId="0" fontId="292" fillId="289" borderId="286" xfId="0" applyFont="1" applyFill="1" applyBorder="1"/>
    <xf numFmtId="0" fontId="293" fillId="290" borderId="287" xfId="0" applyFont="1" applyFill="1" applyBorder="1"/>
    <xf numFmtId="0" fontId="294" fillId="291" borderId="288" xfId="0" applyFont="1" applyFill="1" applyBorder="1"/>
    <xf numFmtId="0" fontId="295" fillId="292" borderId="289" xfId="0" applyFont="1" applyFill="1" applyBorder="1"/>
    <xf numFmtId="0" fontId="296" fillId="293" borderId="290" xfId="0" applyFont="1" applyFill="1" applyBorder="1"/>
    <xf numFmtId="0" fontId="297" fillId="294" borderId="291" xfId="0" applyFont="1" applyFill="1" applyBorder="1"/>
    <xf numFmtId="0" fontId="298" fillId="295" borderId="292" xfId="0" applyFont="1" applyFill="1" applyBorder="1"/>
    <xf numFmtId="0" fontId="299" fillId="296" borderId="293" xfId="0" applyFont="1" applyFill="1" applyBorder="1"/>
    <xf numFmtId="0" fontId="300" fillId="297" borderId="294" xfId="0" applyFont="1" applyFill="1" applyBorder="1"/>
    <xf numFmtId="0" fontId="301" fillId="298" borderId="295" xfId="0" applyFont="1" applyFill="1" applyBorder="1"/>
    <xf numFmtId="0" fontId="302" fillId="299" borderId="296" xfId="0" applyFont="1" applyFill="1" applyBorder="1"/>
    <xf numFmtId="0" fontId="303" fillId="300" borderId="297" xfId="0" applyFont="1" applyFill="1" applyBorder="1"/>
    <xf numFmtId="0" fontId="304" fillId="301" borderId="298" xfId="0" applyFont="1" applyFill="1" applyBorder="1"/>
    <xf numFmtId="0" fontId="305" fillId="302" borderId="299" xfId="0" applyFont="1" applyFill="1" applyBorder="1"/>
    <xf numFmtId="0" fontId="306" fillId="303" borderId="300" xfId="0" applyFont="1" applyFill="1" applyBorder="1"/>
    <xf numFmtId="0" fontId="307" fillId="304" borderId="301" xfId="0" applyFont="1" applyFill="1" applyBorder="1"/>
    <xf numFmtId="0" fontId="308" fillId="305" borderId="302" xfId="0" applyFont="1" applyFill="1" applyBorder="1"/>
    <xf numFmtId="0" fontId="309" fillId="306" borderId="303" xfId="0" applyFont="1" applyFill="1" applyBorder="1"/>
    <xf numFmtId="0" fontId="310" fillId="307" borderId="304" xfId="0" applyFont="1" applyFill="1" applyBorder="1"/>
    <xf numFmtId="0" fontId="311" fillId="308" borderId="305" xfId="0" applyFont="1" applyFill="1" applyBorder="1"/>
    <xf numFmtId="0" fontId="312" fillId="309" borderId="306" xfId="0" applyFont="1" applyFill="1" applyBorder="1"/>
    <xf numFmtId="0" fontId="313" fillId="310" borderId="307" xfId="0" applyFont="1" applyFill="1" applyBorder="1"/>
    <xf numFmtId="0" fontId="314" fillId="311" borderId="308" xfId="0" applyFont="1" applyFill="1" applyBorder="1"/>
    <xf numFmtId="0" fontId="315" fillId="312" borderId="309" xfId="0" applyFont="1" applyFill="1" applyBorder="1"/>
    <xf numFmtId="0" fontId="316" fillId="313" borderId="310" xfId="0" applyFont="1" applyFill="1" applyBorder="1"/>
    <xf numFmtId="0" fontId="317" fillId="314" borderId="311" xfId="0" applyFont="1" applyFill="1" applyBorder="1"/>
    <xf numFmtId="0" fontId="318" fillId="315" borderId="312" xfId="0" applyFont="1" applyFill="1" applyBorder="1"/>
    <xf numFmtId="0" fontId="319" fillId="316" borderId="313" xfId="0" applyFont="1" applyFill="1" applyBorder="1"/>
    <xf numFmtId="0" fontId="320" fillId="317" borderId="314" xfId="0" applyFont="1" applyFill="1" applyBorder="1"/>
    <xf numFmtId="0" fontId="321" fillId="318" borderId="315" xfId="0" applyFont="1" applyFill="1" applyBorder="1"/>
    <xf numFmtId="0" fontId="322" fillId="319" borderId="316" xfId="0" applyFont="1" applyFill="1" applyBorder="1"/>
    <xf numFmtId="0" fontId="323" fillId="320" borderId="317" xfId="0" applyFont="1" applyFill="1" applyBorder="1"/>
    <xf numFmtId="0" fontId="324" fillId="321" borderId="318" xfId="0" applyFont="1" applyFill="1" applyBorder="1"/>
    <xf numFmtId="166" fontId="325" fillId="322" borderId="319" xfId="0" applyNumberFormat="1" applyFont="1" applyFill="1" applyBorder="1"/>
    <xf numFmtId="166" fontId="326" fillId="323" borderId="320" xfId="0" applyNumberFormat="1" applyFont="1" applyFill="1" applyBorder="1"/>
    <xf numFmtId="166" fontId="327" fillId="324" borderId="321" xfId="0" applyNumberFormat="1" applyFont="1" applyFill="1" applyBorder="1"/>
    <xf numFmtId="166" fontId="328" fillId="325" borderId="322" xfId="0" applyNumberFormat="1" applyFont="1" applyFill="1" applyBorder="1"/>
    <xf numFmtId="166" fontId="329" fillId="326" borderId="323" xfId="0" applyNumberFormat="1" applyFont="1" applyFill="1" applyBorder="1"/>
    <xf numFmtId="166" fontId="330" fillId="327" borderId="324" xfId="0" applyNumberFormat="1" applyFont="1" applyFill="1" applyBorder="1"/>
    <xf numFmtId="166" fontId="331" fillId="328" borderId="325" xfId="0" applyNumberFormat="1" applyFont="1" applyFill="1" applyBorder="1"/>
    <xf numFmtId="166" fontId="332" fillId="329" borderId="326" xfId="0" applyNumberFormat="1" applyFont="1" applyFill="1" applyBorder="1"/>
    <xf numFmtId="166" fontId="333" fillId="330" borderId="327" xfId="0" applyNumberFormat="1" applyFont="1" applyFill="1" applyBorder="1"/>
    <xf numFmtId="166" fontId="334" fillId="331" borderId="328" xfId="0" applyNumberFormat="1" applyFont="1" applyFill="1" applyBorder="1"/>
    <xf numFmtId="166" fontId="335" fillId="332" borderId="329" xfId="0" applyNumberFormat="1" applyFont="1" applyFill="1" applyBorder="1"/>
    <xf numFmtId="166" fontId="336" fillId="333" borderId="330" xfId="0" applyNumberFormat="1" applyFont="1" applyFill="1" applyBorder="1"/>
    <xf numFmtId="166" fontId="337" fillId="334" borderId="331" xfId="0" applyNumberFormat="1" applyFont="1" applyFill="1" applyBorder="1"/>
    <xf numFmtId="166" fontId="338" fillId="335" borderId="332" xfId="0" applyNumberFormat="1" applyFont="1" applyFill="1" applyBorder="1"/>
    <xf numFmtId="166" fontId="339" fillId="336" borderId="333" xfId="0" applyNumberFormat="1" applyFont="1" applyFill="1" applyBorder="1"/>
    <xf numFmtId="166" fontId="340" fillId="337" borderId="334" xfId="0" applyNumberFormat="1" applyFont="1" applyFill="1" applyBorder="1"/>
    <xf numFmtId="166" fontId="341" fillId="338" borderId="335" xfId="0" applyNumberFormat="1" applyFont="1" applyFill="1" applyBorder="1"/>
    <xf numFmtId="166" fontId="342" fillId="339" borderId="336" xfId="0" applyNumberFormat="1" applyFont="1" applyFill="1" applyBorder="1"/>
    <xf numFmtId="166" fontId="343" fillId="340" borderId="337" xfId="0" applyNumberFormat="1" applyFont="1" applyFill="1" applyBorder="1"/>
    <xf numFmtId="166" fontId="344" fillId="341" borderId="338" xfId="0" applyNumberFormat="1" applyFont="1" applyFill="1" applyBorder="1"/>
    <xf numFmtId="166" fontId="345" fillId="342" borderId="339" xfId="0" applyNumberFormat="1" applyFont="1" applyFill="1" applyBorder="1"/>
    <xf numFmtId="166" fontId="346" fillId="343" borderId="340" xfId="0" applyNumberFormat="1" applyFont="1" applyFill="1" applyBorder="1"/>
    <xf numFmtId="166" fontId="347" fillId="344" borderId="341" xfId="0" applyNumberFormat="1" applyFont="1" applyFill="1" applyBorder="1"/>
    <xf numFmtId="166" fontId="348" fillId="345" borderId="342" xfId="0" applyNumberFormat="1" applyFont="1" applyFill="1" applyBorder="1"/>
    <xf numFmtId="166" fontId="349" fillId="346" borderId="343" xfId="0" applyNumberFormat="1" applyFont="1" applyFill="1" applyBorder="1"/>
    <xf numFmtId="166" fontId="350" fillId="347" borderId="344" xfId="0" applyNumberFormat="1" applyFont="1" applyFill="1" applyBorder="1"/>
    <xf numFmtId="166" fontId="351" fillId="348" borderId="345" xfId="0" applyNumberFormat="1" applyFont="1" applyFill="1" applyBorder="1"/>
    <xf numFmtId="166" fontId="352" fillId="349" borderId="346" xfId="0" applyNumberFormat="1" applyFont="1" applyFill="1" applyBorder="1"/>
    <xf numFmtId="166" fontId="353" fillId="350" borderId="347" xfId="0" applyNumberFormat="1" applyFont="1" applyFill="1" applyBorder="1"/>
    <xf numFmtId="166" fontId="354" fillId="351" borderId="348" xfId="0" applyNumberFormat="1" applyFont="1" applyFill="1" applyBorder="1"/>
    <xf numFmtId="0" fontId="355" fillId="352" borderId="349" xfId="0" applyFont="1" applyFill="1" applyBorder="1"/>
    <xf numFmtId="0" fontId="356" fillId="353" borderId="350" xfId="0" applyFont="1" applyFill="1" applyBorder="1"/>
    <xf numFmtId="0" fontId="357" fillId="354" borderId="351" xfId="0" applyFont="1" applyFill="1" applyBorder="1"/>
    <xf numFmtId="0" fontId="358" fillId="355" borderId="352" xfId="0" applyFont="1" applyFill="1" applyBorder="1"/>
    <xf numFmtId="0" fontId="359" fillId="356" borderId="353" xfId="0" applyFont="1" applyFill="1" applyBorder="1"/>
    <xf numFmtId="0" fontId="360" fillId="357" borderId="354" xfId="0" applyFont="1" applyFill="1" applyBorder="1"/>
    <xf numFmtId="0" fontId="361" fillId="358" borderId="355" xfId="0" applyFont="1" applyFill="1" applyBorder="1"/>
    <xf numFmtId="0" fontId="362" fillId="359" borderId="356" xfId="0" applyFont="1" applyFill="1" applyBorder="1"/>
    <xf numFmtId="0" fontId="363" fillId="360" borderId="357" xfId="0" applyFont="1" applyFill="1" applyBorder="1"/>
    <xf numFmtId="0" fontId="364" fillId="361" borderId="358" xfId="0" applyFont="1" applyFill="1" applyBorder="1"/>
    <xf numFmtId="0" fontId="365" fillId="362" borderId="359" xfId="0" applyFont="1" applyFill="1" applyBorder="1"/>
    <xf numFmtId="0" fontId="366" fillId="363" borderId="360" xfId="0" applyFont="1" applyFill="1" applyBorder="1"/>
    <xf numFmtId="0" fontId="367" fillId="364" borderId="361" xfId="0" applyFont="1" applyFill="1" applyBorder="1"/>
    <xf numFmtId="0" fontId="368" fillId="365" borderId="362" xfId="0" applyFont="1" applyFill="1" applyBorder="1"/>
    <xf numFmtId="0" fontId="369" fillId="366" borderId="363" xfId="0" applyFont="1" applyFill="1" applyBorder="1"/>
    <xf numFmtId="0" fontId="370" fillId="367" borderId="364" xfId="0" applyFont="1" applyFill="1" applyBorder="1"/>
    <xf numFmtId="0" fontId="371" fillId="368" borderId="365" xfId="0" applyFont="1" applyFill="1" applyBorder="1"/>
    <xf numFmtId="0" fontId="372" fillId="369" borderId="366" xfId="0" applyFont="1" applyFill="1" applyBorder="1"/>
    <xf numFmtId="0" fontId="373" fillId="370" borderId="367" xfId="0" applyFont="1" applyFill="1" applyBorder="1"/>
    <xf numFmtId="0" fontId="374" fillId="371" borderId="368" xfId="0" applyFont="1" applyFill="1" applyBorder="1"/>
    <xf numFmtId="0" fontId="375" fillId="372" borderId="369" xfId="0" applyFont="1" applyFill="1" applyBorder="1"/>
    <xf numFmtId="0" fontId="376" fillId="373" borderId="370" xfId="0" applyFont="1" applyFill="1" applyBorder="1"/>
    <xf numFmtId="0" fontId="377" fillId="374" borderId="371" xfId="0" applyFont="1" applyFill="1" applyBorder="1"/>
    <xf numFmtId="0" fontId="378" fillId="375" borderId="372" xfId="0" applyFont="1" applyFill="1" applyBorder="1"/>
    <xf numFmtId="0" fontId="379" fillId="376" borderId="373" xfId="0" applyFont="1" applyFill="1" applyBorder="1"/>
    <xf numFmtId="0" fontId="380" fillId="377" borderId="374" xfId="0" applyFont="1" applyFill="1" applyBorder="1"/>
    <xf numFmtId="0" fontId="381" fillId="378" borderId="375" xfId="0" applyFont="1" applyFill="1" applyBorder="1"/>
    <xf numFmtId="0" fontId="382" fillId="379" borderId="376" xfId="0" applyFont="1" applyFill="1" applyBorder="1"/>
    <xf numFmtId="0" fontId="383" fillId="380" borderId="377" xfId="0" applyFont="1" applyFill="1" applyBorder="1"/>
    <xf numFmtId="0" fontId="384" fillId="381" borderId="378" xfId="0" applyFont="1" applyFill="1" applyBorder="1"/>
    <xf numFmtId="0" fontId="385" fillId="382" borderId="379" xfId="0" applyFont="1" applyFill="1" applyBorder="1"/>
    <xf numFmtId="0" fontId="386" fillId="383" borderId="380" xfId="0" applyFont="1" applyFill="1" applyBorder="1"/>
    <xf numFmtId="0" fontId="387" fillId="384" borderId="381" xfId="0" applyFont="1" applyFill="1" applyBorder="1"/>
    <xf numFmtId="0" fontId="388" fillId="385" borderId="382" xfId="0" applyFont="1" applyFill="1" applyBorder="1"/>
    <xf numFmtId="0" fontId="389" fillId="386" borderId="383" xfId="0" applyFont="1" applyFill="1" applyBorder="1"/>
    <xf numFmtId="0" fontId="390" fillId="387" borderId="384" xfId="0" applyFont="1" applyFill="1" applyBorder="1"/>
    <xf numFmtId="0" fontId="391" fillId="388" borderId="385" xfId="0" applyFont="1" applyFill="1" applyBorder="1"/>
    <xf numFmtId="0" fontId="392" fillId="389" borderId="386" xfId="0" applyFont="1" applyFill="1" applyBorder="1"/>
    <xf numFmtId="167" fontId="0" fillId="0" borderId="0" xfId="0" applyNumberFormat="1"/>
    <xf numFmtId="165" fontId="0" fillId="0" borderId="0" xfId="0" applyNumberFormat="1"/>
    <xf numFmtId="0" fontId="39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5" borderId="2" xfId="0" applyFont="1" applyFill="1" applyBorder="1" applyAlignment="1">
      <alignment horizontal="center" vertical="center"/>
    </xf>
    <xf numFmtId="0" fontId="154" fillId="151" borderId="148" xfId="0" applyFont="1" applyFill="1" applyBorder="1"/>
    <xf numFmtId="0" fontId="155" fillId="152" borderId="149" xfId="0" applyFont="1" applyFill="1" applyBorder="1"/>
    <xf numFmtId="0" fontId="156" fillId="153" borderId="150" xfId="0" applyFont="1" applyFill="1" applyBorder="1"/>
    <xf numFmtId="0" fontId="157" fillId="154" borderId="151" xfId="0" applyFont="1" applyFill="1" applyBorder="1"/>
    <xf numFmtId="0" fontId="158" fillId="155" borderId="152" xfId="0" applyFont="1" applyFill="1" applyBorder="1"/>
    <xf numFmtId="0" fontId="159" fillId="156" borderId="153" xfId="0" applyFont="1" applyFill="1" applyBorder="1"/>
    <xf numFmtId="0" fontId="160" fillId="157" borderId="154" xfId="0" applyFont="1" applyFill="1" applyBorder="1"/>
    <xf numFmtId="0" fontId="161" fillId="158" borderId="155" xfId="0" applyFont="1" applyFill="1" applyBorder="1"/>
    <xf numFmtId="0" fontId="9" fillId="6" borderId="3" xfId="0" applyFont="1" applyFill="1" applyBorder="1" applyAlignment="1">
      <alignment vertical="center"/>
    </xf>
    <xf numFmtId="0" fontId="171" fillId="168" borderId="165" xfId="0" applyFont="1" applyFill="1" applyBorder="1"/>
    <xf numFmtId="0" fontId="172" fillId="169" borderId="166" xfId="0" applyFont="1" applyFill="1" applyBorder="1"/>
    <xf numFmtId="0" fontId="173" fillId="170" borderId="167" xfId="0" applyFont="1" applyFill="1" applyBorder="1"/>
    <xf numFmtId="0" fontId="174" fillId="171" borderId="168" xfId="0" applyFont="1" applyFill="1" applyBorder="1"/>
    <xf numFmtId="0" fontId="175" fillId="172" borderId="169" xfId="0" applyFont="1" applyFill="1" applyBorder="1"/>
    <xf numFmtId="0" fontId="176" fillId="173" borderId="170" xfId="0" applyFont="1" applyFill="1" applyBorder="1"/>
    <xf numFmtId="0" fontId="177" fillId="174" borderId="171" xfId="0" applyFont="1" applyFill="1" applyBorder="1"/>
    <xf numFmtId="0" fontId="178" fillId="175" borderId="172" xfId="0" applyFont="1" applyFill="1" applyBorder="1"/>
    <xf numFmtId="0" fontId="16" fillId="13" borderId="10" xfId="0" applyFont="1" applyFill="1" applyBorder="1" applyAlignment="1">
      <alignment vertical="center"/>
    </xf>
    <xf numFmtId="0" fontId="209" fillId="206" borderId="203" xfId="0" applyFont="1" applyFill="1" applyBorder="1"/>
    <xf numFmtId="0" fontId="210" fillId="207" borderId="204" xfId="0" applyFont="1" applyFill="1" applyBorder="1"/>
    <xf numFmtId="0" fontId="211" fillId="208" borderId="205" xfId="0" applyFont="1" applyFill="1" applyBorder="1"/>
    <xf numFmtId="0" fontId="212" fillId="209" borderId="206" xfId="0" applyFont="1" applyFill="1" applyBorder="1"/>
    <xf numFmtId="0" fontId="213" fillId="210" borderId="207" xfId="0" applyFont="1" applyFill="1" applyBorder="1"/>
    <xf numFmtId="0" fontId="214" fillId="211" borderId="208" xfId="0" applyFont="1" applyFill="1" applyBorder="1"/>
    <xf numFmtId="0" fontId="215" fillId="212" borderId="209" xfId="0" applyFont="1" applyFill="1" applyBorder="1"/>
    <xf numFmtId="0" fontId="216" fillId="213" borderId="210" xfId="0" applyFont="1" applyFill="1" applyBorder="1"/>
    <xf numFmtId="0" fontId="81" fillId="78" borderId="75" xfId="0" applyFont="1" applyFill="1" applyBorder="1" applyAlignment="1">
      <alignment vertical="center"/>
    </xf>
    <xf numFmtId="0" fontId="243" fillId="240" borderId="237" xfId="0" applyFont="1" applyFill="1" applyBorder="1"/>
    <xf numFmtId="0" fontId="244" fillId="241" borderId="238" xfId="0" applyFont="1" applyFill="1" applyBorder="1"/>
    <xf numFmtId="0" fontId="245" fillId="242" borderId="239" xfId="0" applyFont="1" applyFill="1" applyBorder="1"/>
    <xf numFmtId="0" fontId="246" fillId="243" borderId="240" xfId="0" applyFont="1" applyFill="1" applyBorder="1"/>
    <xf numFmtId="0" fontId="247" fillId="244" borderId="241" xfId="0" applyFont="1" applyFill="1" applyBorder="1"/>
    <xf numFmtId="0" fontId="248" fillId="245" borderId="242" xfId="0" applyFont="1" applyFill="1" applyBorder="1"/>
    <xf numFmtId="0" fontId="249" fillId="246" borderId="243" xfId="0" applyFont="1" applyFill="1" applyBorder="1"/>
    <xf numFmtId="0" fontId="250" fillId="247" borderId="244" xfId="0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BCCA1864-8AB9-44B7-BD98-57B365AB0C60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4" formatCode="#,##0.00"/>
    </dxf>
    <dxf>
      <numFmt numFmtId="167" formatCode="dd/mm/\y\y\y\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204.438470949077" createdVersion="6" refreshedVersion="8" minRefreshableVersion="3" recordCount="762" xr:uid="{75E8FE5E-FD8B-49A4-AB52-D6D55E5A28E0}">
  <cacheSource type="worksheet">
    <worksheetSource name="Tabla_Combustible"/>
  </cacheSource>
  <cacheFields count="11">
    <cacheField name="ID_TICKET" numFmtId="0">
      <sharedItems/>
    </cacheField>
    <cacheField name="SEMANA" numFmtId="0">
      <sharedItems containsSemiMixedTypes="0" containsString="0" containsNumber="1" containsInteger="1" minValue="22" maxValue="27" count="6">
        <n v="24"/>
        <n v="25"/>
        <n v="26"/>
        <n v="27"/>
        <n v="22"/>
        <n v="23"/>
      </sharedItems>
    </cacheField>
    <cacheField name="FECHA" numFmtId="167">
      <sharedItems containsNonDate="0" containsDate="1" containsString="0" containsBlank="1" minDate="2006-06-19T00:00:00" maxDate="2026-07-06T00:00:00"/>
    </cacheField>
    <cacheField name="OBRA" numFmtId="0">
      <sharedItems count="12">
        <s v="México-Toluca"/>
        <s v="Lerma - Tres Marías"/>
        <s v="Bacheo Toluca"/>
        <s v="Chamapa-Lechería"/>
        <s v="Planta Asflato Huixquilucan"/>
        <s v="Planta Asfalto Pegaso"/>
        <s v="Planta Asfalto Huixquilucan"/>
        <s v="Maquinaria Pegaso"/>
        <s v="Dragones"/>
        <s v="Providencia"/>
        <s v="Jalisco"/>
        <s v="Transportes Pegaso"/>
      </sharedItems>
    </cacheField>
    <cacheField name="TIPO_REGISTRO" numFmtId="0">
      <sharedItems count="3">
        <s v="1. Solicitud"/>
        <s v="2. Consumo Real"/>
        <s v="4. Facturas"/>
      </sharedItems>
    </cacheField>
    <cacheField name="EQUIPO_CONCEPTO" numFmtId="0">
      <sharedItems/>
    </cacheField>
    <cacheField name="LITROS" numFmtId="4">
      <sharedItems containsSemiMixedTypes="0" containsString="0" containsNumber="1" minValue="5" maxValue="4000.0120000000006"/>
    </cacheField>
    <cacheField name="PRECIO_UNITARIO" numFmtId="165">
      <sharedItems containsSemiMixedTypes="0" containsString="0" containsNumber="1" minValue="23.80952380952381" maxValue="40.500250000000001"/>
    </cacheField>
    <cacheField name="COSTO_TOTAL" numFmtId="165">
      <sharedItems containsSemiMixedTypes="0" containsString="0" containsNumber="1" minValue="135" maxValue="108000.36"/>
    </cacheField>
    <cacheField name="CATEGORIA" numFmtId="0">
      <sharedItems/>
    </cacheField>
    <cacheField name="OBSERVACIONES" numFmtId="0">
      <sharedItems containsBlank="1" containsMixedTypes="1" containsNumber="1" minValue="23.95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2">
  <r>
    <s v="SOL-24-001"/>
    <x v="0"/>
    <d v="2026-06-08T00:00:00"/>
    <x v="0"/>
    <x v="0"/>
    <s v="Vogel"/>
    <n v="200"/>
    <n v="27"/>
    <n v="5400"/>
    <s v="DIESEL"/>
    <n v="27"/>
  </r>
  <r>
    <s v="SOL-24-002"/>
    <x v="0"/>
    <d v="2026-06-08T00:00:00"/>
    <x v="0"/>
    <x v="0"/>
    <s v="Perfiladora"/>
    <n v="300"/>
    <n v="27"/>
    <n v="8100"/>
    <s v="DIESEL"/>
    <n v="27"/>
  </r>
  <r>
    <s v="SOL-24-003"/>
    <x v="0"/>
    <d v="2026-06-08T00:00:00"/>
    <x v="0"/>
    <x v="0"/>
    <s v="Retroexcavadora"/>
    <n v="30"/>
    <n v="27"/>
    <n v="810"/>
    <s v="DIESEL"/>
    <n v="27"/>
  </r>
  <r>
    <s v="SOL-24-004"/>
    <x v="0"/>
    <d v="2026-06-08T00:00:00"/>
    <x v="0"/>
    <x v="0"/>
    <s v="Barredora"/>
    <n v="20"/>
    <n v="27"/>
    <n v="540"/>
    <s v="DIESEL"/>
    <n v="27"/>
  </r>
  <r>
    <s v="SOL-24-005"/>
    <x v="0"/>
    <d v="2026-06-08T00:00:00"/>
    <x v="0"/>
    <x v="0"/>
    <s v="Neuomatico"/>
    <n v="30"/>
    <n v="27"/>
    <n v="810"/>
    <s v="DIESEL"/>
    <n v="27"/>
  </r>
  <r>
    <s v="SOL-24-006"/>
    <x v="0"/>
    <d v="2026-06-08T00:00:00"/>
    <x v="0"/>
    <x v="0"/>
    <s v="Compactador"/>
    <n v="30"/>
    <n v="27"/>
    <n v="810"/>
    <s v="DIESEL"/>
    <n v="27"/>
  </r>
  <r>
    <s v="SOL-24-007"/>
    <x v="0"/>
    <d v="2026-06-08T00:00:00"/>
    <x v="0"/>
    <x v="0"/>
    <s v="Limpieza"/>
    <n v="30"/>
    <n v="27"/>
    <n v="810"/>
    <s v="DIESEL"/>
    <n v="27"/>
  </r>
  <r>
    <s v="SOL-24-008"/>
    <x v="0"/>
    <d v="2026-06-08T00:00:00"/>
    <x v="1"/>
    <x v="0"/>
    <s v="Retroexcavadora"/>
    <n v="50"/>
    <n v="27"/>
    <n v="1350"/>
    <s v="DIESEL"/>
    <n v="27"/>
  </r>
  <r>
    <s v="SOL-24-009"/>
    <x v="0"/>
    <d v="2026-06-08T00:00:00"/>
    <x v="1"/>
    <x v="0"/>
    <s v="Neuomatico"/>
    <n v="50"/>
    <n v="27"/>
    <n v="1350"/>
    <s v="DIESEL"/>
    <n v="27"/>
  </r>
  <r>
    <s v="SOL-24-010"/>
    <x v="0"/>
    <d v="2026-06-08T00:00:00"/>
    <x v="1"/>
    <x v="0"/>
    <s v="Petrolizadora"/>
    <n v="60"/>
    <n v="27"/>
    <n v="1620"/>
    <s v="DIESEL"/>
    <n v="27"/>
  </r>
  <r>
    <s v="SOL-24-011"/>
    <x v="0"/>
    <m/>
    <x v="2"/>
    <x v="0"/>
    <s v="Retroexcavadora"/>
    <n v="100"/>
    <n v="27"/>
    <n v="2700"/>
    <s v="DIESEL"/>
    <n v="27"/>
  </r>
  <r>
    <s v="SOL-24-012"/>
    <x v="0"/>
    <d v="2026-06-08T00:00:00"/>
    <x v="3"/>
    <x v="0"/>
    <s v="Perfiladora Wirgent"/>
    <n v="250"/>
    <n v="27"/>
    <n v="6750"/>
    <s v="DIESEL"/>
    <n v="27"/>
  </r>
  <r>
    <s v="SOL-24-013"/>
    <x v="0"/>
    <d v="2026-06-08T00:00:00"/>
    <x v="3"/>
    <x v="0"/>
    <s v="Perfiladora Cat-PM"/>
    <n v="150"/>
    <n v="27"/>
    <n v="4050"/>
    <s v="DIESEL"/>
    <n v="27"/>
  </r>
  <r>
    <s v="SOL-24-014"/>
    <x v="0"/>
    <d v="2026-06-08T00:00:00"/>
    <x v="3"/>
    <x v="0"/>
    <s v="Barredora Broce"/>
    <n v="40"/>
    <n v="27"/>
    <n v="1080"/>
    <s v="DIESEL"/>
    <n v="27"/>
  </r>
  <r>
    <s v="SOL-24-015"/>
    <x v="0"/>
    <d v="2026-06-08T00:00:00"/>
    <x v="3"/>
    <x v="0"/>
    <s v="Retroexcavadora Jonh Deere"/>
    <n v="60"/>
    <n v="27"/>
    <n v="1620"/>
    <s v="DIESEL"/>
    <n v="27"/>
  </r>
  <r>
    <s v="SOL-24-016"/>
    <x v="0"/>
    <d v="2026-06-08T00:00:00"/>
    <x v="3"/>
    <x v="0"/>
    <s v="Buggy Trasnfer"/>
    <n v="100"/>
    <n v="27"/>
    <n v="2700"/>
    <s v="DIESEL"/>
    <n v="27"/>
  </r>
  <r>
    <s v="SOL-24-017"/>
    <x v="0"/>
    <d v="2026-06-08T00:00:00"/>
    <x v="3"/>
    <x v="0"/>
    <s v="Vogele Guion"/>
    <n v="100"/>
    <n v="27"/>
    <n v="2700"/>
    <s v="DIESEL"/>
    <n v="27"/>
  </r>
  <r>
    <s v="SOL-24-018"/>
    <x v="0"/>
    <d v="2026-06-08T00:00:00"/>
    <x v="3"/>
    <x v="0"/>
    <s v="Limpieza"/>
    <n v="20"/>
    <n v="27"/>
    <n v="540"/>
    <s v="DIESEL"/>
    <n v="27"/>
  </r>
  <r>
    <s v="SOL-24-019"/>
    <x v="0"/>
    <d v="2026-06-08T00:00:00"/>
    <x v="3"/>
    <x v="0"/>
    <s v="Tandem Hamm"/>
    <n v="50"/>
    <n v="27"/>
    <n v="1350"/>
    <s v="DIESEL"/>
    <n v="27"/>
  </r>
  <r>
    <s v="SOL-24-020"/>
    <x v="0"/>
    <d v="2026-06-08T00:00:00"/>
    <x v="3"/>
    <x v="0"/>
    <s v="Neuomatico Dynapac"/>
    <n v="50"/>
    <n v="27"/>
    <n v="1350"/>
    <s v="DIESEL"/>
    <n v="27"/>
  </r>
  <r>
    <s v="SOL-24-021"/>
    <x v="0"/>
    <d v="2026-06-08T00:00:00"/>
    <x v="3"/>
    <x v="0"/>
    <s v="Petrolizadora Elton"/>
    <n v="50"/>
    <n v="27"/>
    <n v="1350"/>
    <s v="DIESEL"/>
    <n v="27"/>
  </r>
  <r>
    <s v="SOL-24-022"/>
    <x v="0"/>
    <d v="2026-06-08T00:00:00"/>
    <x v="3"/>
    <x v="0"/>
    <s v="Camion de Impacto"/>
    <n v="20"/>
    <n v="27"/>
    <n v="540"/>
    <s v="DIESEL"/>
    <n v="27"/>
  </r>
  <r>
    <s v="SOL-24-023"/>
    <x v="0"/>
    <d v="2026-06-08T00:00:00"/>
    <x v="3"/>
    <x v="0"/>
    <s v="Maxilihgs"/>
    <n v="50"/>
    <n v="27"/>
    <n v="1350"/>
    <s v="DIESEL"/>
    <n v="27"/>
  </r>
  <r>
    <s v="SOL-24-024"/>
    <x v="0"/>
    <d v="2026-06-08T00:00:00"/>
    <x v="3"/>
    <x v="0"/>
    <s v="Compresor"/>
    <n v="40"/>
    <n v="27"/>
    <n v="1080"/>
    <s v="DIESEL"/>
    <n v="27"/>
  </r>
  <r>
    <s v="SOL-24-025"/>
    <x v="0"/>
    <d v="2026-06-08T00:00:00"/>
    <x v="3"/>
    <x v="0"/>
    <s v="Rastrillador"/>
    <n v="10"/>
    <n v="27"/>
    <n v="270"/>
    <s v="DIESEL"/>
    <n v="27"/>
  </r>
  <r>
    <s v="SOL-24-026"/>
    <x v="0"/>
    <d v="2026-06-09T00:00:00"/>
    <x v="3"/>
    <x v="0"/>
    <s v="Perfiladora Wirgent"/>
    <n v="250"/>
    <n v="27"/>
    <n v="6750"/>
    <s v="DIESEL"/>
    <n v="27"/>
  </r>
  <r>
    <s v="SOL-24-027"/>
    <x v="0"/>
    <d v="2026-06-09T00:00:00"/>
    <x v="3"/>
    <x v="0"/>
    <s v="Barredora Broce"/>
    <n v="40"/>
    <n v="27"/>
    <n v="1080"/>
    <s v="DIESEL"/>
    <n v="27"/>
  </r>
  <r>
    <s v="SOL-24-028"/>
    <x v="0"/>
    <d v="2026-06-09T00:00:00"/>
    <x v="3"/>
    <x v="0"/>
    <s v="Retroexcavadora Jonh Deere"/>
    <n v="60"/>
    <n v="27"/>
    <n v="1620"/>
    <s v="DIESEL"/>
    <n v="27"/>
  </r>
  <r>
    <s v="SOL-24-029"/>
    <x v="0"/>
    <d v="2026-06-09T00:00:00"/>
    <x v="3"/>
    <x v="0"/>
    <s v="Buggy Trasnfer"/>
    <n v="100"/>
    <n v="27"/>
    <n v="2700"/>
    <s v="DIESEL"/>
    <n v="27"/>
  </r>
  <r>
    <s v="SOL-24-030"/>
    <x v="0"/>
    <d v="2026-06-09T00:00:00"/>
    <x v="3"/>
    <x v="0"/>
    <s v="Vogele Guion"/>
    <n v="100"/>
    <n v="27"/>
    <n v="2700"/>
    <s v="DIESEL"/>
    <n v="27"/>
  </r>
  <r>
    <s v="SOL-24-031"/>
    <x v="0"/>
    <d v="2026-06-09T00:00:00"/>
    <x v="3"/>
    <x v="0"/>
    <s v="Limpieza"/>
    <n v="20"/>
    <n v="27"/>
    <n v="540"/>
    <s v="DIESEL"/>
    <n v="27"/>
  </r>
  <r>
    <s v="SOL-24-032"/>
    <x v="0"/>
    <d v="2026-06-09T00:00:00"/>
    <x v="3"/>
    <x v="0"/>
    <s v="Tandem Hamm"/>
    <n v="50"/>
    <n v="27"/>
    <n v="1350"/>
    <s v="DIESEL"/>
    <n v="27"/>
  </r>
  <r>
    <s v="SOL-24-033"/>
    <x v="0"/>
    <d v="2026-06-09T00:00:00"/>
    <x v="3"/>
    <x v="0"/>
    <s v="Neuomatico Dynapac"/>
    <n v="50"/>
    <n v="27"/>
    <n v="1350"/>
    <s v="DIESEL"/>
    <n v="27"/>
  </r>
  <r>
    <s v="SOL-24-034"/>
    <x v="0"/>
    <d v="2026-06-09T00:00:00"/>
    <x v="3"/>
    <x v="0"/>
    <s v="Petrolizadora Elton"/>
    <n v="50"/>
    <n v="27"/>
    <n v="1350"/>
    <s v="DIESEL"/>
    <n v="27"/>
  </r>
  <r>
    <s v="SOL-24-035"/>
    <x v="0"/>
    <d v="2026-06-09T00:00:00"/>
    <x v="3"/>
    <x v="0"/>
    <s v="Maxilihgs"/>
    <n v="40"/>
    <n v="27"/>
    <n v="1080"/>
    <s v="DIESEL"/>
    <n v="27"/>
  </r>
  <r>
    <s v="SOL-24-036"/>
    <x v="0"/>
    <d v="2026-06-09T00:00:00"/>
    <x v="3"/>
    <x v="0"/>
    <s v="Compresor"/>
    <n v="30"/>
    <n v="27"/>
    <n v="810"/>
    <s v="DIESEL"/>
    <n v="27"/>
  </r>
  <r>
    <s v="SOL-24-037"/>
    <x v="0"/>
    <d v="2026-06-09T00:00:00"/>
    <x v="1"/>
    <x v="0"/>
    <s v="Retroexcavadora"/>
    <n v="50"/>
    <n v="27"/>
    <n v="1350"/>
    <s v="DIESEL"/>
    <n v="27"/>
  </r>
  <r>
    <s v="SOL-24-038"/>
    <x v="0"/>
    <d v="2026-06-09T00:00:00"/>
    <x v="1"/>
    <x v="0"/>
    <s v="Neuomatico"/>
    <n v="50"/>
    <n v="27"/>
    <n v="1350"/>
    <s v="DIESEL"/>
    <n v="27"/>
  </r>
  <r>
    <s v="SOL-24-039"/>
    <x v="0"/>
    <d v="2026-06-09T00:00:00"/>
    <x v="1"/>
    <x v="0"/>
    <s v="Petrolizadora"/>
    <n v="60"/>
    <n v="27"/>
    <n v="1620"/>
    <s v="DIESEL"/>
    <n v="27"/>
  </r>
  <r>
    <s v="SOL-24-040"/>
    <x v="0"/>
    <d v="2026-06-09T00:00:00"/>
    <x v="1"/>
    <x v="0"/>
    <s v="Doble Rodillo"/>
    <n v="50"/>
    <n v="27"/>
    <n v="1350"/>
    <s v="DIESEL"/>
    <n v="27"/>
  </r>
  <r>
    <s v="SOL-24-041"/>
    <x v="0"/>
    <m/>
    <x v="2"/>
    <x v="0"/>
    <s v="Retroexcavadora"/>
    <n v="100"/>
    <n v="27"/>
    <n v="2700"/>
    <s v="DIESEL"/>
    <n v="27"/>
  </r>
  <r>
    <s v="SOL-24-042"/>
    <x v="0"/>
    <d v="2026-06-10T00:00:00"/>
    <x v="0"/>
    <x v="0"/>
    <s v="Perfiladora"/>
    <n v="250"/>
    <n v="27"/>
    <n v="6750"/>
    <s v="DIESEL"/>
    <n v="27"/>
  </r>
  <r>
    <s v="SOL-24-043"/>
    <x v="0"/>
    <d v="2026-06-10T00:00:00"/>
    <x v="0"/>
    <x v="0"/>
    <s v="Retroexcavadora"/>
    <n v="30"/>
    <n v="27"/>
    <n v="810"/>
    <s v="DIESEL"/>
    <n v="27"/>
  </r>
  <r>
    <s v="SOL-24-044"/>
    <x v="0"/>
    <d v="2026-06-10T00:00:00"/>
    <x v="0"/>
    <x v="0"/>
    <s v="Barredora"/>
    <n v="20"/>
    <n v="27"/>
    <n v="540"/>
    <s v="DIESEL"/>
    <n v="27"/>
  </r>
  <r>
    <s v="SOL-24-045"/>
    <x v="0"/>
    <d v="2026-06-10T00:00:00"/>
    <x v="0"/>
    <x v="0"/>
    <s v="Maxilihgs"/>
    <n v="20"/>
    <n v="27"/>
    <n v="540"/>
    <s v="DIESEL"/>
    <n v="27"/>
  </r>
  <r>
    <s v="SOL-24-046"/>
    <x v="0"/>
    <d v="2026-06-11T00:00:00"/>
    <x v="1"/>
    <x v="0"/>
    <s v="Petrolizadora"/>
    <n v="80"/>
    <n v="27"/>
    <n v="2160"/>
    <s v="DIESEL"/>
    <n v="27"/>
  </r>
  <r>
    <s v="SOL-24-047"/>
    <x v="0"/>
    <d v="2026-06-11T00:00:00"/>
    <x v="1"/>
    <x v="0"/>
    <s v="Camion de Impacto"/>
    <n v="80"/>
    <n v="27"/>
    <n v="2160"/>
    <s v="DIESEL"/>
    <n v="27"/>
  </r>
  <r>
    <s v="SOL-24-048"/>
    <x v="0"/>
    <d v="2026-06-11T00:00:00"/>
    <x v="1"/>
    <x v="0"/>
    <s v="Retroexcavadora"/>
    <n v="70"/>
    <n v="27"/>
    <n v="1890"/>
    <s v="DIESEL"/>
    <n v="27"/>
  </r>
  <r>
    <s v="SOL-24-049"/>
    <x v="0"/>
    <d v="2026-06-11T00:00:00"/>
    <x v="1"/>
    <x v="0"/>
    <s v="Doble Rodillo"/>
    <n v="40"/>
    <n v="27"/>
    <n v="1080"/>
    <s v="DIESEL"/>
    <n v="27"/>
  </r>
  <r>
    <s v="SOL-24-050"/>
    <x v="0"/>
    <d v="2026-06-11T00:00:00"/>
    <x v="1"/>
    <x v="0"/>
    <s v="Vogel"/>
    <n v="150"/>
    <n v="27"/>
    <n v="4050"/>
    <s v="DIESEL"/>
    <n v="27"/>
  </r>
  <r>
    <s v="SOL-24-051"/>
    <x v="0"/>
    <d v="2026-06-11T00:00:00"/>
    <x v="1"/>
    <x v="0"/>
    <s v="Limpieza"/>
    <n v="30"/>
    <n v="27"/>
    <n v="810"/>
    <s v="DIESEL"/>
    <n v="27"/>
  </r>
  <r>
    <s v="SOL-24-052"/>
    <x v="0"/>
    <d v="2026-06-11T00:00:00"/>
    <x v="1"/>
    <x v="0"/>
    <s v="Rastrillador"/>
    <n v="10"/>
    <n v="27"/>
    <n v="270"/>
    <s v="DIESEL"/>
    <n v="27"/>
  </r>
  <r>
    <s v="SOL-24-053"/>
    <x v="0"/>
    <m/>
    <x v="2"/>
    <x v="0"/>
    <s v="Retroexcavadora"/>
    <n v="50"/>
    <n v="27"/>
    <n v="1350"/>
    <s v="DIESEL"/>
    <n v="27"/>
  </r>
  <r>
    <s v="SOL-24-054"/>
    <x v="0"/>
    <m/>
    <x v="2"/>
    <x v="0"/>
    <s v="Otro"/>
    <n v="10"/>
    <n v="27"/>
    <n v="270"/>
    <s v="DIESEL"/>
    <n v="27"/>
  </r>
  <r>
    <s v="SOL-24-055"/>
    <x v="0"/>
    <m/>
    <x v="2"/>
    <x v="0"/>
    <s v="Limpieza"/>
    <n v="10"/>
    <n v="27"/>
    <n v="270"/>
    <s v="DIESEL"/>
    <n v="27"/>
  </r>
  <r>
    <s v="SOL-24-056"/>
    <x v="0"/>
    <d v="2026-06-12T00:00:00"/>
    <x v="0"/>
    <x v="0"/>
    <s v="Perfiladora"/>
    <n v="250"/>
    <n v="27"/>
    <n v="6750"/>
    <s v="DIESEL"/>
    <n v="27"/>
  </r>
  <r>
    <s v="SOL-24-057"/>
    <x v="0"/>
    <d v="2026-06-12T00:00:00"/>
    <x v="0"/>
    <x v="0"/>
    <s v="Vogel"/>
    <n v="150"/>
    <n v="27"/>
    <n v="4050"/>
    <s v="DIESEL"/>
    <n v="27"/>
  </r>
  <r>
    <s v="SOL-24-058"/>
    <x v="0"/>
    <d v="2026-06-12T00:00:00"/>
    <x v="0"/>
    <x v="0"/>
    <s v="Compactador"/>
    <n v="40"/>
    <n v="27"/>
    <n v="1080"/>
    <s v="DIESEL"/>
    <n v="27"/>
  </r>
  <r>
    <s v="SOL-24-059"/>
    <x v="0"/>
    <d v="2026-06-12T00:00:00"/>
    <x v="0"/>
    <x v="0"/>
    <s v="Neuomatico"/>
    <n v="30"/>
    <n v="27"/>
    <n v="810"/>
    <s v="DIESEL"/>
    <n v="27"/>
  </r>
  <r>
    <s v="SOL-24-060"/>
    <x v="0"/>
    <d v="2026-06-12T00:00:00"/>
    <x v="0"/>
    <x v="0"/>
    <s v="Retroexcavadora"/>
    <n v="30"/>
    <n v="27"/>
    <n v="810"/>
    <s v="DIESEL"/>
    <n v="27"/>
  </r>
  <r>
    <s v="SOL-24-061"/>
    <x v="0"/>
    <d v="2026-06-12T00:00:00"/>
    <x v="0"/>
    <x v="0"/>
    <s v="Barredora"/>
    <n v="20"/>
    <n v="27"/>
    <n v="540"/>
    <s v="DIESEL"/>
    <n v="27"/>
  </r>
  <r>
    <s v="SOL-24-062"/>
    <x v="0"/>
    <d v="2026-06-12T00:00:00"/>
    <x v="0"/>
    <x v="0"/>
    <s v="Maxilihgs"/>
    <n v="20"/>
    <n v="27"/>
    <n v="540"/>
    <s v="DIESEL"/>
    <n v="27"/>
  </r>
  <r>
    <s v="SOL-24-063"/>
    <x v="0"/>
    <d v="2026-06-12T00:00:00"/>
    <x v="3"/>
    <x v="0"/>
    <s v="Perfiladora Wirgent"/>
    <n v="250"/>
    <n v="27"/>
    <n v="6750"/>
    <s v="DIESEL"/>
    <n v="27"/>
  </r>
  <r>
    <s v="SOL-24-064"/>
    <x v="0"/>
    <d v="2026-06-12T00:00:00"/>
    <x v="3"/>
    <x v="0"/>
    <s v="Barredora Broce"/>
    <n v="40"/>
    <n v="27"/>
    <n v="1080"/>
    <s v="DIESEL"/>
    <n v="27"/>
  </r>
  <r>
    <s v="SOL-24-065"/>
    <x v="0"/>
    <d v="2026-06-12T00:00:00"/>
    <x v="3"/>
    <x v="0"/>
    <s v="Retroexcavadora Jonh Deere"/>
    <n v="60"/>
    <n v="27"/>
    <n v="1620"/>
    <s v="DIESEL"/>
    <n v="27"/>
  </r>
  <r>
    <s v="SOL-24-066"/>
    <x v="0"/>
    <d v="2026-06-12T00:00:00"/>
    <x v="3"/>
    <x v="0"/>
    <s v="Vogele Guion"/>
    <n v="100"/>
    <n v="27"/>
    <n v="2700"/>
    <s v="DIESEL"/>
    <n v="27"/>
  </r>
  <r>
    <s v="SOL-24-067"/>
    <x v="0"/>
    <d v="2026-06-12T00:00:00"/>
    <x v="3"/>
    <x v="0"/>
    <s v="Limpieza"/>
    <n v="20"/>
    <n v="27"/>
    <n v="540"/>
    <s v="DIESEL"/>
    <n v="27"/>
  </r>
  <r>
    <s v="SOL-24-068"/>
    <x v="0"/>
    <d v="2026-06-12T00:00:00"/>
    <x v="3"/>
    <x v="0"/>
    <s v="Tandem Hamm"/>
    <n v="50"/>
    <n v="27"/>
    <n v="1350"/>
    <s v="DIESEL"/>
    <n v="27"/>
  </r>
  <r>
    <s v="SOL-24-069"/>
    <x v="0"/>
    <d v="2026-06-12T00:00:00"/>
    <x v="3"/>
    <x v="0"/>
    <s v="Neuomatico Dynapac"/>
    <n v="50"/>
    <n v="27"/>
    <n v="1350"/>
    <s v="DIESEL"/>
    <n v="27"/>
  </r>
  <r>
    <s v="SOL-24-070"/>
    <x v="0"/>
    <d v="2026-06-12T00:00:00"/>
    <x v="3"/>
    <x v="0"/>
    <s v="Petrolizadora Elton"/>
    <n v="50"/>
    <n v="27"/>
    <n v="1350"/>
    <s v="DIESEL"/>
    <n v="27"/>
  </r>
  <r>
    <s v="SOL-25-001"/>
    <x v="1"/>
    <d v="2026-06-15T00:00:00"/>
    <x v="0"/>
    <x v="0"/>
    <s v="Perfiladora Wirgent"/>
    <n v="250"/>
    <n v="27"/>
    <n v="6750"/>
    <s v="DIESEL"/>
    <n v="27"/>
  </r>
  <r>
    <s v="SOL-25-002"/>
    <x v="1"/>
    <d v="2026-06-15T00:00:00"/>
    <x v="0"/>
    <x v="0"/>
    <s v="Vogele Guion"/>
    <n v="100"/>
    <n v="27"/>
    <n v="2700"/>
    <s v="DIESEL"/>
    <n v="27"/>
  </r>
  <r>
    <s v="SOL-25-003"/>
    <x v="1"/>
    <d v="2026-06-15T00:00:00"/>
    <x v="0"/>
    <x v="0"/>
    <s v="Tandem Hamm"/>
    <n v="50"/>
    <n v="27"/>
    <n v="1350"/>
    <s v="DIESEL"/>
    <n v="27"/>
  </r>
  <r>
    <s v="SOL-25-004"/>
    <x v="1"/>
    <d v="2026-06-15T00:00:00"/>
    <x v="0"/>
    <x v="0"/>
    <s v="Limpieza"/>
    <n v="20"/>
    <n v="27"/>
    <n v="540"/>
    <s v="DIESEL"/>
    <n v="27"/>
  </r>
  <r>
    <s v="SOL-25-005"/>
    <x v="1"/>
    <d v="2026-06-15T00:00:00"/>
    <x v="0"/>
    <x v="0"/>
    <s v="Neuomatico Dynapac"/>
    <n v="50"/>
    <n v="27"/>
    <n v="1350"/>
    <s v="DIESEL"/>
    <n v="27"/>
  </r>
  <r>
    <s v="SOL-25-006"/>
    <x v="1"/>
    <d v="2026-06-15T00:00:00"/>
    <x v="0"/>
    <x v="0"/>
    <s v="Barredora Broce"/>
    <n v="40"/>
    <n v="27"/>
    <n v="1080"/>
    <s v="DIESEL"/>
    <n v="27"/>
  </r>
  <r>
    <s v="SOL-25-007"/>
    <x v="1"/>
    <d v="2026-06-15T00:00:00"/>
    <x v="0"/>
    <x v="0"/>
    <s v="Retroexcavadora"/>
    <n v="60"/>
    <n v="27"/>
    <n v="1620"/>
    <s v="DIESEL"/>
    <n v="27"/>
  </r>
  <r>
    <s v="SOL-25-008"/>
    <x v="1"/>
    <d v="2026-06-15T00:00:00"/>
    <x v="0"/>
    <x v="0"/>
    <s v="Petrolizadora Elton"/>
    <n v="50"/>
    <n v="27"/>
    <n v="1350"/>
    <s v="DIESEL"/>
    <n v="27"/>
  </r>
  <r>
    <s v="SOL-25-009"/>
    <x v="1"/>
    <d v="2026-06-15T00:00:00"/>
    <x v="1"/>
    <x v="0"/>
    <s v="Vogel"/>
    <n v="90"/>
    <n v="27"/>
    <n v="2430"/>
    <s v="DIESEL"/>
    <n v="27"/>
  </r>
  <r>
    <s v="SOL-25-010"/>
    <x v="1"/>
    <d v="2026-06-15T00:00:00"/>
    <x v="1"/>
    <x v="0"/>
    <s v="Neuomatico"/>
    <n v="40"/>
    <n v="27"/>
    <n v="1080"/>
    <s v="DIESEL"/>
    <n v="27"/>
  </r>
  <r>
    <s v="SOL-25-011"/>
    <x v="1"/>
    <d v="2026-06-15T00:00:00"/>
    <x v="1"/>
    <x v="0"/>
    <s v="Barredora"/>
    <n v="40"/>
    <n v="27"/>
    <n v="1080"/>
    <s v="DIESEL"/>
    <n v="27"/>
  </r>
  <r>
    <s v="SOL-25-012"/>
    <x v="1"/>
    <m/>
    <x v="2"/>
    <x v="0"/>
    <s v="Retroexcavadora"/>
    <n v="70"/>
    <n v="27"/>
    <n v="1890"/>
    <s v="DIESEL"/>
    <n v="27"/>
  </r>
  <r>
    <s v="SOL-25-013"/>
    <x v="1"/>
    <m/>
    <x v="2"/>
    <x v="0"/>
    <s v="Perfiladora"/>
    <n v="200"/>
    <n v="27"/>
    <n v="5400"/>
    <s v="DIESEL"/>
    <n v="27"/>
  </r>
  <r>
    <s v="SOL-25-014"/>
    <x v="1"/>
    <m/>
    <x v="2"/>
    <x v="0"/>
    <s v="Doble Rodillo"/>
    <n v="40"/>
    <n v="27"/>
    <n v="1080"/>
    <s v="DIESEL"/>
    <n v="27"/>
  </r>
  <r>
    <s v="SOL-25-015"/>
    <x v="1"/>
    <d v="2026-06-16T00:00:00"/>
    <x v="1"/>
    <x v="0"/>
    <s v="Limpieza"/>
    <n v="25"/>
    <n v="27"/>
    <n v="675"/>
    <s v="DIESEL"/>
    <n v="27"/>
  </r>
  <r>
    <s v="SOL-25-016"/>
    <x v="1"/>
    <d v="2026-06-16T00:00:00"/>
    <x v="1"/>
    <x v="0"/>
    <s v="Petrolizadora"/>
    <n v="60"/>
    <n v="27"/>
    <n v="1620"/>
    <s v="DIESEL"/>
    <n v="27"/>
  </r>
  <r>
    <s v="SOL-25-017"/>
    <x v="1"/>
    <d v="2026-06-16T00:00:00"/>
    <x v="1"/>
    <x v="0"/>
    <s v="Tandem Hamm"/>
    <n v="50"/>
    <n v="27"/>
    <n v="1350"/>
    <s v="DIESEL"/>
    <n v="27"/>
  </r>
  <r>
    <s v="SOL-25-018"/>
    <x v="1"/>
    <d v="2026-06-16T00:00:00"/>
    <x v="1"/>
    <x v="0"/>
    <s v="Perfiladora"/>
    <n v="250"/>
    <n v="27"/>
    <n v="6750"/>
    <s v="DIESEL"/>
    <n v="27"/>
  </r>
  <r>
    <s v="SOL-25-019"/>
    <x v="1"/>
    <d v="2026-06-16T00:00:00"/>
    <x v="1"/>
    <x v="0"/>
    <s v="Barredora"/>
    <n v="70"/>
    <n v="27"/>
    <n v="1890"/>
    <s v="DIESEL"/>
    <n v="27"/>
  </r>
  <r>
    <s v="SOL-25-020"/>
    <x v="1"/>
    <d v="2026-06-16T00:00:00"/>
    <x v="1"/>
    <x v="0"/>
    <s v="Retroexcavadora"/>
    <n v="50"/>
    <n v="27"/>
    <n v="1350"/>
    <s v="DIESEL"/>
    <n v="27"/>
  </r>
  <r>
    <s v="SOL-25-021"/>
    <x v="1"/>
    <d v="2026-06-16T00:00:00"/>
    <x v="0"/>
    <x v="0"/>
    <s v="Perfiladora Wirgent"/>
    <n v="250"/>
    <n v="27"/>
    <n v="6750"/>
    <s v="DIESEL"/>
    <n v="27"/>
  </r>
  <r>
    <s v="SOL-25-022"/>
    <x v="1"/>
    <d v="2026-06-16T00:00:00"/>
    <x v="0"/>
    <x v="0"/>
    <s v="Vogele Guion"/>
    <n v="200"/>
    <n v="27"/>
    <n v="5400"/>
    <s v="DIESEL"/>
    <n v="27"/>
  </r>
  <r>
    <s v="SOL-25-023"/>
    <x v="1"/>
    <d v="2026-06-16T00:00:00"/>
    <x v="0"/>
    <x v="0"/>
    <s v="Limpieza"/>
    <n v="20"/>
    <n v="27"/>
    <n v="540"/>
    <s v="DIESEL"/>
    <n v="27"/>
  </r>
  <r>
    <s v="SOL-25-024"/>
    <x v="1"/>
    <d v="2026-06-16T00:00:00"/>
    <x v="0"/>
    <x v="0"/>
    <s v="Tandem Hamm"/>
    <n v="50"/>
    <n v="27"/>
    <n v="1350"/>
    <s v="DIESEL"/>
    <n v="27"/>
  </r>
  <r>
    <s v="SOL-25-025"/>
    <x v="1"/>
    <d v="2026-06-16T00:00:00"/>
    <x v="0"/>
    <x v="0"/>
    <s v="Neuomatico"/>
    <n v="50"/>
    <n v="27"/>
    <n v="1350"/>
    <s v="DIESEL"/>
    <n v="27"/>
  </r>
  <r>
    <s v="SOL-25-026"/>
    <x v="1"/>
    <d v="2026-06-16T00:00:00"/>
    <x v="0"/>
    <x v="0"/>
    <s v="Barredora Broce"/>
    <n v="40"/>
    <n v="27"/>
    <n v="1080"/>
    <s v="DIESEL"/>
    <n v="27"/>
  </r>
  <r>
    <s v="SOL-25-027"/>
    <x v="1"/>
    <d v="2026-06-16T00:00:00"/>
    <x v="0"/>
    <x v="0"/>
    <s v="Retroexcavadora"/>
    <n v="50"/>
    <n v="27"/>
    <n v="1350"/>
    <s v="DIESEL"/>
    <n v="27"/>
  </r>
  <r>
    <s v="SOL-25-028"/>
    <x v="1"/>
    <d v="2026-06-16T00:00:00"/>
    <x v="0"/>
    <x v="0"/>
    <s v="Petrolizadora Elton"/>
    <n v="50"/>
    <n v="27"/>
    <n v="1350"/>
    <s v="DIESEL"/>
    <n v="27"/>
  </r>
  <r>
    <s v="SOL-25-029"/>
    <x v="1"/>
    <d v="2026-06-17T00:00:00"/>
    <x v="1"/>
    <x v="0"/>
    <s v="Pipa"/>
    <n v="50"/>
    <n v="27"/>
    <n v="1350"/>
    <s v="DIESEL"/>
    <n v="27"/>
  </r>
  <r>
    <s v="SOL-25-030"/>
    <x v="1"/>
    <d v="2026-06-17T00:00:00"/>
    <x v="1"/>
    <x v="0"/>
    <s v="Neuomatico"/>
    <n v="30"/>
    <n v="27"/>
    <n v="810"/>
    <s v="DIESEL"/>
    <n v="27"/>
  </r>
  <r>
    <s v="SOL-25-031"/>
    <x v="1"/>
    <d v="2026-06-17T00:00:00"/>
    <x v="1"/>
    <x v="0"/>
    <s v="Doble Rodillo"/>
    <n v="50"/>
    <n v="27"/>
    <n v="1350"/>
    <s v="DIESEL"/>
    <n v="27"/>
  </r>
  <r>
    <s v="SOL-25-032"/>
    <x v="1"/>
    <d v="2026-06-17T00:00:00"/>
    <x v="1"/>
    <x v="0"/>
    <s v="Vogel"/>
    <n v="130"/>
    <n v="27"/>
    <n v="3510"/>
    <s v="DIESEL"/>
    <n v="27"/>
  </r>
  <r>
    <s v="SOL-25-033"/>
    <x v="1"/>
    <d v="2026-06-17T00:00:00"/>
    <x v="1"/>
    <x v="0"/>
    <s v="Limpieza"/>
    <n v="20"/>
    <n v="27"/>
    <n v="540"/>
    <s v="DIESEL"/>
    <n v="27"/>
  </r>
  <r>
    <s v="SOL-25-034"/>
    <x v="1"/>
    <d v="2026-06-17T00:00:00"/>
    <x v="1"/>
    <x v="0"/>
    <s v="Rastrillador"/>
    <n v="160"/>
    <n v="27"/>
    <n v="4320"/>
    <s v="DIESEL"/>
    <n v="27"/>
  </r>
  <r>
    <s v="SOL-25-035"/>
    <x v="1"/>
    <d v="2026-06-17T00:00:00"/>
    <x v="1"/>
    <x v="0"/>
    <s v="Petrolizadora"/>
    <n v="70"/>
    <n v="27"/>
    <n v="1890"/>
    <s v="DIESEL"/>
    <n v="27"/>
  </r>
  <r>
    <s v="SOL-25-036"/>
    <x v="1"/>
    <d v="2026-06-17T00:00:00"/>
    <x v="1"/>
    <x v="0"/>
    <s v="Perfiladora"/>
    <n v="250"/>
    <n v="27"/>
    <n v="6750"/>
    <s v="DIESEL"/>
    <n v="27"/>
  </r>
  <r>
    <s v="SOL-25-037"/>
    <x v="1"/>
    <d v="2026-06-17T00:00:00"/>
    <x v="1"/>
    <x v="0"/>
    <s v="Pipa"/>
    <n v="150"/>
    <n v="27"/>
    <n v="4050"/>
    <s v="DIESEL"/>
    <n v="27"/>
  </r>
  <r>
    <s v="SOL-25-038"/>
    <x v="1"/>
    <d v="2026-06-17T00:00:00"/>
    <x v="0"/>
    <x v="0"/>
    <s v="Perfiladora Wirgent"/>
    <n v="250"/>
    <n v="27"/>
    <n v="6750"/>
    <s v="DIESEL"/>
    <n v="27"/>
  </r>
  <r>
    <s v="SOL-25-039"/>
    <x v="1"/>
    <d v="2026-06-17T00:00:00"/>
    <x v="0"/>
    <x v="0"/>
    <s v="Vogele Guion"/>
    <n v="100"/>
    <n v="27"/>
    <n v="2700"/>
    <s v="DIESEL"/>
    <n v="27"/>
  </r>
  <r>
    <s v="SOL-25-040"/>
    <x v="1"/>
    <d v="2026-06-17T00:00:00"/>
    <x v="0"/>
    <x v="0"/>
    <s v="Limpieza"/>
    <n v="20"/>
    <n v="27"/>
    <n v="540"/>
    <s v="DIESEL"/>
    <n v="27"/>
  </r>
  <r>
    <s v="SOL-25-041"/>
    <x v="1"/>
    <d v="2026-06-17T00:00:00"/>
    <x v="0"/>
    <x v="0"/>
    <s v="Tandem Hamm"/>
    <n v="50"/>
    <n v="27"/>
    <n v="1350"/>
    <s v="DIESEL"/>
    <n v="27"/>
  </r>
  <r>
    <s v="SOL-25-042"/>
    <x v="1"/>
    <d v="2026-06-17T00:00:00"/>
    <x v="0"/>
    <x v="0"/>
    <s v="Neuomatico"/>
    <n v="50"/>
    <n v="27"/>
    <n v="1350"/>
    <s v="DIESEL"/>
    <n v="27"/>
  </r>
  <r>
    <s v="SOL-25-043"/>
    <x v="1"/>
    <d v="2026-06-17T00:00:00"/>
    <x v="0"/>
    <x v="0"/>
    <s v="Barredora Broce"/>
    <n v="30"/>
    <n v="27"/>
    <n v="810"/>
    <s v="DIESEL"/>
    <n v="27"/>
  </r>
  <r>
    <s v="SOL-25-044"/>
    <x v="1"/>
    <d v="2026-06-17T00:00:00"/>
    <x v="0"/>
    <x v="0"/>
    <s v="Retroexcavadora"/>
    <n v="80"/>
    <n v="27"/>
    <n v="2160"/>
    <s v="DIESEL"/>
    <n v="27"/>
  </r>
  <r>
    <s v="SOL-25-045"/>
    <x v="1"/>
    <d v="2026-06-17T00:00:00"/>
    <x v="0"/>
    <x v="0"/>
    <s v="Petrolizadora Elton"/>
    <n v="50"/>
    <n v="27"/>
    <n v="1350"/>
    <s v="DIESEL"/>
    <n v="27"/>
  </r>
  <r>
    <s v="SOL-25-046"/>
    <x v="1"/>
    <d v="2026-06-17T00:00:00"/>
    <x v="2"/>
    <x v="0"/>
    <s v="Retroexcavadora"/>
    <n v="70"/>
    <n v="27"/>
    <n v="1890"/>
    <s v="DIESEL"/>
    <n v="27"/>
  </r>
  <r>
    <s v="SOL-25-047"/>
    <x v="1"/>
    <d v="2026-06-17T00:00:00"/>
    <x v="2"/>
    <x v="0"/>
    <s v="Retroexcavadora"/>
    <n v="70"/>
    <n v="27"/>
    <n v="1890"/>
    <s v="DIESEL"/>
    <n v="27"/>
  </r>
  <r>
    <s v="SOL-25-048"/>
    <x v="1"/>
    <d v="2026-06-17T00:00:00"/>
    <x v="2"/>
    <x v="0"/>
    <s v="Perfiladora"/>
    <n v="200"/>
    <n v="27"/>
    <n v="5400"/>
    <s v="DIESEL"/>
    <n v="27"/>
  </r>
  <r>
    <s v="SOL-25-049"/>
    <x v="1"/>
    <d v="2026-06-17T00:00:00"/>
    <x v="2"/>
    <x v="0"/>
    <s v="Doble Rodillo"/>
    <n v="20"/>
    <n v="27"/>
    <n v="540"/>
    <s v="DIESEL"/>
    <n v="27"/>
  </r>
  <r>
    <s v="SOL-25-050"/>
    <x v="1"/>
    <d v="2026-06-18T00:00:00"/>
    <x v="0"/>
    <x v="0"/>
    <s v="Perfiladora Wirgent"/>
    <n v="250"/>
    <n v="27"/>
    <n v="6750"/>
    <s v="DIESEL"/>
    <n v="27"/>
  </r>
  <r>
    <s v="SOL-25-051"/>
    <x v="1"/>
    <d v="2026-06-18T00:00:00"/>
    <x v="0"/>
    <x v="0"/>
    <s v="Vogele Guion"/>
    <n v="100"/>
    <n v="27"/>
    <n v="2700"/>
    <s v="DIESEL"/>
    <n v="27"/>
  </r>
  <r>
    <s v="SOL-25-052"/>
    <x v="1"/>
    <d v="2026-06-18T00:00:00"/>
    <x v="0"/>
    <x v="0"/>
    <s v="Limpieza"/>
    <n v="20"/>
    <n v="27"/>
    <n v="540"/>
    <s v="DIESEL"/>
    <n v="27"/>
  </r>
  <r>
    <s v="SOL-25-053"/>
    <x v="1"/>
    <d v="2026-06-18T00:00:00"/>
    <x v="0"/>
    <x v="0"/>
    <s v="Tandem Hamm"/>
    <n v="40"/>
    <n v="27"/>
    <n v="1080"/>
    <s v="DIESEL"/>
    <n v="27"/>
  </r>
  <r>
    <s v="SOL-25-054"/>
    <x v="1"/>
    <d v="2026-06-18T00:00:00"/>
    <x v="0"/>
    <x v="0"/>
    <s v="Neuomatico"/>
    <n v="40"/>
    <n v="27"/>
    <n v="1080"/>
    <s v="DIESEL"/>
    <n v="27"/>
  </r>
  <r>
    <s v="SOL-25-055"/>
    <x v="1"/>
    <d v="2026-06-18T00:00:00"/>
    <x v="0"/>
    <x v="0"/>
    <s v="Barredora Broce"/>
    <n v="30"/>
    <n v="27"/>
    <n v="810"/>
    <s v="DIESEL"/>
    <n v="27"/>
  </r>
  <r>
    <s v="SOL-25-056"/>
    <x v="1"/>
    <d v="2026-06-18T00:00:00"/>
    <x v="0"/>
    <x v="0"/>
    <s v="Retroexcavadora"/>
    <n v="70"/>
    <n v="27"/>
    <n v="1890"/>
    <s v="DIESEL"/>
    <n v="27"/>
  </r>
  <r>
    <s v="SOL-25-057"/>
    <x v="1"/>
    <d v="2026-06-18T00:00:00"/>
    <x v="0"/>
    <x v="0"/>
    <s v="Petrolizadora Elton"/>
    <n v="40"/>
    <n v="27"/>
    <n v="1080"/>
    <s v="DIESEL"/>
    <n v="27"/>
  </r>
  <r>
    <s v="SOL-25-058"/>
    <x v="1"/>
    <d v="2026-06-18T00:00:00"/>
    <x v="1"/>
    <x v="0"/>
    <s v="Camion de Impacto"/>
    <n v="80"/>
    <n v="27"/>
    <n v="2160"/>
    <s v="DIESEL"/>
    <n v="27"/>
  </r>
  <r>
    <s v="SOL-26-001"/>
    <x v="2"/>
    <d v="2006-06-19T00:00:00"/>
    <x v="4"/>
    <x v="0"/>
    <s v="Maxilihgs"/>
    <n v="100"/>
    <n v="27"/>
    <n v="2700"/>
    <s v="DIESEL"/>
    <n v="27"/>
  </r>
  <r>
    <s v="SOL-26-002"/>
    <x v="2"/>
    <d v="2006-06-19T00:00:00"/>
    <x v="4"/>
    <x v="0"/>
    <s v="Generador"/>
    <n v="200"/>
    <n v="27"/>
    <n v="5400"/>
    <s v="DIESEL"/>
    <n v="27"/>
  </r>
  <r>
    <s v="SOL-26-003"/>
    <x v="2"/>
    <d v="2006-06-19T00:00:00"/>
    <x v="4"/>
    <x v="0"/>
    <s v="PayLoder"/>
    <n v="100"/>
    <n v="27"/>
    <n v="2700"/>
    <s v="DIESEL"/>
    <n v="27"/>
  </r>
  <r>
    <s v="SOL-26-004"/>
    <x v="2"/>
    <d v="2006-06-19T00:00:00"/>
    <x v="4"/>
    <x v="0"/>
    <s v="Criba Roja"/>
    <n v="100"/>
    <n v="27"/>
    <n v="2700"/>
    <s v="DIESEL"/>
    <n v="27"/>
  </r>
  <r>
    <s v="SOL-26-005"/>
    <x v="2"/>
    <d v="2006-06-19T00:00:00"/>
    <x v="1"/>
    <x v="0"/>
    <s v="Retroexcavadora"/>
    <n v="80"/>
    <n v="27"/>
    <n v="2160"/>
    <s v="DIESEL"/>
    <n v="27"/>
  </r>
  <r>
    <s v="SOL-26-006"/>
    <x v="2"/>
    <d v="2006-06-19T00:00:00"/>
    <x v="1"/>
    <x v="0"/>
    <s v="Tandem Hamm"/>
    <n v="50"/>
    <n v="27"/>
    <n v="1350"/>
    <s v="DIESEL"/>
    <n v="27"/>
  </r>
  <r>
    <s v="SOL-26-007"/>
    <x v="2"/>
    <d v="2006-06-19T00:00:00"/>
    <x v="1"/>
    <x v="0"/>
    <s v="Neuomatico Dynapac"/>
    <n v="30"/>
    <n v="27"/>
    <n v="810"/>
    <s v="DIESEL"/>
    <n v="27"/>
  </r>
  <r>
    <s v="SOL-26-008"/>
    <x v="2"/>
    <d v="2006-06-19T00:00:00"/>
    <x v="1"/>
    <x v="0"/>
    <s v="Barredora"/>
    <n v="50"/>
    <n v="27"/>
    <n v="1350"/>
    <s v="DIESEL"/>
    <n v="27"/>
  </r>
  <r>
    <s v="SOL-26-009"/>
    <x v="2"/>
    <d v="2006-06-19T00:00:00"/>
    <x v="1"/>
    <x v="0"/>
    <s v="Pipa"/>
    <n v="50"/>
    <n v="27"/>
    <n v="1350"/>
    <s v="DIESEL"/>
    <n v="27"/>
  </r>
  <r>
    <s v="SOL-26-010"/>
    <x v="2"/>
    <d v="2006-06-19T00:00:00"/>
    <x v="1"/>
    <x v="0"/>
    <s v="Perfiladora"/>
    <n v="200"/>
    <n v="27"/>
    <n v="5400"/>
    <s v="DIESEL"/>
    <n v="27"/>
  </r>
  <r>
    <s v="SOL-26-011"/>
    <x v="2"/>
    <d v="2006-06-19T00:00:00"/>
    <x v="1"/>
    <x v="0"/>
    <s v="Vogel"/>
    <n v="130"/>
    <n v="27"/>
    <n v="3510"/>
    <s v="DIESEL"/>
    <n v="27"/>
  </r>
  <r>
    <s v="SOL-26-012"/>
    <x v="2"/>
    <d v="2006-06-19T00:00:00"/>
    <x v="1"/>
    <x v="0"/>
    <s v="Limpieza"/>
    <n v="20"/>
    <n v="27"/>
    <n v="540"/>
    <s v="DIESEL"/>
    <n v="27"/>
  </r>
  <r>
    <s v="SOL-26-013"/>
    <x v="2"/>
    <d v="2006-06-19T00:00:00"/>
    <x v="1"/>
    <x v="0"/>
    <s v="Rastrillador"/>
    <n v="10"/>
    <n v="27"/>
    <n v="270"/>
    <s v="DIESEL"/>
    <n v="27"/>
  </r>
  <r>
    <s v="SOL-26-014"/>
    <x v="2"/>
    <d v="2006-06-19T00:00:00"/>
    <x v="1"/>
    <x v="0"/>
    <s v="Petrolizadora"/>
    <n v="80"/>
    <n v="27"/>
    <n v="2160"/>
    <s v="DIESEL"/>
    <n v="27"/>
  </r>
  <r>
    <s v="SOL-25-059"/>
    <x v="1"/>
    <d v="2026-06-19T00:00:00"/>
    <x v="0"/>
    <x v="0"/>
    <s v="Vogele Guion"/>
    <n v="100"/>
    <n v="27"/>
    <n v="2700"/>
    <s v="DIESEL"/>
    <n v="27"/>
  </r>
  <r>
    <s v="SOL-25-060"/>
    <x v="1"/>
    <d v="2026-06-19T00:00:00"/>
    <x v="0"/>
    <x v="0"/>
    <s v="Limpieza"/>
    <n v="20"/>
    <n v="27"/>
    <n v="540"/>
    <s v="DIESEL"/>
    <n v="27"/>
  </r>
  <r>
    <s v="SOL-25-061"/>
    <x v="1"/>
    <d v="2026-06-19T00:00:00"/>
    <x v="0"/>
    <x v="0"/>
    <s v="Tandem CAT"/>
    <n v="60"/>
    <n v="27"/>
    <n v="1620"/>
    <s v="DIESEL"/>
    <n v="27"/>
  </r>
  <r>
    <s v="SOL-25-062"/>
    <x v="1"/>
    <d v="2026-06-19T00:00:00"/>
    <x v="0"/>
    <x v="0"/>
    <s v="Neuomatico"/>
    <n v="80"/>
    <n v="27"/>
    <n v="2160"/>
    <s v="DIESEL"/>
    <n v="27"/>
  </r>
  <r>
    <s v="SOL-25-063"/>
    <x v="1"/>
    <d v="2026-06-19T00:00:00"/>
    <x v="0"/>
    <x v="0"/>
    <s v="Barredora Broce"/>
    <n v="40"/>
    <n v="27"/>
    <n v="1080"/>
    <s v="DIESEL"/>
    <n v="27"/>
  </r>
  <r>
    <s v="SOL-25-064"/>
    <x v="1"/>
    <d v="2026-06-19T00:00:00"/>
    <x v="0"/>
    <x v="0"/>
    <s v="Retroexcavadora"/>
    <n v="80"/>
    <n v="27"/>
    <n v="2160"/>
    <s v="DIESEL"/>
    <n v="27"/>
  </r>
  <r>
    <s v="SOL-25-065"/>
    <x v="1"/>
    <d v="2026-06-19T00:00:00"/>
    <x v="0"/>
    <x v="0"/>
    <s v="Petrolizadora"/>
    <n v="50"/>
    <n v="27"/>
    <n v="1350"/>
    <s v="DIESEL"/>
    <n v="27"/>
  </r>
  <r>
    <s v="SOL-25-066"/>
    <x v="1"/>
    <m/>
    <x v="2"/>
    <x v="0"/>
    <s v="Retroexcavadora"/>
    <n v="60"/>
    <n v="27"/>
    <n v="1620"/>
    <s v="DIESEL"/>
    <n v="27"/>
  </r>
  <r>
    <s v="SOL-25-067"/>
    <x v="1"/>
    <m/>
    <x v="2"/>
    <x v="0"/>
    <s v="Retroexcavadora"/>
    <n v="50"/>
    <n v="27"/>
    <n v="1350"/>
    <s v="DIESEL"/>
    <n v="27"/>
  </r>
  <r>
    <s v="SOL-26-015"/>
    <x v="2"/>
    <d v="2026-06-22T00:00:00"/>
    <x v="1"/>
    <x v="0"/>
    <s v="PERFILADORA RODATEC RX600E"/>
    <n v="240"/>
    <n v="27"/>
    <n v="6480"/>
    <s v="DIESEL"/>
    <n v="27"/>
  </r>
  <r>
    <s v="SOL-26-016"/>
    <x v="2"/>
    <d v="2026-06-22T00:00:00"/>
    <x v="1"/>
    <x v="0"/>
    <s v="BARREDORA LAYMOR SM400"/>
    <n v="20"/>
    <n v="27"/>
    <n v="540"/>
    <s v="DIESEL"/>
    <n v="27"/>
  </r>
  <r>
    <s v="SOL-26-017"/>
    <x v="2"/>
    <d v="2026-06-22T00:00:00"/>
    <x v="1"/>
    <x v="0"/>
    <s v="RETROEXCAVADORA JHONDEREE 310 K"/>
    <n v="30"/>
    <n v="27"/>
    <n v="810"/>
    <s v="DIESEL"/>
    <n v="27"/>
  </r>
  <r>
    <s v="SOL-26-018"/>
    <x v="2"/>
    <d v="2026-06-22T00:00:00"/>
    <x v="1"/>
    <x v="0"/>
    <s v="PAVIMENTADORA VOGELE 1800-3 I"/>
    <n v="80"/>
    <n v="27"/>
    <n v="2160"/>
    <s v="DIESEL"/>
    <n v="27"/>
  </r>
  <r>
    <s v="SOL-26-019"/>
    <x v="2"/>
    <d v="2026-06-22T00:00:00"/>
    <x v="1"/>
    <x v="0"/>
    <s v="DOBLE RODILLO RAD ROLLER FILY-325 PRO"/>
    <n v="40"/>
    <n v="27"/>
    <n v="1080"/>
    <s v="DIESEL"/>
    <n v="27"/>
  </r>
  <r>
    <s v="SOL-26-020"/>
    <x v="2"/>
    <d v="2026-06-22T00:00:00"/>
    <x v="1"/>
    <x v="0"/>
    <s v="NEUMATICO / COMPACTADOR DE NEUMATICOS DINAPAC CP271"/>
    <n v="24"/>
    <n v="27"/>
    <n v="648"/>
    <s v="DIESEL"/>
    <n v="27"/>
  </r>
  <r>
    <s v="SOL-26-021"/>
    <x v="2"/>
    <d v="2026-06-22T00:00:00"/>
    <x v="1"/>
    <x v="0"/>
    <s v="IMPACTO FORD 4300"/>
    <n v="60"/>
    <n v="27"/>
    <n v="1620"/>
    <s v="DIESEL"/>
    <n v="27"/>
  </r>
  <r>
    <s v="SOL-26-022"/>
    <x v="2"/>
    <d v="2026-06-22T00:00:00"/>
    <x v="1"/>
    <x v="0"/>
    <s v="COMPRESOR SULLIVAN PALATEK D2010"/>
    <n v="24"/>
    <n v="27"/>
    <n v="648"/>
    <s v="DIESEL"/>
    <n v="27"/>
  </r>
  <r>
    <s v="SOL-26-023"/>
    <x v="2"/>
    <d v="2026-06-22T00:00:00"/>
    <x v="1"/>
    <x v="0"/>
    <s v="PETROLIZADORA INTERNATIONAL"/>
    <n v="60"/>
    <n v="27"/>
    <n v="1620"/>
    <s v="DIESEL"/>
    <n v="27"/>
  </r>
  <r>
    <s v="SOL-26-024"/>
    <x v="2"/>
    <d v="2026-06-23T00:00:00"/>
    <x v="1"/>
    <x v="0"/>
    <s v="PERFILADORA RODATEC RX600E"/>
    <n v="240"/>
    <n v="27"/>
    <n v="6480"/>
    <s v="DIESEL"/>
    <n v="27"/>
  </r>
  <r>
    <s v="SOL-26-025"/>
    <x v="2"/>
    <d v="2026-06-23T00:00:00"/>
    <x v="1"/>
    <x v="0"/>
    <s v="BARREDORA LAYMOR SM400"/>
    <n v="20"/>
    <n v="27"/>
    <n v="540"/>
    <s v="DIESEL"/>
    <n v="27"/>
  </r>
  <r>
    <s v="SOL-26-026"/>
    <x v="2"/>
    <d v="2026-06-23T00:00:00"/>
    <x v="1"/>
    <x v="0"/>
    <s v="RETROEXCAVADORA JHONDEREE 310 K"/>
    <n v="30"/>
    <n v="27"/>
    <n v="810"/>
    <s v="DIESEL"/>
    <n v="27"/>
  </r>
  <r>
    <s v="SOL-26-027"/>
    <x v="2"/>
    <d v="2026-06-23T00:00:00"/>
    <x v="1"/>
    <x v="0"/>
    <s v="PAVIMENTADORA VOGELE 1800-3 I"/>
    <n v="80"/>
    <n v="27"/>
    <n v="2160"/>
    <s v="DIESEL"/>
    <n v="27"/>
  </r>
  <r>
    <s v="SOL-26-028"/>
    <x v="2"/>
    <d v="2026-06-23T00:00:00"/>
    <x v="1"/>
    <x v="0"/>
    <s v="DOBLE RODILLO RAD ROLLER FILY-325 PRO"/>
    <n v="40"/>
    <n v="27"/>
    <n v="1080"/>
    <s v="DIESEL"/>
    <n v="27"/>
  </r>
  <r>
    <s v="SOL-26-029"/>
    <x v="2"/>
    <d v="2026-06-23T00:00:00"/>
    <x v="1"/>
    <x v="0"/>
    <s v="NEUMATICO / COMPACTADOR DE NEUMATICOS DINAPAC CP271"/>
    <n v="24"/>
    <n v="27"/>
    <n v="648"/>
    <s v="DIESEL"/>
    <n v="27"/>
  </r>
  <r>
    <s v="SOL-26-030"/>
    <x v="2"/>
    <d v="2026-06-23T00:00:00"/>
    <x v="1"/>
    <x v="0"/>
    <s v="IMPACTO FORD 4300"/>
    <n v="60"/>
    <n v="27"/>
    <n v="1620"/>
    <s v="DIESEL"/>
    <n v="27"/>
  </r>
  <r>
    <s v="SOL-26-031"/>
    <x v="2"/>
    <d v="2026-06-23T00:00:00"/>
    <x v="1"/>
    <x v="0"/>
    <s v="COMPRESOR SULLIVAN PALATEK D2010"/>
    <n v="24"/>
    <n v="27"/>
    <n v="648"/>
    <s v="DIESEL"/>
    <n v="27"/>
  </r>
  <r>
    <s v="SOL-26-032"/>
    <x v="2"/>
    <d v="2026-06-23T00:00:00"/>
    <x v="1"/>
    <x v="0"/>
    <s v="PETROLIZADORA INTERNATIONAL"/>
    <n v="60"/>
    <n v="27"/>
    <n v="1620"/>
    <s v="DIESEL"/>
    <n v="27"/>
  </r>
  <r>
    <s v="SOL-26-033"/>
    <x v="2"/>
    <d v="2026-06-24T00:00:00"/>
    <x v="1"/>
    <x v="0"/>
    <s v="PERFILADORA RODATEC RX600E"/>
    <n v="240"/>
    <n v="27"/>
    <n v="6480"/>
    <s v="DIESEL"/>
    <n v="27"/>
  </r>
  <r>
    <s v="SOL-26-034"/>
    <x v="2"/>
    <d v="2026-06-24T00:00:00"/>
    <x v="1"/>
    <x v="0"/>
    <s v="BARREDORA LAYMOR SM400"/>
    <n v="20"/>
    <n v="27"/>
    <n v="540"/>
    <s v="DIESEL"/>
    <n v="27"/>
  </r>
  <r>
    <s v="SOL-26-035"/>
    <x v="2"/>
    <d v="2026-06-24T00:00:00"/>
    <x v="1"/>
    <x v="0"/>
    <s v="RETROEXCAVADORA JHONDEREE 310 K"/>
    <n v="30"/>
    <n v="27"/>
    <n v="810"/>
    <s v="DIESEL"/>
    <n v="27"/>
  </r>
  <r>
    <s v="SOL-26-036"/>
    <x v="2"/>
    <d v="2026-06-24T00:00:00"/>
    <x v="1"/>
    <x v="0"/>
    <s v="PAVIMENTADORA VOGELE 1800-3 I"/>
    <n v="80"/>
    <n v="27"/>
    <n v="2160"/>
    <s v="DIESEL"/>
    <n v="27"/>
  </r>
  <r>
    <s v="SOL-26-037"/>
    <x v="2"/>
    <d v="2026-06-24T00:00:00"/>
    <x v="1"/>
    <x v="0"/>
    <s v="DOBLE RODILLO RAD ROLLER FILY-325 PRO"/>
    <n v="40"/>
    <n v="27"/>
    <n v="1080"/>
    <s v="DIESEL"/>
    <n v="27"/>
  </r>
  <r>
    <s v="SOL-26-038"/>
    <x v="2"/>
    <d v="2026-06-24T00:00:00"/>
    <x v="1"/>
    <x v="0"/>
    <s v="NEUMATICO / COMPACTADOR DE NEUMATICOS DINAPAC CP271"/>
    <n v="24"/>
    <n v="27"/>
    <n v="648"/>
    <s v="DIESEL"/>
    <n v="27"/>
  </r>
  <r>
    <s v="SOL-26-039"/>
    <x v="2"/>
    <d v="2026-06-24T00:00:00"/>
    <x v="1"/>
    <x v="0"/>
    <s v="IMPACTO FORD 4300"/>
    <n v="60"/>
    <n v="27"/>
    <n v="1620"/>
    <s v="DIESEL"/>
    <n v="27"/>
  </r>
  <r>
    <s v="SOL-26-040"/>
    <x v="2"/>
    <d v="2026-06-24T00:00:00"/>
    <x v="1"/>
    <x v="0"/>
    <s v="COMPRESOR SULLIVAN PALATEK D2010"/>
    <n v="24"/>
    <n v="27"/>
    <n v="648"/>
    <s v="DIESEL"/>
    <n v="27"/>
  </r>
  <r>
    <s v="SOL-26-041"/>
    <x v="2"/>
    <d v="2026-06-24T00:00:00"/>
    <x v="1"/>
    <x v="0"/>
    <s v="PETROLIZADORA INTERNATIONAL"/>
    <n v="60"/>
    <n v="27"/>
    <n v="1620"/>
    <s v="DIESEL"/>
    <n v="27"/>
  </r>
  <r>
    <s v="SOL-26-042"/>
    <x v="2"/>
    <d v="2026-06-25T00:00:00"/>
    <x v="1"/>
    <x v="0"/>
    <s v="PERFILADORA RODATEC RX600E"/>
    <n v="240"/>
    <n v="27"/>
    <n v="6480"/>
    <s v="DIESEL"/>
    <n v="27"/>
  </r>
  <r>
    <s v="SOL-26-043"/>
    <x v="2"/>
    <d v="2026-06-25T00:00:00"/>
    <x v="1"/>
    <x v="0"/>
    <s v="BARREDORA LAYMOR SM400"/>
    <n v="20"/>
    <n v="27"/>
    <n v="540"/>
    <s v="DIESEL"/>
    <n v="27"/>
  </r>
  <r>
    <s v="SOL-26-044"/>
    <x v="2"/>
    <d v="2026-06-25T00:00:00"/>
    <x v="1"/>
    <x v="0"/>
    <s v="RETROEXCAVADORA JHONDEREE 310 K"/>
    <n v="30"/>
    <n v="27"/>
    <n v="810"/>
    <s v="DIESEL"/>
    <n v="27"/>
  </r>
  <r>
    <s v="SOL-26-045"/>
    <x v="2"/>
    <d v="2026-06-25T00:00:00"/>
    <x v="1"/>
    <x v="0"/>
    <s v="PAVIMENTADORA VOGELE 1800-3 I"/>
    <n v="80"/>
    <n v="27"/>
    <n v="2160"/>
    <s v="DIESEL"/>
    <n v="27"/>
  </r>
  <r>
    <s v="SOL-26-046"/>
    <x v="2"/>
    <d v="2026-06-25T00:00:00"/>
    <x v="1"/>
    <x v="0"/>
    <s v="DOBLE RODILLO RAD ROLLER FILY-325 PRO"/>
    <n v="40"/>
    <n v="27"/>
    <n v="1080"/>
    <s v="DIESEL"/>
    <n v="27"/>
  </r>
  <r>
    <s v="SOL-26-047"/>
    <x v="2"/>
    <d v="2026-06-25T00:00:00"/>
    <x v="1"/>
    <x v="0"/>
    <s v="NEUMATICO / COMPACTADOR DE NEUMATICOS DINAPAC CP271"/>
    <n v="24"/>
    <n v="27"/>
    <n v="648"/>
    <s v="DIESEL"/>
    <n v="27"/>
  </r>
  <r>
    <s v="SOL-26-048"/>
    <x v="2"/>
    <d v="2026-06-25T00:00:00"/>
    <x v="1"/>
    <x v="0"/>
    <s v="IMPACTO FORD 4300"/>
    <n v="60"/>
    <n v="27"/>
    <n v="1620"/>
    <s v="DIESEL"/>
    <n v="27"/>
  </r>
  <r>
    <s v="SOL-26-049"/>
    <x v="2"/>
    <d v="2026-06-25T00:00:00"/>
    <x v="1"/>
    <x v="0"/>
    <s v="COMPRESOR SULLIVAN PALATEK D2010"/>
    <n v="24"/>
    <n v="27"/>
    <n v="648"/>
    <s v="DIESEL"/>
    <n v="27"/>
  </r>
  <r>
    <s v="SOL-26-050"/>
    <x v="2"/>
    <d v="2026-06-25T00:00:00"/>
    <x v="1"/>
    <x v="0"/>
    <s v="PETROLIZADORA INTERNATIONAL"/>
    <n v="60"/>
    <n v="27"/>
    <n v="1620"/>
    <s v="DIESEL"/>
    <n v="27"/>
  </r>
  <r>
    <s v="SOL-26-051"/>
    <x v="2"/>
    <d v="2026-06-26T00:00:00"/>
    <x v="1"/>
    <x v="0"/>
    <s v="PERFILADORA RODATEC RX600E"/>
    <n v="240"/>
    <n v="27"/>
    <n v="6480"/>
    <s v="DIESEL"/>
    <n v="27"/>
  </r>
  <r>
    <s v="SOL-26-052"/>
    <x v="2"/>
    <d v="2026-06-26T00:00:00"/>
    <x v="1"/>
    <x v="0"/>
    <s v="BARREDORA LAYMOR SM400"/>
    <n v="20"/>
    <n v="27"/>
    <n v="540"/>
    <s v="DIESEL"/>
    <n v="27"/>
  </r>
  <r>
    <s v="SOL-26-053"/>
    <x v="2"/>
    <d v="2026-06-26T00:00:00"/>
    <x v="1"/>
    <x v="0"/>
    <s v="RETROEXCAVADORA JHONDEREE 310 K"/>
    <n v="30"/>
    <n v="27"/>
    <n v="810"/>
    <s v="DIESEL"/>
    <n v="27"/>
  </r>
  <r>
    <s v="SOL-26-054"/>
    <x v="2"/>
    <d v="2026-06-26T00:00:00"/>
    <x v="1"/>
    <x v="0"/>
    <s v="PAVIMENTADORA VOGELE 1800-3 I"/>
    <n v="80"/>
    <n v="27"/>
    <n v="2160"/>
    <s v="DIESEL"/>
    <n v="27"/>
  </r>
  <r>
    <s v="SOL-26-055"/>
    <x v="2"/>
    <d v="2026-06-26T00:00:00"/>
    <x v="1"/>
    <x v="0"/>
    <s v="DOBLE RODILLO RAD ROLLER FILY-325 PRO"/>
    <n v="40"/>
    <n v="27"/>
    <n v="1080"/>
    <s v="DIESEL"/>
    <n v="27"/>
  </r>
  <r>
    <s v="SOL-26-056"/>
    <x v="2"/>
    <d v="2026-06-26T00:00:00"/>
    <x v="1"/>
    <x v="0"/>
    <s v="NEUMATICO / COMPACTADOR DE NEUMATICOS DINAPAC CP271"/>
    <n v="24"/>
    <n v="27"/>
    <n v="648"/>
    <s v="DIESEL"/>
    <n v="27"/>
  </r>
  <r>
    <s v="SOL-26-057"/>
    <x v="2"/>
    <d v="2026-06-26T00:00:00"/>
    <x v="1"/>
    <x v="0"/>
    <s v="IMPACTO FORD 4300"/>
    <n v="60"/>
    <n v="27"/>
    <n v="1620"/>
    <s v="DIESEL"/>
    <n v="27"/>
  </r>
  <r>
    <s v="SOL-26-058"/>
    <x v="2"/>
    <d v="2026-06-26T00:00:00"/>
    <x v="1"/>
    <x v="0"/>
    <s v="COMPRESOR SULLIVAN PALATEK D2010"/>
    <n v="24"/>
    <n v="27"/>
    <n v="648"/>
    <s v="DIESEL"/>
    <n v="27"/>
  </r>
  <r>
    <s v="SOL-26-059"/>
    <x v="2"/>
    <d v="2026-06-26T00:00:00"/>
    <x v="1"/>
    <x v="0"/>
    <s v="PETROLIZADORA INTERNATIONAL"/>
    <n v="60"/>
    <n v="27"/>
    <n v="1620"/>
    <s v="DIESEL"/>
    <n v="27"/>
  </r>
  <r>
    <s v="SOL-26-060"/>
    <x v="2"/>
    <d v="2026-06-22T00:00:00"/>
    <x v="4"/>
    <x v="0"/>
    <s v="Generador"/>
    <n v="300"/>
    <n v="27"/>
    <n v="8100"/>
    <s v="DIESEL"/>
    <n v="27"/>
  </r>
  <r>
    <s v="SOL-26-061"/>
    <x v="2"/>
    <d v="2026-06-22T00:00:00"/>
    <x v="4"/>
    <x v="0"/>
    <s v="RETROEXCAVADORA CASE 580 N"/>
    <n v="100"/>
    <n v="27"/>
    <n v="2700"/>
    <s v="DIESEL"/>
    <n v="27"/>
  </r>
  <r>
    <s v="SOL-26-062"/>
    <x v="2"/>
    <d v="2026-06-22T00:00:00"/>
    <x v="4"/>
    <x v="0"/>
    <s v="MAXILIGHT"/>
    <n v="100"/>
    <n v="27"/>
    <n v="2700"/>
    <s v="DIESEL"/>
    <n v="27"/>
  </r>
  <r>
    <s v="SOL-26-063"/>
    <x v="2"/>
    <d v="2026-06-22T00:00:00"/>
    <x v="4"/>
    <x v="0"/>
    <s v="Criba Roja"/>
    <n v="100"/>
    <n v="27"/>
    <n v="2700"/>
    <s v="DIESEL"/>
    <n v="27"/>
  </r>
  <r>
    <s v="SOL-26-064"/>
    <x v="2"/>
    <d v="2026-06-23T00:00:00"/>
    <x v="4"/>
    <x v="0"/>
    <s v="Generador"/>
    <n v="300"/>
    <n v="27"/>
    <n v="8100"/>
    <s v="DIESEL"/>
    <n v="27"/>
  </r>
  <r>
    <s v="SOL-26-065"/>
    <x v="2"/>
    <d v="2026-06-23T00:00:00"/>
    <x v="4"/>
    <x v="0"/>
    <s v="RETROEXCAVADORA CASE 580 N"/>
    <n v="100"/>
    <n v="27"/>
    <n v="2700"/>
    <s v="DIESEL"/>
    <n v="27"/>
  </r>
  <r>
    <s v="SOL-26-066"/>
    <x v="2"/>
    <d v="2026-06-24T00:00:00"/>
    <x v="4"/>
    <x v="0"/>
    <s v="Generador"/>
    <n v="300"/>
    <n v="27"/>
    <n v="8100"/>
    <s v="DIESEL"/>
    <n v="27"/>
  </r>
  <r>
    <s v="SOL-26-067"/>
    <x v="2"/>
    <d v="2026-06-24T00:00:00"/>
    <x v="4"/>
    <x v="0"/>
    <s v="RETROEXCAVADORA CASE 580 N"/>
    <n v="100"/>
    <n v="27"/>
    <n v="2700"/>
    <s v="DIESEL"/>
    <n v="27"/>
  </r>
  <r>
    <s v="SOL-26-068"/>
    <x v="2"/>
    <d v="2026-06-24T00:00:00"/>
    <x v="4"/>
    <x v="0"/>
    <s v="Criba Roja"/>
    <n v="100"/>
    <n v="27"/>
    <n v="2700"/>
    <s v="DIESEL"/>
    <n v="27"/>
  </r>
  <r>
    <s v="SOL-26-069"/>
    <x v="2"/>
    <d v="2026-06-25T00:00:00"/>
    <x v="4"/>
    <x v="0"/>
    <s v="Generador"/>
    <n v="300"/>
    <n v="27"/>
    <n v="8100"/>
    <s v="DIESEL"/>
    <n v="27"/>
  </r>
  <r>
    <s v="SOL-26-070"/>
    <x v="2"/>
    <d v="2026-06-25T00:00:00"/>
    <x v="4"/>
    <x v="0"/>
    <s v="RETROEXCAVADORA CASE 580 N"/>
    <n v="100"/>
    <n v="27"/>
    <n v="2700"/>
    <s v="DIESEL"/>
    <n v="27"/>
  </r>
  <r>
    <s v="SOL-26-071"/>
    <x v="2"/>
    <d v="2026-06-25T00:00:00"/>
    <x v="4"/>
    <x v="0"/>
    <s v="MAXILIGHT"/>
    <n v="100"/>
    <n v="27"/>
    <n v="2700"/>
    <s v="DIESEL"/>
    <n v="27"/>
  </r>
  <r>
    <s v="SOL-26-072"/>
    <x v="2"/>
    <d v="2026-06-26T00:00:00"/>
    <x v="4"/>
    <x v="0"/>
    <s v="Generador"/>
    <n v="300"/>
    <n v="27"/>
    <n v="8100"/>
    <s v="DIESEL"/>
    <n v="27"/>
  </r>
  <r>
    <s v="SOL-26-073"/>
    <x v="2"/>
    <d v="2026-06-26T00:00:00"/>
    <x v="4"/>
    <x v="0"/>
    <s v="RETROEXCAVADORA CASE 580 N"/>
    <n v="100"/>
    <n v="27"/>
    <n v="2700"/>
    <s v="DIESEL"/>
    <n v="27"/>
  </r>
  <r>
    <s v="SOL-26-074"/>
    <x v="2"/>
    <d v="2026-06-26T00:00:00"/>
    <x v="4"/>
    <x v="0"/>
    <s v="Criba Roja"/>
    <n v="100"/>
    <n v="27"/>
    <n v="2700"/>
    <s v="DIESEL"/>
    <n v="27"/>
  </r>
  <r>
    <s v="SOL-26-075"/>
    <x v="2"/>
    <d v="2026-06-27T00:00:00"/>
    <x v="4"/>
    <x v="0"/>
    <s v="RETROEXCAVADORA CASE 580 N"/>
    <n v="100"/>
    <n v="27"/>
    <n v="2700"/>
    <s v="DIESEL"/>
    <n v="27"/>
  </r>
  <r>
    <s v="SOL-26-076"/>
    <x v="2"/>
    <d v="2026-06-22T00:00:00"/>
    <x v="0"/>
    <x v="0"/>
    <s v="PERFILADORA RODATEC RX600E"/>
    <n v="250"/>
    <n v="27"/>
    <n v="6750"/>
    <s v="DIESEL"/>
    <n v="27"/>
  </r>
  <r>
    <s v="SOL-26-077"/>
    <x v="2"/>
    <d v="2026-06-22T00:00:00"/>
    <x v="0"/>
    <x v="0"/>
    <s v="PAVIMENTADORA VOGELE 1800-3 I"/>
    <n v="120"/>
    <n v="27"/>
    <n v="3240"/>
    <s v="DIESEL"/>
    <n v="27"/>
  </r>
  <r>
    <s v="SOL-26-078"/>
    <x v="2"/>
    <d v="2026-06-22T00:00:00"/>
    <x v="0"/>
    <x v="0"/>
    <s v="TANDEM DOBLE RODILLO / VIBROCOMPACTOR RODILLO CAT CB54"/>
    <n v="50"/>
    <n v="27"/>
    <n v="1350"/>
    <s v="DIESEL"/>
    <n v="27"/>
  </r>
  <r>
    <s v="SOL-26-079"/>
    <x v="2"/>
    <d v="2026-06-22T00:00:00"/>
    <x v="0"/>
    <x v="0"/>
    <s v="TANDEM DOBLE RODILLO / VIBROCOMPACTOR RODILLO CAT CB54"/>
    <n v="50"/>
    <n v="27"/>
    <n v="1350"/>
    <s v="DIESEL"/>
    <n v="27"/>
  </r>
  <r>
    <s v="SOL-26-080"/>
    <x v="2"/>
    <d v="2026-06-22T00:00:00"/>
    <x v="0"/>
    <x v="0"/>
    <s v="NEUMATICO VOLVO PT-240R"/>
    <n v="50"/>
    <n v="27"/>
    <n v="1350"/>
    <s v="DIESEL"/>
    <n v="27"/>
  </r>
  <r>
    <s v="SOL-26-081"/>
    <x v="2"/>
    <d v="2026-06-22T00:00:00"/>
    <x v="0"/>
    <x v="0"/>
    <s v="BARREDORA BROCE BROOM KR350"/>
    <n v="30"/>
    <n v="27"/>
    <n v="810"/>
    <s v="DIESEL"/>
    <n v="27"/>
  </r>
  <r>
    <s v="SOL-26-082"/>
    <x v="2"/>
    <d v="2026-06-22T00:00:00"/>
    <x v="0"/>
    <x v="0"/>
    <s v="RETROEXCAVADORA JHONDEREE 310 K"/>
    <n v="60"/>
    <n v="27"/>
    <n v="1620"/>
    <s v="DIESEL"/>
    <n v="27"/>
  </r>
  <r>
    <s v="SOL-26-083"/>
    <x v="2"/>
    <d v="2026-06-22T00:00:00"/>
    <x v="0"/>
    <x v="0"/>
    <s v="PETROLIZADORA INTERNATIONAL"/>
    <n v="50"/>
    <n v="27"/>
    <n v="1350"/>
    <s v="DIESEL"/>
    <n v="27"/>
  </r>
  <r>
    <s v="SOL-26-084"/>
    <x v="2"/>
    <d v="2026-06-23T00:00:00"/>
    <x v="0"/>
    <x v="0"/>
    <s v="PAVIMENTADORA VOGELE 1800-3 I"/>
    <n v="120"/>
    <n v="27"/>
    <n v="3240"/>
    <s v="DIESEL"/>
    <n v="27"/>
  </r>
  <r>
    <s v="SOL-26-085"/>
    <x v="2"/>
    <d v="2026-06-23T00:00:00"/>
    <x v="0"/>
    <x v="0"/>
    <s v="TANDEM DOBLE RODILLO / VIBROCOMPACTOR RODILLO CAT CB54"/>
    <n v="40"/>
    <n v="27"/>
    <n v="1080"/>
    <s v="DIESEL"/>
    <n v="27"/>
  </r>
  <r>
    <s v="SOL-26-086"/>
    <x v="2"/>
    <d v="2026-06-23T00:00:00"/>
    <x v="0"/>
    <x v="0"/>
    <s v="TANDEM DOBLE RODILLO / VIBROCOMPACTOR RODILLO CAT CB54"/>
    <n v="40"/>
    <n v="27"/>
    <n v="1080"/>
    <s v="DIESEL"/>
    <n v="27"/>
  </r>
  <r>
    <s v="SOL-26-087"/>
    <x v="2"/>
    <d v="2026-06-23T00:00:00"/>
    <x v="0"/>
    <x v="0"/>
    <s v="NEUMATICO VOLVO PT-240R"/>
    <n v="50"/>
    <n v="27"/>
    <n v="1350"/>
    <s v="DIESEL"/>
    <n v="27"/>
  </r>
  <r>
    <s v="SOL-26-088"/>
    <x v="2"/>
    <d v="2026-06-23T00:00:00"/>
    <x v="0"/>
    <x v="0"/>
    <s v="BARREDORA BROCE BROOM KR350"/>
    <n v="30"/>
    <n v="27"/>
    <n v="810"/>
    <s v="DIESEL"/>
    <n v="27"/>
  </r>
  <r>
    <s v="SOL-26-089"/>
    <x v="2"/>
    <d v="2026-06-23T00:00:00"/>
    <x v="0"/>
    <x v="0"/>
    <s v="RETROEXCAVADORA JHONDEREE 310 K"/>
    <n v="50"/>
    <n v="27"/>
    <n v="1350"/>
    <s v="DIESEL"/>
    <n v="27"/>
  </r>
  <r>
    <s v="SOL-26-090"/>
    <x v="2"/>
    <d v="2026-06-23T00:00:00"/>
    <x v="0"/>
    <x v="0"/>
    <s v="PETROLIZADORA INTERNATIONAL"/>
    <n v="50"/>
    <n v="27"/>
    <n v="1350"/>
    <s v="DIESEL"/>
    <n v="27"/>
  </r>
  <r>
    <s v="SOL-26-091"/>
    <x v="2"/>
    <d v="2026-06-24T00:00:00"/>
    <x v="0"/>
    <x v="0"/>
    <s v="PERFILADORA RODATEC RX600E"/>
    <n v="250"/>
    <n v="27"/>
    <n v="6750"/>
    <s v="DIESEL"/>
    <n v="27"/>
  </r>
  <r>
    <s v="SOL-26-092"/>
    <x v="2"/>
    <d v="2026-06-24T00:00:00"/>
    <x v="0"/>
    <x v="0"/>
    <s v="PAVIMENTADORA VOGELE 1800-3 I"/>
    <n v="120"/>
    <n v="27"/>
    <n v="3240"/>
    <s v="DIESEL"/>
    <n v="27"/>
  </r>
  <r>
    <s v="SOL-26-093"/>
    <x v="2"/>
    <d v="2026-06-24T00:00:00"/>
    <x v="0"/>
    <x v="0"/>
    <s v="TANDEM DOBLE RODILLO / VIBROCOMPACTOR RODILLO CAT CB54"/>
    <n v="40"/>
    <n v="27"/>
    <n v="1080"/>
    <s v="DIESEL"/>
    <n v="27"/>
  </r>
  <r>
    <s v="SOL-26-094"/>
    <x v="2"/>
    <d v="2026-06-24T00:00:00"/>
    <x v="0"/>
    <x v="0"/>
    <s v="TANDEM DOBLE RODILLO / VIBROCOMPACTOR RODILLO CAT CB54"/>
    <n v="40"/>
    <n v="27"/>
    <n v="1080"/>
    <s v="DIESEL"/>
    <n v="27"/>
  </r>
  <r>
    <s v="SOL-26-095"/>
    <x v="2"/>
    <d v="2026-06-24T00:00:00"/>
    <x v="0"/>
    <x v="0"/>
    <s v="NEUMATICO VOLVO PT-240R"/>
    <n v="50"/>
    <n v="27"/>
    <n v="1350"/>
    <s v="DIESEL"/>
    <n v="27"/>
  </r>
  <r>
    <s v="SOL-26-096"/>
    <x v="2"/>
    <d v="2026-06-24T00:00:00"/>
    <x v="0"/>
    <x v="0"/>
    <s v="BARREDORA BROCE BROOM KR350"/>
    <n v="20"/>
    <n v="27"/>
    <n v="540"/>
    <s v="DIESEL"/>
    <n v="27"/>
  </r>
  <r>
    <s v="SOL-26-097"/>
    <x v="2"/>
    <d v="2026-06-24T00:00:00"/>
    <x v="0"/>
    <x v="0"/>
    <s v="RETROEXCAVADORA JHONDEREE 310 K"/>
    <n v="50"/>
    <n v="27"/>
    <n v="1350"/>
    <s v="DIESEL"/>
    <n v="27"/>
  </r>
  <r>
    <s v="SOL-26-098"/>
    <x v="2"/>
    <d v="2026-06-24T00:00:00"/>
    <x v="0"/>
    <x v="0"/>
    <s v="PETROLIZADORA INTERNATIONAL"/>
    <n v="50"/>
    <n v="27"/>
    <n v="1350"/>
    <s v="DIESEL"/>
    <n v="27"/>
  </r>
  <r>
    <s v="SOL-26-099"/>
    <x v="2"/>
    <d v="2026-06-25T00:00:00"/>
    <x v="0"/>
    <x v="0"/>
    <s v="PERFILADORA RODATEC RX600E"/>
    <n v="250"/>
    <n v="27"/>
    <n v="6750"/>
    <s v="DIESEL"/>
    <n v="27"/>
  </r>
  <r>
    <s v="SOL-26-100"/>
    <x v="2"/>
    <d v="2026-06-25T00:00:00"/>
    <x v="0"/>
    <x v="0"/>
    <s v="PAVIMENTADORA VOGELE 1800-3 I"/>
    <n v="120"/>
    <n v="27"/>
    <n v="3240"/>
    <s v="DIESEL"/>
    <n v="27"/>
  </r>
  <r>
    <s v="SOL-26-101"/>
    <x v="2"/>
    <d v="2026-06-25T00:00:00"/>
    <x v="0"/>
    <x v="0"/>
    <s v="TANDEM DOBLE RODILLO / VIBROCOMPACTOR RODILLO CAT CB54"/>
    <n v="40"/>
    <n v="27"/>
    <n v="1080"/>
    <s v="DIESEL"/>
    <n v="27"/>
  </r>
  <r>
    <s v="SOL-26-102"/>
    <x v="2"/>
    <d v="2026-06-25T00:00:00"/>
    <x v="0"/>
    <x v="0"/>
    <s v="TANDEM DOBLE RODILLO / VIBROCOMPACTOR RODILLO CAT CB54"/>
    <n v="40"/>
    <n v="27"/>
    <n v="1080"/>
    <s v="DIESEL"/>
    <n v="27"/>
  </r>
  <r>
    <s v="SOL-26-103"/>
    <x v="2"/>
    <d v="2026-06-25T00:00:00"/>
    <x v="0"/>
    <x v="0"/>
    <s v="NEUMATICO VOLVO PT-240R"/>
    <n v="50"/>
    <n v="27"/>
    <n v="1350"/>
    <s v="DIESEL"/>
    <n v="27"/>
  </r>
  <r>
    <s v="SOL-26-104"/>
    <x v="2"/>
    <d v="2026-06-25T00:00:00"/>
    <x v="0"/>
    <x v="0"/>
    <s v="BARREDORA BROCE BROOM KR350"/>
    <n v="20"/>
    <n v="27"/>
    <n v="540"/>
    <s v="DIESEL"/>
    <n v="27"/>
  </r>
  <r>
    <s v="SOL-26-105"/>
    <x v="2"/>
    <d v="2026-06-25T00:00:00"/>
    <x v="0"/>
    <x v="0"/>
    <s v="RETROEXCAVADORA JHONDEREE 310 K"/>
    <n v="50"/>
    <n v="27"/>
    <n v="1350"/>
    <s v="DIESEL"/>
    <n v="27"/>
  </r>
  <r>
    <s v="SOL-26-106"/>
    <x v="2"/>
    <d v="2026-06-25T00:00:00"/>
    <x v="0"/>
    <x v="0"/>
    <s v="PETROLIZADORA INTERNATIONAL"/>
    <n v="50"/>
    <n v="27"/>
    <n v="1350"/>
    <s v="DIESEL"/>
    <n v="27"/>
  </r>
  <r>
    <s v="SOL-26-107"/>
    <x v="2"/>
    <d v="2026-06-26T00:00:00"/>
    <x v="0"/>
    <x v="0"/>
    <s v="PERFILADORA RODATEC RX600E"/>
    <n v="250"/>
    <n v="27"/>
    <n v="6750"/>
    <s v="DIESEL"/>
    <n v="27"/>
  </r>
  <r>
    <s v="SOL-26-108"/>
    <x v="2"/>
    <d v="2026-06-26T00:00:00"/>
    <x v="0"/>
    <x v="0"/>
    <s v="PAVIMENTADORA VOGELE 1800-3 I"/>
    <n v="120"/>
    <n v="27"/>
    <n v="3240"/>
    <s v="DIESEL"/>
    <n v="27"/>
  </r>
  <r>
    <s v="SOL-26-109"/>
    <x v="2"/>
    <d v="2026-06-26T00:00:00"/>
    <x v="0"/>
    <x v="0"/>
    <s v="TANDEM DOBLE RODILLO / VIBROCOMPACTOR RODILLO CAT CB54"/>
    <n v="40"/>
    <n v="27"/>
    <n v="1080"/>
    <s v="DIESEL"/>
    <n v="27"/>
  </r>
  <r>
    <s v="SOL-26-110"/>
    <x v="2"/>
    <d v="2026-06-26T00:00:00"/>
    <x v="0"/>
    <x v="0"/>
    <s v="TANDEM DOBLE RODILLO / VIBROCOMPACTOR RODILLO CAT CB54"/>
    <n v="40"/>
    <n v="27"/>
    <n v="1080"/>
    <s v="DIESEL"/>
    <n v="27"/>
  </r>
  <r>
    <s v="SOL-26-111"/>
    <x v="2"/>
    <d v="2026-06-26T00:00:00"/>
    <x v="0"/>
    <x v="0"/>
    <s v="NEUMATICO VOLVO PT-240R"/>
    <n v="50"/>
    <n v="27"/>
    <n v="1350"/>
    <s v="DIESEL"/>
    <n v="27"/>
  </r>
  <r>
    <s v="SOL-26-112"/>
    <x v="2"/>
    <d v="2026-06-26T00:00:00"/>
    <x v="0"/>
    <x v="0"/>
    <s v="BARREDORA BROCE BROOM KR350"/>
    <n v="20"/>
    <n v="27"/>
    <n v="540"/>
    <s v="DIESEL"/>
    <n v="27"/>
  </r>
  <r>
    <s v="SOL-26-113"/>
    <x v="2"/>
    <d v="2026-06-26T00:00:00"/>
    <x v="0"/>
    <x v="0"/>
    <s v="RETROEXCAVADORA JHONDEREE 310 K"/>
    <n v="50"/>
    <n v="27"/>
    <n v="1350"/>
    <s v="DIESEL"/>
    <n v="27"/>
  </r>
  <r>
    <s v="SOL-26-114"/>
    <x v="2"/>
    <d v="2026-06-26T00:00:00"/>
    <x v="0"/>
    <x v="0"/>
    <s v="PETROLIZADORA INTERNATIONAL"/>
    <n v="50"/>
    <n v="27"/>
    <n v="1350"/>
    <s v="DIESEL"/>
    <n v="27"/>
  </r>
  <r>
    <s v="SOL-26-115"/>
    <x v="2"/>
    <d v="2026-06-22T00:00:00"/>
    <x v="2"/>
    <x v="0"/>
    <s v="RETROEXCAVADORA CASE 580 N"/>
    <n v="50"/>
    <n v="27"/>
    <n v="1350"/>
    <s v="DIESEL"/>
    <n v="27"/>
  </r>
  <r>
    <s v="SOL-26-116"/>
    <x v="2"/>
    <d v="2026-06-22T00:00:00"/>
    <x v="2"/>
    <x v="0"/>
    <s v="RETROEXCAVADORA CASE 580 N"/>
    <n v="50"/>
    <n v="27"/>
    <n v="1350"/>
    <s v="DIESEL"/>
    <n v="27"/>
  </r>
  <r>
    <s v="SOL-26-117"/>
    <x v="2"/>
    <d v="2026-06-22T00:00:00"/>
    <x v="2"/>
    <x v="0"/>
    <s v="HOMBRE A BORDO"/>
    <n v="10"/>
    <n v="27"/>
    <n v="270"/>
    <s v="DIESEL"/>
    <n v="27"/>
  </r>
  <r>
    <s v="SOL-26-118"/>
    <x v="2"/>
    <d v="2026-06-22T00:00:00"/>
    <x v="2"/>
    <x v="0"/>
    <s v="Limpieza"/>
    <n v="8"/>
    <n v="27"/>
    <n v="216"/>
    <s v="DIESEL"/>
    <n v="27"/>
  </r>
  <r>
    <s v="SOL-26-119"/>
    <x v="2"/>
    <d v="2026-06-23T00:00:00"/>
    <x v="2"/>
    <x v="0"/>
    <s v="RETROEXCAVADORA CASE 580 N"/>
    <n v="50"/>
    <n v="27"/>
    <n v="1350"/>
    <s v="DIESEL"/>
    <n v="27"/>
  </r>
  <r>
    <s v="SOL-26-120"/>
    <x v="2"/>
    <d v="2026-06-23T00:00:00"/>
    <x v="2"/>
    <x v="0"/>
    <s v="RETROEXCAVADORA CASE 580 N"/>
    <n v="40"/>
    <n v="27"/>
    <n v="1080"/>
    <s v="DIESEL"/>
    <n v="27"/>
  </r>
  <r>
    <s v="SOL-26-121"/>
    <x v="2"/>
    <d v="2026-06-23T00:00:00"/>
    <x v="2"/>
    <x v="0"/>
    <s v="HOMBRE A BORDO"/>
    <n v="10"/>
    <n v="27"/>
    <n v="270"/>
    <s v="DIESEL"/>
    <n v="27"/>
  </r>
  <r>
    <s v="SOL-26-122"/>
    <x v="2"/>
    <d v="2026-06-23T00:00:00"/>
    <x v="2"/>
    <x v="0"/>
    <s v="Limpieza"/>
    <n v="5"/>
    <n v="27"/>
    <n v="135"/>
    <s v="DIESEL"/>
    <n v="27"/>
  </r>
  <r>
    <s v="SOL-26-123"/>
    <x v="2"/>
    <d v="2026-06-24T00:00:00"/>
    <x v="2"/>
    <x v="0"/>
    <s v="RETROEXCAVADORA CASE 580 N"/>
    <n v="50"/>
    <n v="27"/>
    <n v="1350"/>
    <s v="DIESEL"/>
    <n v="27"/>
  </r>
  <r>
    <s v="SOL-26-124"/>
    <x v="2"/>
    <d v="2026-06-24T00:00:00"/>
    <x v="2"/>
    <x v="0"/>
    <s v="RETROEXCAVADORA CASE 580 N"/>
    <n v="40"/>
    <n v="27"/>
    <n v="1080"/>
    <s v="DIESEL"/>
    <n v="27"/>
  </r>
  <r>
    <s v="SOL-26-125"/>
    <x v="2"/>
    <d v="2026-06-24T00:00:00"/>
    <x v="2"/>
    <x v="0"/>
    <s v="HOMBRE A BORDO"/>
    <n v="10"/>
    <n v="27"/>
    <n v="270"/>
    <s v="DIESEL"/>
    <n v="27"/>
  </r>
  <r>
    <s v="SOL-26-126"/>
    <x v="2"/>
    <d v="2026-06-24T00:00:00"/>
    <x v="2"/>
    <x v="0"/>
    <s v="Limpieza"/>
    <n v="8"/>
    <n v="27"/>
    <n v="216"/>
    <s v="DIESEL"/>
    <n v="27"/>
  </r>
  <r>
    <s v="SOL-26-127"/>
    <x v="2"/>
    <d v="2026-06-25T00:00:00"/>
    <x v="2"/>
    <x v="0"/>
    <s v="RETROEXCAVADORA CASE 580 N"/>
    <n v="60"/>
    <n v="27"/>
    <n v="1620"/>
    <s v="DIESEL"/>
    <n v="27"/>
  </r>
  <r>
    <s v="SOL-26-128"/>
    <x v="2"/>
    <d v="2026-06-25T00:00:00"/>
    <x v="2"/>
    <x v="0"/>
    <s v="RETROEXCAVADORA CASE 580 N"/>
    <n v="60"/>
    <n v="27"/>
    <n v="1620"/>
    <s v="DIESEL"/>
    <n v="27"/>
  </r>
  <r>
    <s v="SOL-26-129"/>
    <x v="2"/>
    <d v="2026-06-25T00:00:00"/>
    <x v="2"/>
    <x v="0"/>
    <s v="Limpieza"/>
    <n v="5"/>
    <n v="27"/>
    <n v="135"/>
    <s v="DIESEL"/>
    <n v="27"/>
  </r>
  <r>
    <s v="SOL-26-130"/>
    <x v="2"/>
    <d v="2026-06-26T00:00:00"/>
    <x v="2"/>
    <x v="0"/>
    <s v="RETROEXCAVADORA CASE 580 N"/>
    <n v="50"/>
    <n v="27"/>
    <n v="1350"/>
    <s v="DIESEL"/>
    <n v="27"/>
  </r>
  <r>
    <s v="SOL-26-131"/>
    <x v="2"/>
    <d v="2026-06-26T00:00:00"/>
    <x v="2"/>
    <x v="0"/>
    <s v="RETROEXCAVADORA CASE 580 N"/>
    <n v="50"/>
    <n v="27"/>
    <n v="1350"/>
    <s v="DIESEL"/>
    <n v="27"/>
  </r>
  <r>
    <s v="SOL-26-132"/>
    <x v="2"/>
    <d v="2026-06-26T00:00:00"/>
    <x v="2"/>
    <x v="0"/>
    <s v="HOMBRE A BORDO"/>
    <n v="10"/>
    <n v="27"/>
    <n v="270"/>
    <s v="DIESEL"/>
    <n v="27"/>
  </r>
  <r>
    <s v="SOL-26-133"/>
    <x v="2"/>
    <d v="2026-06-26T00:00:00"/>
    <x v="2"/>
    <x v="0"/>
    <s v="Limpieza"/>
    <n v="8"/>
    <n v="27"/>
    <n v="216"/>
    <s v="DIESEL"/>
    <n v="27"/>
  </r>
  <r>
    <s v="SOL-26-134"/>
    <x v="2"/>
    <d v="2026-06-23T00:00:00"/>
    <x v="5"/>
    <x v="0"/>
    <s v="PayLoder"/>
    <n v="300"/>
    <n v="27"/>
    <n v="8100"/>
    <s v="DIESEL"/>
    <n v="27"/>
  </r>
  <r>
    <s v="SOL-26-135"/>
    <x v="2"/>
    <d v="2026-06-24T00:00:00"/>
    <x v="5"/>
    <x v="0"/>
    <s v="CALDERA TECNO"/>
    <n v="600"/>
    <n v="27"/>
    <n v="16200"/>
    <s v="DIESEL"/>
    <n v="27"/>
  </r>
  <r>
    <s v="SOL-26-136"/>
    <x v="2"/>
    <d v="2026-06-24T00:00:00"/>
    <x v="5"/>
    <x v="0"/>
    <s v="CALDERA TRIASO"/>
    <n v="400"/>
    <n v="27"/>
    <n v="10800"/>
    <s v="DIESEL"/>
    <n v="27"/>
  </r>
  <r>
    <s v="SOL-26-137"/>
    <x v="2"/>
    <d v="2026-06-25T00:00:00"/>
    <x v="5"/>
    <x v="0"/>
    <s v="PayLoder"/>
    <n v="300"/>
    <n v="27"/>
    <n v="8100"/>
    <s v="DIESEL"/>
    <n v="27"/>
  </r>
  <r>
    <s v="SOL-26-138"/>
    <x v="2"/>
    <d v="2026-06-22T00:00:00"/>
    <x v="1"/>
    <x v="0"/>
    <s v="PIPA DE AGUA (IMPACTO 01) FORD"/>
    <n v="30"/>
    <n v="27"/>
    <n v="810"/>
    <s v="DIESEL"/>
    <n v="27"/>
  </r>
  <r>
    <s v="SOL-26-139"/>
    <x v="2"/>
    <d v="2026-06-23T00:00:00"/>
    <x v="1"/>
    <x v="0"/>
    <s v="PIPA DE AGUA (IMPACTO 01) FORD"/>
    <n v="30"/>
    <n v="27"/>
    <n v="810"/>
    <s v="DIESEL"/>
    <n v="27"/>
  </r>
  <r>
    <s v="SOL-26-140"/>
    <x v="2"/>
    <d v="2026-06-24T00:00:00"/>
    <x v="1"/>
    <x v="0"/>
    <s v="PIPA DE AGUA (IMPACTO 01) FORD"/>
    <n v="30"/>
    <n v="27"/>
    <n v="810"/>
    <s v="DIESEL"/>
    <n v="27"/>
  </r>
  <r>
    <s v="SOL-26-141"/>
    <x v="2"/>
    <d v="2026-06-25T00:00:00"/>
    <x v="1"/>
    <x v="0"/>
    <s v="PIPA DE AGUA (IMPACTO 01) FORD"/>
    <n v="30"/>
    <n v="27"/>
    <n v="810"/>
    <s v="DIESEL"/>
    <n v="27"/>
  </r>
  <r>
    <s v="SOL-26-142"/>
    <x v="2"/>
    <d v="2026-06-26T00:00:00"/>
    <x v="1"/>
    <x v="0"/>
    <s v="PIPA DE AGUA (IMPACTO 01) FORD"/>
    <n v="30"/>
    <n v="27"/>
    <n v="810"/>
    <s v="DIESEL"/>
    <n v="27"/>
  </r>
  <r>
    <s v="SOL-27-001"/>
    <x v="3"/>
    <d v="2026-06-29T00:00:00"/>
    <x v="6"/>
    <x v="0"/>
    <s v="GENERADOR PLANTA AMMANN"/>
    <n v="300"/>
    <n v="27"/>
    <n v="8100"/>
    <s v="DIESEL"/>
    <n v="23.95"/>
  </r>
  <r>
    <s v="SOL-27-002"/>
    <x v="3"/>
    <d v="2026-06-29T00:00:00"/>
    <x v="6"/>
    <x v="0"/>
    <s v="TORRE DE LUZ MAXILIGHT"/>
    <n v="100"/>
    <n v="27"/>
    <n v="2700"/>
    <s v="DIESEL"/>
    <n v="23.95"/>
  </r>
  <r>
    <s v="SOL-27-003"/>
    <x v="3"/>
    <d v="2026-06-29T00:00:00"/>
    <x v="6"/>
    <x v="0"/>
    <s v="CALDERA"/>
    <n v="100"/>
    <n v="27"/>
    <n v="2700"/>
    <s v="DIESEL"/>
    <n v="23.95"/>
  </r>
  <r>
    <s v="SOL-27-004"/>
    <x v="3"/>
    <d v="2026-06-29T00:00:00"/>
    <x v="6"/>
    <x v="0"/>
    <s v="CARGADOR CASE 821 F"/>
    <n v="100"/>
    <n v="27"/>
    <n v="2700"/>
    <s v="DIESEL"/>
    <n v="23.95"/>
  </r>
  <r>
    <s v="SOL-27-005"/>
    <x v="3"/>
    <d v="2026-06-30T00:00:00"/>
    <x v="6"/>
    <x v="0"/>
    <s v="GENERADOR PLANTA AMMANN"/>
    <n v="300"/>
    <n v="27"/>
    <n v="8100"/>
    <s v="DIESEL"/>
    <n v="23.95"/>
  </r>
  <r>
    <s v="SOL-27-006"/>
    <x v="3"/>
    <d v="2026-06-30T00:00:00"/>
    <x v="6"/>
    <x v="0"/>
    <s v="CRIBA RAP"/>
    <n v="50"/>
    <n v="27"/>
    <n v="1350"/>
    <s v="DIESEL"/>
    <n v="23.95"/>
  </r>
  <r>
    <s v="SOL-27-007"/>
    <x v="3"/>
    <d v="2026-06-30T00:00:00"/>
    <x v="6"/>
    <x v="0"/>
    <s v="CALDERA"/>
    <n v="100"/>
    <n v="27"/>
    <n v="2700"/>
    <s v="DIESEL"/>
    <n v="23.95"/>
  </r>
  <r>
    <s v="SOL-27-008"/>
    <x v="3"/>
    <d v="2026-06-30T00:00:00"/>
    <x v="6"/>
    <x v="0"/>
    <s v="CARGADOR CASE 821 F"/>
    <n v="100"/>
    <n v="27"/>
    <n v="2700"/>
    <s v="DIESEL"/>
    <n v="23.95"/>
  </r>
  <r>
    <s v="SOL-27-009"/>
    <x v="3"/>
    <d v="2026-07-01T00:00:00"/>
    <x v="6"/>
    <x v="0"/>
    <s v="GENERADOR PLANTA AMMANN"/>
    <n v="300"/>
    <n v="27"/>
    <n v="8100"/>
    <s v="DIESEL"/>
    <n v="23.95"/>
  </r>
  <r>
    <s v="SOL-27-010"/>
    <x v="3"/>
    <d v="2026-07-01T00:00:00"/>
    <x v="6"/>
    <x v="0"/>
    <s v="CALDERA"/>
    <n v="100"/>
    <n v="27"/>
    <n v="2700"/>
    <s v="DIESEL"/>
    <n v="23.95"/>
  </r>
  <r>
    <s v="SOL-27-011"/>
    <x v="3"/>
    <d v="2026-07-01T00:00:00"/>
    <x v="6"/>
    <x v="0"/>
    <s v="CARGADOR CASE 821 F"/>
    <n v="100"/>
    <n v="27"/>
    <n v="2700"/>
    <s v="DIESEL"/>
    <n v="23.95"/>
  </r>
  <r>
    <s v="SOL-27-012"/>
    <x v="3"/>
    <d v="2026-07-02T00:00:00"/>
    <x v="6"/>
    <x v="0"/>
    <s v="GENERADOR PLANTA AMMANN"/>
    <n v="300"/>
    <n v="27"/>
    <n v="8100"/>
    <s v="DIESEL"/>
    <n v="23.95"/>
  </r>
  <r>
    <s v="SOL-27-013"/>
    <x v="3"/>
    <d v="2026-07-02T00:00:00"/>
    <x v="6"/>
    <x v="0"/>
    <s v="CRIBA RAP"/>
    <n v="50"/>
    <n v="27"/>
    <n v="1350"/>
    <s v="DIESEL"/>
    <n v="23.95"/>
  </r>
  <r>
    <s v="SOL-27-014"/>
    <x v="3"/>
    <d v="2026-07-02T00:00:00"/>
    <x v="6"/>
    <x v="0"/>
    <s v="TORRE DE LUZ MAXILIGHT"/>
    <n v="100"/>
    <n v="27"/>
    <n v="2700"/>
    <s v="DIESEL"/>
    <n v="23.95"/>
  </r>
  <r>
    <s v="SOL-27-015"/>
    <x v="3"/>
    <d v="2026-07-02T00:00:00"/>
    <x v="6"/>
    <x v="0"/>
    <s v="CALDERA"/>
    <n v="100"/>
    <n v="27"/>
    <n v="2700"/>
    <s v="DIESEL"/>
    <n v="23.95"/>
  </r>
  <r>
    <s v="SOL-27-016"/>
    <x v="3"/>
    <d v="2026-07-02T00:00:00"/>
    <x v="6"/>
    <x v="0"/>
    <s v="CARGADOR CASE 821 F"/>
    <n v="100"/>
    <n v="27"/>
    <n v="2700"/>
    <s v="DIESEL"/>
    <n v="23.95"/>
  </r>
  <r>
    <s v="SOL-27-017"/>
    <x v="3"/>
    <d v="2026-07-03T00:00:00"/>
    <x v="6"/>
    <x v="0"/>
    <s v="GENERADOR PLANTA AMMANN"/>
    <n v="300"/>
    <n v="27"/>
    <n v="8100"/>
    <s v="DIESEL"/>
    <n v="23.95"/>
  </r>
  <r>
    <s v="SOL-27-018"/>
    <x v="3"/>
    <d v="2026-07-03T00:00:00"/>
    <x v="6"/>
    <x v="0"/>
    <s v="CALDERA"/>
    <n v="100"/>
    <n v="27"/>
    <n v="2700"/>
    <s v="DIESEL"/>
    <n v="23.95"/>
  </r>
  <r>
    <s v="SOL-27-019"/>
    <x v="3"/>
    <d v="2026-07-03T00:00:00"/>
    <x v="6"/>
    <x v="0"/>
    <s v="CARGADOR CASE 821 F"/>
    <n v="100"/>
    <n v="27"/>
    <n v="2700"/>
    <s v="DIESEL"/>
    <n v="23.95"/>
  </r>
  <r>
    <s v="SOL-27-020"/>
    <x v="3"/>
    <d v="2026-07-04T00:00:00"/>
    <x v="6"/>
    <x v="0"/>
    <s v="GENERADOR PLANTA AMMANN"/>
    <n v="100"/>
    <n v="27"/>
    <n v="2700"/>
    <s v="DIESEL"/>
    <n v="23.95"/>
  </r>
  <r>
    <s v="SOL-27-021"/>
    <x v="3"/>
    <d v="2026-07-04T00:00:00"/>
    <x v="6"/>
    <x v="0"/>
    <s v="CRIBA RAP"/>
    <n v="50"/>
    <n v="27"/>
    <n v="1350"/>
    <s v="DIESEL"/>
    <n v="23.95"/>
  </r>
  <r>
    <s v="SOL-27-022"/>
    <x v="3"/>
    <d v="2026-07-04T00:00:00"/>
    <x v="6"/>
    <x v="0"/>
    <s v="CALDERA"/>
    <n v="100"/>
    <n v="27"/>
    <n v="2700"/>
    <s v="DIESEL"/>
    <n v="23.95"/>
  </r>
  <r>
    <s v="SOL-27-023"/>
    <x v="3"/>
    <d v="2026-07-04T00:00:00"/>
    <x v="6"/>
    <x v="0"/>
    <s v="CARGADOR CASE 821 F"/>
    <n v="100"/>
    <n v="27"/>
    <n v="2700"/>
    <s v="DIESEL"/>
    <n v="23.95"/>
  </r>
  <r>
    <s v="SOL-27-024"/>
    <x v="3"/>
    <d v="2026-07-05T00:00:00"/>
    <x v="6"/>
    <x v="0"/>
    <s v="GENERADOR PLANTA AMMANN"/>
    <n v="100"/>
    <n v="27"/>
    <n v="2700"/>
    <s v="DIESEL"/>
    <n v="23.95"/>
  </r>
  <r>
    <s v="SOL-27-025"/>
    <x v="3"/>
    <d v="2026-07-05T00:00:00"/>
    <x v="6"/>
    <x v="0"/>
    <s v="CALDERA"/>
    <n v="100"/>
    <n v="27"/>
    <n v="2700"/>
    <s v="DIESEL"/>
    <n v="23.95"/>
  </r>
  <r>
    <s v="SOL-27-026"/>
    <x v="3"/>
    <d v="2026-06-29T00:00:00"/>
    <x v="0"/>
    <x v="0"/>
    <s v="PERFILADORA RODATEC RX600E"/>
    <n v="250"/>
    <n v="27"/>
    <n v="6750"/>
    <s v="DIESEL"/>
    <n v="23.95"/>
  </r>
  <r>
    <s v="SOL-27-027"/>
    <x v="3"/>
    <d v="2026-06-30T00:00:00"/>
    <x v="0"/>
    <x v="0"/>
    <s v="PERFILADORA RODATEC RX600E"/>
    <n v="200"/>
    <n v="27"/>
    <n v="5400"/>
    <s v="DIESEL"/>
    <n v="23.95"/>
  </r>
  <r>
    <s v="SOL-27-028"/>
    <x v="3"/>
    <d v="2026-07-01T00:00:00"/>
    <x v="0"/>
    <x v="0"/>
    <s v="PERFILADORA RODATEC RX600E"/>
    <n v="250"/>
    <n v="27"/>
    <n v="6750"/>
    <s v="DIESEL"/>
    <n v="23.95"/>
  </r>
  <r>
    <s v="SOL-27-029"/>
    <x v="3"/>
    <d v="2026-07-02T00:00:00"/>
    <x v="0"/>
    <x v="0"/>
    <s v="PERFILADORA RODATEC RX600E"/>
    <n v="200"/>
    <n v="27"/>
    <n v="5400"/>
    <s v="DIESEL"/>
    <n v="23.95"/>
  </r>
  <r>
    <s v="SOL-27-030"/>
    <x v="3"/>
    <d v="2026-07-03T00:00:00"/>
    <x v="0"/>
    <x v="0"/>
    <s v="PERFILADORA RODATEC RX600E"/>
    <n v="250"/>
    <n v="27"/>
    <n v="6750"/>
    <s v="DIESEL"/>
    <n v="23.95"/>
  </r>
  <r>
    <s v="SOL-27-031"/>
    <x v="3"/>
    <d v="2026-07-04T00:00:00"/>
    <x v="0"/>
    <x v="0"/>
    <s v="PERFILADORA RODATEC RX600E"/>
    <n v="150"/>
    <n v="27"/>
    <n v="4050"/>
    <s v="DIESEL"/>
    <n v="23.95"/>
  </r>
  <r>
    <s v="SOL-27-032"/>
    <x v="3"/>
    <d v="2026-06-29T00:00:00"/>
    <x v="0"/>
    <x v="0"/>
    <s v="PAVIMENTADORA VOGELE 1800-3 I"/>
    <n v="120"/>
    <n v="27"/>
    <n v="3240"/>
    <s v="DIESEL"/>
    <n v="23.95"/>
  </r>
  <r>
    <s v="SOL-27-033"/>
    <x v="3"/>
    <d v="2026-06-30T00:00:00"/>
    <x v="0"/>
    <x v="0"/>
    <s v="PAVIMENTADORA VOGELE 1800-3 I"/>
    <n v="120"/>
    <n v="27"/>
    <n v="3240"/>
    <s v="DIESEL"/>
    <n v="23.95"/>
  </r>
  <r>
    <s v="SOL-27-034"/>
    <x v="3"/>
    <d v="2026-07-01T00:00:00"/>
    <x v="0"/>
    <x v="0"/>
    <s v="PAVIMENTADORA VOGELE 1800-3 I"/>
    <n v="120"/>
    <n v="27"/>
    <n v="3240"/>
    <s v="DIESEL"/>
    <n v="23.95"/>
  </r>
  <r>
    <s v="SOL-27-035"/>
    <x v="3"/>
    <d v="2026-07-02T00:00:00"/>
    <x v="0"/>
    <x v="0"/>
    <s v="PAVIMENTADORA VOGELE 1800-3 I"/>
    <n v="120"/>
    <n v="27"/>
    <n v="3240"/>
    <s v="DIESEL"/>
    <n v="23.95"/>
  </r>
  <r>
    <s v="SOL-27-036"/>
    <x v="3"/>
    <d v="2026-07-03T00:00:00"/>
    <x v="0"/>
    <x v="0"/>
    <s v="PAVIMENTADORA VOGELE 1800-3 I"/>
    <n v="100"/>
    <n v="27"/>
    <n v="2700"/>
    <s v="DIESEL"/>
    <n v="23.95"/>
  </r>
  <r>
    <s v="SOL-27-037"/>
    <x v="3"/>
    <d v="2026-07-04T00:00:00"/>
    <x v="0"/>
    <x v="0"/>
    <s v="PAVIMENTADORA VOGELE 1800-3 I"/>
    <n v="80"/>
    <n v="27"/>
    <n v="2160"/>
    <s v="DIESEL"/>
    <n v="23.95"/>
  </r>
  <r>
    <s v="SOL-27-038"/>
    <x v="3"/>
    <d v="2026-06-29T00:00:00"/>
    <x v="0"/>
    <x v="0"/>
    <s v="DOBLE RODILLO/VIBROCOMPACTADOR DE RODILLOS HAMM 120HD VV"/>
    <n v="50"/>
    <n v="27"/>
    <n v="1350"/>
    <s v="DIESEL"/>
    <n v="23.95"/>
  </r>
  <r>
    <s v="SOL-27-039"/>
    <x v="3"/>
    <d v="2026-06-30T00:00:00"/>
    <x v="0"/>
    <x v="0"/>
    <s v="DOBLE RODILLO/VIBROCOMPACTADOR DE RODILLOS HAMM 120HD VV"/>
    <n v="40"/>
    <n v="27"/>
    <n v="1080"/>
    <s v="DIESEL"/>
    <n v="23.95"/>
  </r>
  <r>
    <s v="SOL-27-040"/>
    <x v="3"/>
    <d v="2026-07-01T00:00:00"/>
    <x v="0"/>
    <x v="0"/>
    <s v="DOBLE RODILLO/VIBROCOMPACTADOR DE RODILLOS HAMM 120HD VV"/>
    <n v="40"/>
    <n v="27"/>
    <n v="1080"/>
    <s v="DIESEL"/>
    <n v="23.95"/>
  </r>
  <r>
    <s v="SOL-27-041"/>
    <x v="3"/>
    <d v="2026-07-02T00:00:00"/>
    <x v="0"/>
    <x v="0"/>
    <s v="DOBLE RODILLO/VIBROCOMPACTADOR DE RODILLOS HAMM 120HD VV"/>
    <n v="40"/>
    <n v="27"/>
    <n v="1080"/>
    <s v="DIESEL"/>
    <n v="23.95"/>
  </r>
  <r>
    <s v="SOL-27-042"/>
    <x v="3"/>
    <d v="2026-07-03T00:00:00"/>
    <x v="0"/>
    <x v="0"/>
    <s v="DOBLE RODILLO/VIBROCOMPACTADOR DE RODILLOS HAMM 120HD VV"/>
    <n v="30"/>
    <n v="27"/>
    <n v="810"/>
    <s v="DIESEL"/>
    <n v="23.95"/>
  </r>
  <r>
    <s v="SOL-27-043"/>
    <x v="3"/>
    <d v="2026-07-04T00:00:00"/>
    <x v="0"/>
    <x v="0"/>
    <s v="DOBLE RODILLO/VIBROCOMPACTADOR DE RODILLOS HAMM 120HD VV"/>
    <n v="30"/>
    <n v="27"/>
    <n v="810"/>
    <s v="DIESEL"/>
    <n v="23.95"/>
  </r>
  <r>
    <s v="SOL-27-044"/>
    <x v="3"/>
    <d v="2026-06-29T00:00:00"/>
    <x v="0"/>
    <x v="0"/>
    <s v="DOBLE RODILLO/VIBROCOMPACTADOR DE RODILLOS HAMM 120HD VV"/>
    <n v="50"/>
    <n v="27"/>
    <n v="1350"/>
    <s v="DIESEL"/>
    <n v="23.95"/>
  </r>
  <r>
    <s v="SOL-27-045"/>
    <x v="3"/>
    <d v="2026-06-30T00:00:00"/>
    <x v="0"/>
    <x v="0"/>
    <s v="DOBLE RODILLO/VIBROCOMPACTADOR DE RODILLOS HAMM 120HD VV"/>
    <n v="40"/>
    <n v="27"/>
    <n v="1080"/>
    <s v="DIESEL"/>
    <n v="23.95"/>
  </r>
  <r>
    <s v="SOL-27-046"/>
    <x v="3"/>
    <d v="2026-07-01T00:00:00"/>
    <x v="0"/>
    <x v="0"/>
    <s v="DOBLE RODILLO/VIBROCOMPACTADOR DE RODILLOS HAMM 120HD VV"/>
    <n v="40"/>
    <n v="27"/>
    <n v="1080"/>
    <s v="DIESEL"/>
    <n v="23.95"/>
  </r>
  <r>
    <s v="SOL-27-047"/>
    <x v="3"/>
    <d v="2026-07-02T00:00:00"/>
    <x v="0"/>
    <x v="0"/>
    <s v="DOBLE RODILLO/VIBROCOMPACTADOR DE RODILLOS HAMM 120HD VV"/>
    <n v="40"/>
    <n v="27"/>
    <n v="1080"/>
    <s v="DIESEL"/>
    <n v="23.95"/>
  </r>
  <r>
    <s v="SOL-27-048"/>
    <x v="3"/>
    <d v="2026-07-03T00:00:00"/>
    <x v="0"/>
    <x v="0"/>
    <s v="DOBLE RODILLO/VIBROCOMPACTADOR DE RODILLOS HAMM 120HD VV"/>
    <n v="30"/>
    <n v="27"/>
    <n v="810"/>
    <s v="DIESEL"/>
    <n v="23.95"/>
  </r>
  <r>
    <s v="SOL-27-049"/>
    <x v="3"/>
    <d v="2026-07-04T00:00:00"/>
    <x v="0"/>
    <x v="0"/>
    <s v="DOBLE RODILLO/VIBROCOMPACTADOR DE RODILLOS HAMM 120HD VV"/>
    <n v="30"/>
    <n v="27"/>
    <n v="810"/>
    <s v="DIESEL"/>
    <n v="23.95"/>
  </r>
  <r>
    <s v="SOL-27-050"/>
    <x v="3"/>
    <d v="2026-06-29T00:00:00"/>
    <x v="0"/>
    <x v="0"/>
    <s v="NEUMATICO / COMPACTADOR DE NEUMATICOS DINAPAC CP271"/>
    <n v="50"/>
    <n v="27"/>
    <n v="1350"/>
    <s v="DIESEL"/>
    <n v="23.95"/>
  </r>
  <r>
    <s v="SOL-27-051"/>
    <x v="3"/>
    <d v="2026-06-30T00:00:00"/>
    <x v="0"/>
    <x v="0"/>
    <s v="NEUMATICO / COMPACTADOR DE NEUMATICOS DINAPAC CP271"/>
    <n v="40"/>
    <n v="27"/>
    <n v="1080"/>
    <s v="DIESEL"/>
    <n v="23.95"/>
  </r>
  <r>
    <s v="SOL-27-052"/>
    <x v="3"/>
    <d v="2026-07-01T00:00:00"/>
    <x v="0"/>
    <x v="0"/>
    <s v="NEUMATICO / COMPACTADOR DE NEUMATICOS DINAPAC CP271"/>
    <n v="40"/>
    <n v="27"/>
    <n v="1080"/>
    <s v="DIESEL"/>
    <n v="23.95"/>
  </r>
  <r>
    <s v="SOL-27-053"/>
    <x v="3"/>
    <d v="2026-07-02T00:00:00"/>
    <x v="0"/>
    <x v="0"/>
    <s v="NEUMATICO / COMPACTADOR DE NEUMATICOS DINAPAC CP271"/>
    <n v="30"/>
    <n v="27"/>
    <n v="810"/>
    <s v="DIESEL"/>
    <n v="23.95"/>
  </r>
  <r>
    <s v="SOL-27-054"/>
    <x v="3"/>
    <d v="2026-07-03T00:00:00"/>
    <x v="0"/>
    <x v="0"/>
    <s v="NEUMATICO / COMPACTADOR DE NEUMATICOS DINAPAC CP271"/>
    <n v="30"/>
    <n v="27"/>
    <n v="810"/>
    <s v="DIESEL"/>
    <n v="23.95"/>
  </r>
  <r>
    <s v="SOL-27-055"/>
    <x v="3"/>
    <d v="2026-07-04T00:00:00"/>
    <x v="0"/>
    <x v="0"/>
    <s v="NEUMATICO / COMPACTADOR DE NEUMATICOS DINAPAC CP271"/>
    <n v="30"/>
    <n v="27"/>
    <n v="810"/>
    <s v="DIESEL"/>
    <n v="23.95"/>
  </r>
  <r>
    <s v="SOL-27-056"/>
    <x v="3"/>
    <d v="2026-06-29T00:00:00"/>
    <x v="0"/>
    <x v="0"/>
    <s v="NEUMATICO VOLVO PT-240R"/>
    <n v="50"/>
    <n v="27"/>
    <n v="1350"/>
    <s v="DIESEL"/>
    <n v="23.95"/>
  </r>
  <r>
    <s v="SOL-27-057"/>
    <x v="3"/>
    <d v="2026-06-30T00:00:00"/>
    <x v="0"/>
    <x v="0"/>
    <s v="NEUMATICO VOLVO PT-240R"/>
    <n v="40"/>
    <n v="27"/>
    <n v="1080"/>
    <s v="DIESEL"/>
    <n v="23.95"/>
  </r>
  <r>
    <s v="SOL-27-058"/>
    <x v="3"/>
    <d v="2026-07-01T00:00:00"/>
    <x v="0"/>
    <x v="0"/>
    <s v="NEUMATICO VOLVO PT-240R"/>
    <n v="40"/>
    <n v="27"/>
    <n v="1080"/>
    <s v="DIESEL"/>
    <n v="23.95"/>
  </r>
  <r>
    <s v="SOL-27-059"/>
    <x v="3"/>
    <d v="2026-07-02T00:00:00"/>
    <x v="0"/>
    <x v="0"/>
    <s v="NEUMATICO VOLVO PT-240R"/>
    <n v="30"/>
    <n v="27"/>
    <n v="810"/>
    <s v="DIESEL"/>
    <n v="23.95"/>
  </r>
  <r>
    <s v="SOL-27-060"/>
    <x v="3"/>
    <d v="2026-07-03T00:00:00"/>
    <x v="0"/>
    <x v="0"/>
    <s v="NEUMATICO VOLVO PT-240R"/>
    <n v="30"/>
    <n v="27"/>
    <n v="810"/>
    <s v="DIESEL"/>
    <n v="23.95"/>
  </r>
  <r>
    <s v="SOL-27-061"/>
    <x v="3"/>
    <d v="2026-07-04T00:00:00"/>
    <x v="0"/>
    <x v="0"/>
    <s v="NEUMATICO VOLVO PT-240R"/>
    <n v="30"/>
    <n v="27"/>
    <n v="810"/>
    <s v="DIESEL"/>
    <n v="23.95"/>
  </r>
  <r>
    <s v="SOL-27-062"/>
    <x v="3"/>
    <d v="2026-06-29T00:00:00"/>
    <x v="0"/>
    <x v="0"/>
    <s v="BARREDORA BROCE RJ350"/>
    <n v="30"/>
    <n v="27"/>
    <n v="810"/>
    <s v="DIESEL"/>
    <n v="23.95"/>
  </r>
  <r>
    <s v="SOL-27-063"/>
    <x v="3"/>
    <d v="2026-06-30T00:00:00"/>
    <x v="0"/>
    <x v="0"/>
    <s v="BARREDORA BROCE RJ350"/>
    <n v="30"/>
    <n v="27"/>
    <n v="810"/>
    <s v="DIESEL"/>
    <n v="23.95"/>
  </r>
  <r>
    <s v="SOL-27-064"/>
    <x v="3"/>
    <d v="2026-07-01T00:00:00"/>
    <x v="0"/>
    <x v="0"/>
    <s v="BARREDORA BROCE RJ350"/>
    <n v="30"/>
    <n v="27"/>
    <n v="810"/>
    <s v="DIESEL"/>
    <n v="23.95"/>
  </r>
  <r>
    <s v="SOL-27-065"/>
    <x v="3"/>
    <d v="2026-07-02T00:00:00"/>
    <x v="0"/>
    <x v="0"/>
    <s v="BARREDORA BROCE RJ350"/>
    <n v="20"/>
    <n v="27"/>
    <n v="540"/>
    <s v="DIESEL"/>
    <n v="23.95"/>
  </r>
  <r>
    <s v="SOL-27-066"/>
    <x v="3"/>
    <d v="2026-07-03T00:00:00"/>
    <x v="0"/>
    <x v="0"/>
    <s v="BARREDORA BROCE RJ350"/>
    <n v="20"/>
    <n v="27"/>
    <n v="540"/>
    <s v="DIESEL"/>
    <n v="23.95"/>
  </r>
  <r>
    <s v="SOL-27-067"/>
    <x v="3"/>
    <d v="2026-07-04T00:00:00"/>
    <x v="0"/>
    <x v="0"/>
    <s v="BARREDORA BROCE RJ350"/>
    <n v="20"/>
    <n v="27"/>
    <n v="540"/>
    <s v="DIESEL"/>
    <n v="23.95"/>
  </r>
  <r>
    <s v="SOL-27-068"/>
    <x v="3"/>
    <d v="2026-06-29T00:00:00"/>
    <x v="0"/>
    <x v="0"/>
    <s v="RETROEXCAVADORA JHONDEREE 310 K"/>
    <n v="60"/>
    <n v="27"/>
    <n v="1620"/>
    <s v="DIESEL"/>
    <n v="23.95"/>
  </r>
  <r>
    <s v="SOL-27-069"/>
    <x v="3"/>
    <d v="2026-06-30T00:00:00"/>
    <x v="0"/>
    <x v="0"/>
    <s v="RETROEXCAVADORA JHONDEREE 310 K"/>
    <n v="50"/>
    <n v="27"/>
    <n v="1350"/>
    <s v="DIESEL"/>
    <n v="23.95"/>
  </r>
  <r>
    <s v="SOL-27-070"/>
    <x v="3"/>
    <d v="2026-07-01T00:00:00"/>
    <x v="0"/>
    <x v="0"/>
    <s v="RETROEXCAVADORA JHONDEREE 310 K"/>
    <n v="50"/>
    <n v="27"/>
    <n v="1350"/>
    <s v="DIESEL"/>
    <n v="23.95"/>
  </r>
  <r>
    <s v="SOL-27-071"/>
    <x v="3"/>
    <d v="2026-07-02T00:00:00"/>
    <x v="0"/>
    <x v="0"/>
    <s v="RETROEXCAVADORA JHONDEREE 310 K"/>
    <n v="50"/>
    <n v="27"/>
    <n v="1350"/>
    <s v="DIESEL"/>
    <n v="23.95"/>
  </r>
  <r>
    <s v="SOL-27-072"/>
    <x v="3"/>
    <d v="2026-07-03T00:00:00"/>
    <x v="0"/>
    <x v="0"/>
    <s v="RETROEXCAVADORA JHONDEREE 310 K"/>
    <n v="50"/>
    <n v="27"/>
    <n v="1350"/>
    <s v="DIESEL"/>
    <n v="23.95"/>
  </r>
  <r>
    <s v="SOL-27-073"/>
    <x v="3"/>
    <d v="2026-07-04T00:00:00"/>
    <x v="0"/>
    <x v="0"/>
    <s v="RETROEXCAVADORA JHONDEREE 310 K"/>
    <n v="40"/>
    <n v="27"/>
    <n v="1080"/>
    <s v="DIESEL"/>
    <n v="23.95"/>
  </r>
  <r>
    <s v="SOL-27-074"/>
    <x v="3"/>
    <d v="2026-06-29T00:00:00"/>
    <x v="0"/>
    <x v="0"/>
    <s v="PETROLIZADORA INTERNATIONAL"/>
    <n v="50"/>
    <n v="27"/>
    <n v="1350"/>
    <s v="DIESEL"/>
    <n v="23.95"/>
  </r>
  <r>
    <s v="SOL-27-075"/>
    <x v="3"/>
    <d v="2026-06-30T00:00:00"/>
    <x v="0"/>
    <x v="0"/>
    <s v="PETROLIZADORA INTERNATIONAL"/>
    <n v="50"/>
    <n v="27"/>
    <n v="1350"/>
    <s v="DIESEL"/>
    <n v="23.95"/>
  </r>
  <r>
    <s v="SOL-27-076"/>
    <x v="3"/>
    <d v="2026-07-01T00:00:00"/>
    <x v="0"/>
    <x v="0"/>
    <s v="PETROLIZADORA INTERNATIONAL"/>
    <n v="50"/>
    <n v="27"/>
    <n v="1350"/>
    <s v="DIESEL"/>
    <n v="23.95"/>
  </r>
  <r>
    <s v="SOL-27-077"/>
    <x v="3"/>
    <d v="2026-07-02T00:00:00"/>
    <x v="0"/>
    <x v="0"/>
    <s v="PETROLIZADORA INTERNATIONAL"/>
    <n v="50"/>
    <n v="27"/>
    <n v="1350"/>
    <s v="DIESEL"/>
    <n v="23.95"/>
  </r>
  <r>
    <s v="SOL-27-078"/>
    <x v="3"/>
    <d v="2026-07-03T00:00:00"/>
    <x v="0"/>
    <x v="0"/>
    <s v="PETROLIZADORA INTERNATIONAL"/>
    <n v="50"/>
    <n v="27"/>
    <n v="1350"/>
    <s v="DIESEL"/>
    <n v="23.95"/>
  </r>
  <r>
    <s v="SOL-27-079"/>
    <x v="3"/>
    <d v="2026-06-29T00:00:00"/>
    <x v="2"/>
    <x v="0"/>
    <s v="RETROEXCAVADORA CASE 580 N"/>
    <n v="100"/>
    <n v="27"/>
    <n v="2700"/>
    <s v="DIESEL"/>
    <n v="23.95"/>
  </r>
  <r>
    <s v="SOL-27-080"/>
    <x v="3"/>
    <d v="2026-06-30T00:00:00"/>
    <x v="2"/>
    <x v="0"/>
    <s v="RETROEXCAVADORA CASE 580 N"/>
    <n v="30"/>
    <n v="27"/>
    <n v="810"/>
    <s v="DIESEL"/>
    <n v="23.95"/>
  </r>
  <r>
    <s v="SOL-27-081"/>
    <x v="3"/>
    <d v="2026-07-01T00:00:00"/>
    <x v="2"/>
    <x v="0"/>
    <s v="RETROEXCAVADORA CASE 580 N"/>
    <n v="30"/>
    <n v="27"/>
    <n v="810"/>
    <s v="DIESEL"/>
    <n v="23.95"/>
  </r>
  <r>
    <s v="SOL-27-082"/>
    <x v="3"/>
    <d v="2026-07-02T00:00:00"/>
    <x v="2"/>
    <x v="0"/>
    <s v="RETROEXCAVADORA CASE 580 N"/>
    <n v="60"/>
    <n v="27"/>
    <n v="1620"/>
    <s v="DIESEL"/>
    <n v="23.95"/>
  </r>
  <r>
    <s v="SOL-27-083"/>
    <x v="3"/>
    <d v="2026-07-03T00:00:00"/>
    <x v="2"/>
    <x v="0"/>
    <s v="RETROEXCAVADORA CASE 580 N"/>
    <n v="50"/>
    <n v="27"/>
    <n v="1350"/>
    <s v="DIESEL"/>
    <n v="23.95"/>
  </r>
  <r>
    <s v="SOL-27-084"/>
    <x v="3"/>
    <d v="2026-06-30T00:00:00"/>
    <x v="2"/>
    <x v="0"/>
    <s v="RETROEXCAVADORA CASE 580 N"/>
    <n v="50"/>
    <n v="27"/>
    <n v="1350"/>
    <s v="DIESEL"/>
    <n v="23.95"/>
  </r>
  <r>
    <s v="SOL-27-085"/>
    <x v="3"/>
    <d v="2026-07-01T00:00:00"/>
    <x v="2"/>
    <x v="0"/>
    <s v="RETROEXCAVADORA CASE 580 N"/>
    <n v="50"/>
    <n v="27"/>
    <n v="1350"/>
    <s v="DIESEL"/>
    <n v="23.95"/>
  </r>
  <r>
    <s v="SOL-27-086"/>
    <x v="3"/>
    <d v="2026-07-02T00:00:00"/>
    <x v="2"/>
    <x v="0"/>
    <s v="RETROEXCAVADORA CASE 580 N"/>
    <n v="60"/>
    <n v="27"/>
    <n v="1620"/>
    <s v="DIESEL"/>
    <n v="23.95"/>
  </r>
  <r>
    <s v="SOL-27-087"/>
    <x v="3"/>
    <d v="2026-07-03T00:00:00"/>
    <x v="2"/>
    <x v="0"/>
    <s v="RETROEXCAVADORA CASE 580 N"/>
    <n v="50"/>
    <n v="27"/>
    <n v="1350"/>
    <s v="DIESEL"/>
    <n v="23.95"/>
  </r>
  <r>
    <s v="SOL-27-088"/>
    <x v="3"/>
    <d v="2026-07-04T00:00:00"/>
    <x v="2"/>
    <x v="0"/>
    <s v="RETROEXCAVADORA CASE 580 N"/>
    <n v="100"/>
    <n v="27"/>
    <n v="2700"/>
    <s v="DIESEL"/>
    <n v="23.95"/>
  </r>
  <r>
    <s v="SOL-27-089"/>
    <x v="3"/>
    <d v="2026-06-30T00:00:00"/>
    <x v="2"/>
    <x v="0"/>
    <s v="HOMBRE A BORDO"/>
    <n v="10"/>
    <n v="27"/>
    <n v="270"/>
    <s v="DIESEL"/>
    <n v="23.95"/>
  </r>
  <r>
    <s v="SOL-27-090"/>
    <x v="3"/>
    <d v="2026-07-01T00:00:00"/>
    <x v="2"/>
    <x v="0"/>
    <s v="HOMBRE A BORDO"/>
    <n v="10"/>
    <n v="27"/>
    <n v="270"/>
    <s v="DIESEL"/>
    <n v="23.95"/>
  </r>
  <r>
    <s v="SOL-27-091"/>
    <x v="3"/>
    <d v="2026-07-02T00:00:00"/>
    <x v="2"/>
    <x v="0"/>
    <s v="HOMBRE A BORDO"/>
    <n v="5"/>
    <n v="27"/>
    <n v="135"/>
    <s v="DIESEL"/>
    <n v="23.95"/>
  </r>
  <r>
    <s v="SOL-27-092"/>
    <x v="3"/>
    <d v="2026-07-03T00:00:00"/>
    <x v="2"/>
    <x v="0"/>
    <s v="HOMBRE A BORDO"/>
    <n v="10"/>
    <n v="27"/>
    <n v="270"/>
    <s v="DIESEL"/>
    <n v="23.95"/>
  </r>
  <r>
    <s v="SOL-27-093"/>
    <x v="3"/>
    <d v="2026-06-29T00:00:00"/>
    <x v="2"/>
    <x v="0"/>
    <s v="BIDONES"/>
    <n v="5"/>
    <n v="27"/>
    <n v="135"/>
    <s v="DIESEL"/>
    <n v="23.95"/>
  </r>
  <r>
    <s v="SOL-27-094"/>
    <x v="3"/>
    <d v="2026-06-30T00:00:00"/>
    <x v="2"/>
    <x v="0"/>
    <s v="BIDONES"/>
    <n v="5"/>
    <n v="27"/>
    <n v="135"/>
    <s v="DIESEL"/>
    <n v="23.95"/>
  </r>
  <r>
    <s v="SOL-27-095"/>
    <x v="3"/>
    <d v="2026-07-01T00:00:00"/>
    <x v="2"/>
    <x v="0"/>
    <s v="BIDONES"/>
    <n v="5"/>
    <n v="27"/>
    <n v="135"/>
    <s v="DIESEL"/>
    <n v="23.95"/>
  </r>
  <r>
    <s v="SOL-27-096"/>
    <x v="3"/>
    <d v="2026-07-02T00:00:00"/>
    <x v="2"/>
    <x v="0"/>
    <s v="BIDONES"/>
    <n v="5"/>
    <n v="27"/>
    <n v="135"/>
    <s v="DIESEL"/>
    <n v="23.95"/>
  </r>
  <r>
    <s v="SOL-27-097"/>
    <x v="3"/>
    <d v="2026-07-03T00:00:00"/>
    <x v="2"/>
    <x v="0"/>
    <s v="BIDONES"/>
    <n v="5"/>
    <n v="27"/>
    <n v="135"/>
    <s v="DIESEL"/>
    <n v="23.95"/>
  </r>
  <r>
    <s v="SOL-27-098"/>
    <x v="3"/>
    <d v="2026-06-30T00:00:00"/>
    <x v="2"/>
    <x v="0"/>
    <s v="MOTOCONFORMADORA CAT 120H"/>
    <n v="100"/>
    <n v="27"/>
    <n v="2700"/>
    <s v="DIESEL"/>
    <n v="23.95"/>
  </r>
  <r>
    <s v="SOL-27-099"/>
    <x v="3"/>
    <d v="2026-07-01T00:00:00"/>
    <x v="2"/>
    <x v="0"/>
    <s v="MOTOCONFORMADORA CAT 120H"/>
    <n v="70"/>
    <n v="27"/>
    <n v="1890"/>
    <s v="DIESEL"/>
    <n v="23.95"/>
  </r>
  <r>
    <s v="SOL-27-100"/>
    <x v="3"/>
    <d v="2026-07-02T00:00:00"/>
    <x v="2"/>
    <x v="0"/>
    <s v="MOTOCONFORMADORA CAT 120H"/>
    <n v="100"/>
    <n v="27"/>
    <n v="2700"/>
    <s v="DIESEL"/>
    <n v="23.95"/>
  </r>
  <r>
    <s v="SOL-27-101"/>
    <x v="3"/>
    <d v="2026-07-03T00:00:00"/>
    <x v="2"/>
    <x v="0"/>
    <s v="MOTOCONFORMADORA CAT 120H"/>
    <n v="100"/>
    <n v="27"/>
    <n v="2700"/>
    <s v="DIESEL"/>
    <n v="23.95"/>
  </r>
  <r>
    <s v="SOL-27-102"/>
    <x v="3"/>
    <d v="2026-07-04T00:00:00"/>
    <x v="2"/>
    <x v="0"/>
    <s v="MOTOCONFORMADORA CAT 120H"/>
    <n v="100"/>
    <n v="27"/>
    <n v="2700"/>
    <s v="DIESEL"/>
    <n v="23.95"/>
  </r>
  <r>
    <s v="SOL-27-103"/>
    <x v="3"/>
    <d v="2026-07-01T00:00:00"/>
    <x v="2"/>
    <x v="0"/>
    <s v="VIBROCOMPACTADOR CATERPILLAR CB66B"/>
    <n v="70"/>
    <n v="27"/>
    <n v="1890"/>
    <s v="DIESEL"/>
    <n v="23.95"/>
  </r>
  <r>
    <s v="SOL-27-104"/>
    <x v="3"/>
    <d v="2026-07-03T00:00:00"/>
    <x v="2"/>
    <x v="0"/>
    <s v="VIBROCOMPACTADOR CATERPILLAR CB66B"/>
    <n v="70"/>
    <n v="27"/>
    <n v="1890"/>
    <s v="DIESEL"/>
    <n v="23.95"/>
  </r>
  <r>
    <s v="CO-24-001"/>
    <x v="0"/>
    <d v="2026-06-08T00:00:00"/>
    <x v="0"/>
    <x v="1"/>
    <s v="Neuomatico"/>
    <n v="30"/>
    <n v="27"/>
    <n v="810"/>
    <s v="DIESEL"/>
    <m/>
  </r>
  <r>
    <s v="CO-24-002"/>
    <x v="0"/>
    <d v="2026-06-08T00:00:00"/>
    <x v="0"/>
    <x v="1"/>
    <s v="Compactador"/>
    <n v="32"/>
    <n v="27"/>
    <n v="864"/>
    <s v="DIESEL"/>
    <m/>
  </r>
  <r>
    <s v="CO-24-003"/>
    <x v="0"/>
    <d v="2026-06-08T00:00:00"/>
    <x v="0"/>
    <x v="1"/>
    <s v="Perfiladora"/>
    <n v="277"/>
    <n v="27"/>
    <n v="7479"/>
    <s v="DIESEL"/>
    <m/>
  </r>
  <r>
    <s v="CO-24-004"/>
    <x v="0"/>
    <d v="2026-06-08T00:00:00"/>
    <x v="0"/>
    <x v="1"/>
    <s v="Retroexcavadora"/>
    <n v="30"/>
    <n v="27"/>
    <n v="810"/>
    <s v="DIESEL"/>
    <m/>
  </r>
  <r>
    <s v="CO-24-005"/>
    <x v="0"/>
    <d v="2026-06-08T00:00:00"/>
    <x v="1"/>
    <x v="1"/>
    <s v="Vogel"/>
    <n v="97"/>
    <n v="27"/>
    <n v="2619"/>
    <s v="DIESEL"/>
    <m/>
  </r>
  <r>
    <s v="CO-24-006"/>
    <x v="0"/>
    <d v="2026-06-08T00:00:00"/>
    <x v="3"/>
    <x v="1"/>
    <s v="Perfiladora Wirgent"/>
    <n v="198"/>
    <n v="27"/>
    <n v="5346"/>
    <s v="DIESEL"/>
    <m/>
  </r>
  <r>
    <s v="CO-24-007"/>
    <x v="0"/>
    <d v="2026-06-08T00:00:00"/>
    <x v="3"/>
    <x v="1"/>
    <s v="Maxilihgs"/>
    <n v="10"/>
    <n v="27"/>
    <n v="270"/>
    <s v="DIESEL"/>
    <m/>
  </r>
  <r>
    <s v="CO-24-008"/>
    <x v="0"/>
    <d v="2026-06-08T00:00:00"/>
    <x v="3"/>
    <x v="1"/>
    <s v="Neuomatico Dynapac"/>
    <n v="27"/>
    <n v="27"/>
    <n v="729"/>
    <s v="DIESEL"/>
    <m/>
  </r>
  <r>
    <s v="CO-24-009"/>
    <x v="0"/>
    <d v="2026-06-08T00:00:00"/>
    <x v="3"/>
    <x v="1"/>
    <s v="Compresor"/>
    <n v="30"/>
    <n v="27"/>
    <n v="810"/>
    <s v="DIESEL"/>
    <m/>
  </r>
  <r>
    <s v="CO-24-010"/>
    <x v="0"/>
    <d v="2026-06-08T00:00:00"/>
    <x v="3"/>
    <x v="1"/>
    <s v="Retroexcavadora Jonh Deere"/>
    <n v="40"/>
    <n v="27"/>
    <n v="1080"/>
    <s v="DIESEL"/>
    <m/>
  </r>
  <r>
    <s v="CO-24-011"/>
    <x v="0"/>
    <d v="2026-06-08T00:00:00"/>
    <x v="3"/>
    <x v="1"/>
    <s v="Vogele Guion"/>
    <n v="120"/>
    <n v="27"/>
    <n v="3240"/>
    <s v="DIESEL"/>
    <m/>
  </r>
  <r>
    <s v="CO-24-012"/>
    <x v="0"/>
    <d v="2026-06-08T00:00:00"/>
    <x v="3"/>
    <x v="1"/>
    <s v="Petrolizadora Elton"/>
    <n v="30"/>
    <n v="27"/>
    <n v="810"/>
    <s v="DIESEL"/>
    <m/>
  </r>
  <r>
    <s v="CO-24-013"/>
    <x v="0"/>
    <d v="2026-06-08T00:00:00"/>
    <x v="2"/>
    <x v="1"/>
    <s v="Bidones"/>
    <n v="100"/>
    <n v="27"/>
    <n v="2700"/>
    <s v="DIESEL"/>
    <m/>
  </r>
  <r>
    <s v="CO-24-014"/>
    <x v="0"/>
    <d v="2026-06-08T00:00:00"/>
    <x v="7"/>
    <x v="1"/>
    <s v="Bidones"/>
    <n v="200"/>
    <n v="27"/>
    <n v="5400"/>
    <s v="DIESEL"/>
    <m/>
  </r>
  <r>
    <s v="CO-24-015"/>
    <x v="0"/>
    <d v="2026-06-08T00:00:00"/>
    <x v="7"/>
    <x v="1"/>
    <s v="Bidones"/>
    <n v="209"/>
    <n v="27"/>
    <n v="5643"/>
    <s v="DIESEL"/>
    <m/>
  </r>
  <r>
    <s v="CO-24-016"/>
    <x v="0"/>
    <d v="2026-06-09T00:00:00"/>
    <x v="3"/>
    <x v="1"/>
    <s v="Barredora Broce"/>
    <n v="30"/>
    <n v="27"/>
    <n v="810"/>
    <s v="DIESEL"/>
    <m/>
  </r>
  <r>
    <s v="CO-24-017"/>
    <x v="0"/>
    <d v="2026-06-09T00:00:00"/>
    <x v="3"/>
    <x v="1"/>
    <s v="Buggy Trasnfer"/>
    <n v="100"/>
    <n v="27"/>
    <n v="2700"/>
    <s v="DIESEL"/>
    <m/>
  </r>
  <r>
    <s v="CO-24-018"/>
    <x v="0"/>
    <d v="2026-06-09T00:00:00"/>
    <x v="3"/>
    <x v="1"/>
    <s v="Tandem Hamm"/>
    <n v="30"/>
    <n v="27"/>
    <n v="810"/>
    <s v="DIESEL"/>
    <m/>
  </r>
  <r>
    <s v="CO-24-019"/>
    <x v="0"/>
    <d v="2026-06-09T00:00:00"/>
    <x v="3"/>
    <x v="1"/>
    <s v="Perfiladora Wirgent"/>
    <n v="150"/>
    <n v="27"/>
    <n v="4050"/>
    <s v="DIESEL"/>
    <m/>
  </r>
  <r>
    <s v="CO-24-020"/>
    <x v="0"/>
    <d v="2026-06-09T00:00:00"/>
    <x v="3"/>
    <x v="1"/>
    <s v="Petrolizadora Elton"/>
    <n v="50"/>
    <n v="27"/>
    <n v="1350"/>
    <s v="DIESEL"/>
    <m/>
  </r>
  <r>
    <s v="CO-24-021"/>
    <x v="0"/>
    <d v="2026-06-09T00:00:00"/>
    <x v="3"/>
    <x v="1"/>
    <s v="Vogele Guion"/>
    <n v="136"/>
    <n v="27"/>
    <n v="3672"/>
    <s v="DIESEL"/>
    <m/>
  </r>
  <r>
    <s v="CO-24-022"/>
    <x v="0"/>
    <d v="2026-06-09T00:00:00"/>
    <x v="3"/>
    <x v="1"/>
    <s v="Tandem Hamm"/>
    <n v="30"/>
    <n v="27"/>
    <n v="810"/>
    <s v="DIESEL"/>
    <m/>
  </r>
  <r>
    <s v="CO-24-023"/>
    <x v="0"/>
    <d v="2026-06-09T00:00:00"/>
    <x v="3"/>
    <x v="1"/>
    <s v="Neuomatico"/>
    <n v="30"/>
    <n v="27"/>
    <n v="810"/>
    <s v="DIESEL"/>
    <m/>
  </r>
  <r>
    <s v="CO-24-024"/>
    <x v="0"/>
    <d v="2026-06-09T00:00:00"/>
    <x v="3"/>
    <x v="1"/>
    <s v="Buggy Trasnfer"/>
    <n v="100"/>
    <n v="27"/>
    <n v="2700"/>
    <s v="DIESEL"/>
    <m/>
  </r>
  <r>
    <s v="CO-24-025"/>
    <x v="0"/>
    <d v="2026-06-09T00:00:00"/>
    <x v="3"/>
    <x v="1"/>
    <s v="Retroexcavadora Jonh Deere"/>
    <n v="60"/>
    <n v="27"/>
    <n v="1620"/>
    <s v="DIESEL"/>
    <m/>
  </r>
  <r>
    <s v="CO-24-026"/>
    <x v="0"/>
    <d v="2026-06-09T00:00:00"/>
    <x v="3"/>
    <x v="1"/>
    <s v="Compresor"/>
    <n v="20"/>
    <n v="27"/>
    <n v="540"/>
    <s v="DIESEL"/>
    <m/>
  </r>
  <r>
    <s v="CO-24-027"/>
    <x v="0"/>
    <d v="2026-06-09T00:00:00"/>
    <x v="1"/>
    <x v="1"/>
    <s v="Retroexcavadora"/>
    <n v="70"/>
    <n v="27"/>
    <n v="1890"/>
    <s v="DIESEL"/>
    <m/>
  </r>
  <r>
    <s v="CO-24-028"/>
    <x v="0"/>
    <d v="2026-06-09T00:00:00"/>
    <x v="1"/>
    <x v="1"/>
    <s v="Doble Rodillo"/>
    <n v="50"/>
    <n v="27"/>
    <n v="1350"/>
    <s v="DIESEL"/>
    <m/>
  </r>
  <r>
    <s v="CO-24-029"/>
    <x v="0"/>
    <d v="2026-06-09T00:00:00"/>
    <x v="1"/>
    <x v="1"/>
    <s v="Petrolizadora"/>
    <n v="60"/>
    <n v="27"/>
    <n v="1620"/>
    <s v="DIESEL"/>
    <m/>
  </r>
  <r>
    <s v="CO-24-030"/>
    <x v="0"/>
    <d v="2026-06-10T00:00:00"/>
    <x v="0"/>
    <x v="1"/>
    <s v="Barredora"/>
    <n v="20"/>
    <n v="27"/>
    <n v="540"/>
    <s v="DIESEL"/>
    <m/>
  </r>
  <r>
    <s v="CO-24-031"/>
    <x v="0"/>
    <d v="2026-06-10T00:00:00"/>
    <x v="0"/>
    <x v="1"/>
    <s v="Perfiladora"/>
    <n v="250"/>
    <n v="27"/>
    <n v="6750"/>
    <s v="DIESEL"/>
    <m/>
  </r>
  <r>
    <s v="CO-24-032"/>
    <x v="0"/>
    <d v="2026-06-10T00:00:00"/>
    <x v="0"/>
    <x v="1"/>
    <s v="Retroexcavadora"/>
    <n v="30"/>
    <n v="27"/>
    <n v="810"/>
    <s v="DIESEL"/>
    <m/>
  </r>
  <r>
    <s v="CO-24-033"/>
    <x v="0"/>
    <d v="2026-06-10T00:00:00"/>
    <x v="2"/>
    <x v="1"/>
    <s v="Bidones"/>
    <n v="100"/>
    <n v="27"/>
    <n v="2700"/>
    <s v="DIESEL"/>
    <m/>
  </r>
  <r>
    <s v="CO-24-034"/>
    <x v="0"/>
    <d v="2026-06-11T00:00:00"/>
    <x v="0"/>
    <x v="1"/>
    <s v="Compactador"/>
    <n v="30"/>
    <n v="27"/>
    <n v="810"/>
    <s v="DIESEL"/>
    <m/>
  </r>
  <r>
    <s v="CO-24-035"/>
    <x v="0"/>
    <d v="2026-06-11T00:00:00"/>
    <x v="0"/>
    <x v="1"/>
    <s v="Neuomatico"/>
    <n v="30"/>
    <n v="27"/>
    <n v="810"/>
    <s v="DIESEL"/>
    <m/>
  </r>
  <r>
    <s v="CO-24-036"/>
    <x v="0"/>
    <d v="2026-06-11T00:00:00"/>
    <x v="0"/>
    <x v="1"/>
    <s v="Vogel"/>
    <n v="136"/>
    <n v="27"/>
    <n v="3672"/>
    <s v="DIESEL"/>
    <m/>
  </r>
  <r>
    <s v="CO-24-037"/>
    <x v="0"/>
    <d v="2026-06-11T00:00:00"/>
    <x v="0"/>
    <x v="1"/>
    <s v="Barredora"/>
    <n v="20"/>
    <n v="27"/>
    <n v="540"/>
    <s v="DIESEL"/>
    <m/>
  </r>
  <r>
    <s v="CO-24-038"/>
    <x v="0"/>
    <d v="2026-06-11T00:00:00"/>
    <x v="0"/>
    <x v="1"/>
    <s v="Retroexcavadora"/>
    <n v="20"/>
    <n v="27"/>
    <n v="540"/>
    <s v="DIESEL"/>
    <m/>
  </r>
  <r>
    <s v="CO-24-039"/>
    <x v="0"/>
    <d v="2026-06-11T00:00:00"/>
    <x v="0"/>
    <x v="1"/>
    <s v="Maxilihgs"/>
    <n v="20"/>
    <n v="27"/>
    <n v="540"/>
    <s v="DIESEL"/>
    <m/>
  </r>
  <r>
    <s v="CO-24-040"/>
    <x v="0"/>
    <d v="2026-06-11T00:00:00"/>
    <x v="7"/>
    <x v="1"/>
    <s v="PayLoder"/>
    <n v="238"/>
    <n v="27"/>
    <n v="6426"/>
    <s v="DIESEL"/>
    <m/>
  </r>
  <r>
    <s v="CO-24-041"/>
    <x v="0"/>
    <d v="2026-06-11T00:00:00"/>
    <x v="1"/>
    <x v="1"/>
    <s v="Petrolizadora"/>
    <n v="80"/>
    <n v="27"/>
    <n v="2160"/>
    <s v="DIESEL"/>
    <m/>
  </r>
  <r>
    <s v="CO-24-042"/>
    <x v="0"/>
    <d v="2026-06-11T00:00:00"/>
    <x v="1"/>
    <x v="1"/>
    <s v="Compresor"/>
    <n v="50"/>
    <n v="27"/>
    <n v="1350"/>
    <s v="DIESEL"/>
    <m/>
  </r>
  <r>
    <s v="CO-24-043"/>
    <x v="0"/>
    <d v="2026-06-11T00:00:00"/>
    <x v="1"/>
    <x v="1"/>
    <s v="Retroexcavadora"/>
    <n v="70"/>
    <n v="27"/>
    <n v="1890"/>
    <s v="DIESEL"/>
    <m/>
  </r>
  <r>
    <s v="CO-24-044"/>
    <x v="0"/>
    <d v="2026-06-11T00:00:00"/>
    <x v="1"/>
    <x v="1"/>
    <s v="Camion de Impacto"/>
    <n v="80"/>
    <n v="27"/>
    <n v="2160"/>
    <s v="DIESEL"/>
    <m/>
  </r>
  <r>
    <s v="CO-24-045"/>
    <x v="0"/>
    <d v="2026-06-11T00:00:00"/>
    <x v="1"/>
    <x v="1"/>
    <s v="Vogel"/>
    <n v="185"/>
    <n v="27"/>
    <n v="4995"/>
    <s v="DIESEL"/>
    <m/>
  </r>
  <r>
    <s v="CO-24-046"/>
    <x v="0"/>
    <d v="2026-06-11T00:00:00"/>
    <x v="1"/>
    <x v="1"/>
    <s v="Doble Rodillo"/>
    <n v="50"/>
    <n v="27"/>
    <n v="1350"/>
    <s v="DIESEL"/>
    <m/>
  </r>
  <r>
    <s v="CO-24-047"/>
    <x v="0"/>
    <d v="2026-06-11T00:00:00"/>
    <x v="1"/>
    <x v="1"/>
    <s v="Doble Rodillo"/>
    <n v="40"/>
    <n v="27"/>
    <n v="1080"/>
    <s v="DIESEL"/>
    <m/>
  </r>
  <r>
    <s v="CO-24-048"/>
    <x v="0"/>
    <d v="2026-06-11T00:00:00"/>
    <x v="1"/>
    <x v="1"/>
    <s v="Neuomatico"/>
    <n v="40"/>
    <n v="27"/>
    <n v="1080"/>
    <s v="DIESEL"/>
    <m/>
  </r>
  <r>
    <s v="CO-24-049"/>
    <x v="0"/>
    <d v="2026-06-12T00:00:00"/>
    <x v="3"/>
    <x v="1"/>
    <s v="Tandem Hamm"/>
    <n v="32"/>
    <n v="27"/>
    <n v="864"/>
    <s v="DIESEL"/>
    <m/>
  </r>
  <r>
    <s v="CO-24-050"/>
    <x v="0"/>
    <d v="2026-06-12T00:00:00"/>
    <x v="3"/>
    <x v="1"/>
    <s v="Neuomatico Dynapac"/>
    <n v="30"/>
    <n v="27"/>
    <n v="810"/>
    <s v="DIESEL"/>
    <m/>
  </r>
  <r>
    <s v="CO-24-051"/>
    <x v="0"/>
    <d v="2026-06-12T00:00:00"/>
    <x v="3"/>
    <x v="1"/>
    <s v="Barredora Broce"/>
    <n v="30"/>
    <n v="27"/>
    <n v="810"/>
    <s v="DIESEL"/>
    <m/>
  </r>
  <r>
    <s v="CO-24-052"/>
    <x v="0"/>
    <d v="2026-06-12T00:00:00"/>
    <x v="3"/>
    <x v="1"/>
    <s v="Retroexcavadora Jonh Deere"/>
    <n v="50"/>
    <n v="27"/>
    <n v="1350"/>
    <s v="DIESEL"/>
    <m/>
  </r>
  <r>
    <s v="CO-24-053"/>
    <x v="0"/>
    <d v="2026-06-12T00:00:00"/>
    <x v="3"/>
    <x v="1"/>
    <s v="Vogele Guion"/>
    <n v="120"/>
    <n v="27"/>
    <n v="3240"/>
    <s v="DIESEL"/>
    <m/>
  </r>
  <r>
    <s v="CO-24-054"/>
    <x v="0"/>
    <d v="2026-06-12T00:00:00"/>
    <x v="3"/>
    <x v="1"/>
    <s v="Petrolizadora Elton"/>
    <n v="40"/>
    <n v="27"/>
    <n v="1080"/>
    <s v="DIESEL"/>
    <m/>
  </r>
  <r>
    <s v="CO-24-055"/>
    <x v="0"/>
    <d v="2026-06-12T00:00:00"/>
    <x v="3"/>
    <x v="1"/>
    <s v="Perfiladora Wirgent"/>
    <n v="200"/>
    <n v="27"/>
    <n v="5400"/>
    <s v="DIESEL"/>
    <m/>
  </r>
  <r>
    <s v="CO-24-056"/>
    <x v="0"/>
    <d v="2026-06-12T00:00:00"/>
    <x v="0"/>
    <x v="1"/>
    <s v="Barredora"/>
    <n v="20"/>
    <n v="27"/>
    <n v="540"/>
    <s v="DIESEL"/>
    <m/>
  </r>
  <r>
    <s v="CO-24-057"/>
    <x v="0"/>
    <d v="2026-06-12T00:00:00"/>
    <x v="0"/>
    <x v="1"/>
    <s v="Neuomatico"/>
    <n v="30"/>
    <n v="27"/>
    <n v="810"/>
    <s v="DIESEL"/>
    <m/>
  </r>
  <r>
    <s v="CO-24-058"/>
    <x v="0"/>
    <d v="2026-06-12T00:00:00"/>
    <x v="0"/>
    <x v="1"/>
    <s v="Maxilihgs"/>
    <n v="20"/>
    <n v="27"/>
    <n v="540"/>
    <s v="DIESEL"/>
    <m/>
  </r>
  <r>
    <s v="CO-24-059"/>
    <x v="0"/>
    <d v="2026-06-12T00:00:00"/>
    <x v="0"/>
    <x v="1"/>
    <s v="Compactador"/>
    <n v="40"/>
    <n v="27"/>
    <n v="1080"/>
    <s v="DIESEL"/>
    <m/>
  </r>
  <r>
    <s v="CO-24-060"/>
    <x v="0"/>
    <d v="2026-06-12T00:00:00"/>
    <x v="0"/>
    <x v="1"/>
    <s v="Perfiladora"/>
    <n v="250"/>
    <n v="27"/>
    <n v="6750"/>
    <s v="DIESEL"/>
    <m/>
  </r>
  <r>
    <s v="CO-25-001"/>
    <x v="1"/>
    <d v="2026-06-15T00:00:00"/>
    <x v="0"/>
    <x v="1"/>
    <s v="PERFILADORA WIRGENT-W200i"/>
    <n v="200"/>
    <n v="27"/>
    <n v="5400"/>
    <s v="DIESEL"/>
    <m/>
  </r>
  <r>
    <s v="CO-25-002"/>
    <x v="1"/>
    <d v="2026-06-15T00:00:00"/>
    <x v="0"/>
    <x v="1"/>
    <s v="RETROEXCAVADORA JHONDEREE 310SK"/>
    <n v="40"/>
    <n v="27"/>
    <n v="1080"/>
    <s v="DIESEL"/>
    <m/>
  </r>
  <r>
    <s v="CO-25-003"/>
    <x v="1"/>
    <d v="2026-06-15T00:00:00"/>
    <x v="0"/>
    <x v="1"/>
    <s v="TANDEM DOBLE RODILLO / VIBROCOMPACTOR RODILLO CAT CB54"/>
    <n v="30"/>
    <n v="27"/>
    <n v="810"/>
    <s v="DIESEL"/>
    <m/>
  </r>
  <r>
    <s v="CO-25-004"/>
    <x v="1"/>
    <d v="2026-06-15T00:00:00"/>
    <x v="0"/>
    <x v="1"/>
    <s v="NEUMATICO VOLVO PT-240R"/>
    <n v="50"/>
    <n v="27"/>
    <n v="1350"/>
    <s v="DIESEL"/>
    <m/>
  </r>
  <r>
    <s v="CO-25-005"/>
    <x v="1"/>
    <d v="2026-06-15T00:00:00"/>
    <x v="1"/>
    <x v="1"/>
    <s v="PAVIMENTADORA  VOGELE 1800-3 i"/>
    <n v="73"/>
    <n v="27"/>
    <n v="1971"/>
    <s v="DIESEL"/>
    <m/>
  </r>
  <r>
    <s v="CO-25-006"/>
    <x v="1"/>
    <d v="2026-06-15T00:00:00"/>
    <x v="0"/>
    <x v="1"/>
    <s v="PAVIMENTADORA  VOGELE SJ 1800-3"/>
    <n v="99"/>
    <n v="27"/>
    <n v="2673"/>
    <s v="DIESEL"/>
    <m/>
  </r>
  <r>
    <s v="CO-25-007"/>
    <x v="1"/>
    <d v="2026-06-15T00:00:00"/>
    <x v="0"/>
    <x v="1"/>
    <s v="PETROLIZADORA    INTERNATIONAL"/>
    <n v="50"/>
    <n v="27"/>
    <n v="1350"/>
    <s v="DIESEL"/>
    <m/>
  </r>
  <r>
    <s v="CO-25-008"/>
    <x v="1"/>
    <d v="2026-06-15T00:00:00"/>
    <x v="2"/>
    <x v="1"/>
    <s v="Bidones"/>
    <n v="70"/>
    <n v="27"/>
    <n v="1890"/>
    <s v="DIESEL"/>
    <m/>
  </r>
  <r>
    <s v="CO-25-009"/>
    <x v="1"/>
    <d v="2026-06-15T00:00:00"/>
    <x v="1"/>
    <x v="1"/>
    <s v="TANDEM DOBLE RODILLO / VIBROCOMPACTOR RODILLO CAT CB54"/>
    <n v="24"/>
    <n v="27"/>
    <n v="648"/>
    <s v="DIESEL"/>
    <m/>
  </r>
  <r>
    <s v="CO-25-010"/>
    <x v="1"/>
    <d v="2026-06-15T00:00:00"/>
    <x v="7"/>
    <x v="1"/>
    <s v="PayLoder"/>
    <n v="265"/>
    <n v="27"/>
    <n v="7155"/>
    <s v="DIESEL"/>
    <m/>
  </r>
  <r>
    <s v="CO-25-011"/>
    <x v="1"/>
    <d v="2026-06-15T00:00:00"/>
    <x v="2"/>
    <x v="1"/>
    <s v="DOBLE RODILLO/VIBROCOMPACTADOR DE RODILLOS HAMM 140HD"/>
    <n v="33"/>
    <n v="27"/>
    <n v="891"/>
    <s v="DIESEL"/>
    <m/>
  </r>
  <r>
    <s v="CO-25-012"/>
    <x v="1"/>
    <d v="2026-06-15T00:00:00"/>
    <x v="1"/>
    <x v="1"/>
    <s v="PETROLIZADORA    INTERNATIONAL"/>
    <n v="60"/>
    <n v="27"/>
    <n v="1620"/>
    <s v="DIESEL"/>
    <m/>
  </r>
  <r>
    <s v="CO-25-013"/>
    <x v="1"/>
    <d v="2026-06-15T00:00:00"/>
    <x v="1"/>
    <x v="1"/>
    <s v="BARREDORA LAYMOR SM400"/>
    <n v="52"/>
    <n v="27"/>
    <n v="1404"/>
    <s v="DIESEL"/>
    <m/>
  </r>
  <r>
    <s v="CO-25-014"/>
    <x v="1"/>
    <d v="2026-06-15T00:00:00"/>
    <x v="1"/>
    <x v="1"/>
    <s v="Limpieza"/>
    <n v="25"/>
    <n v="27"/>
    <n v="675"/>
    <s v="DIESEL"/>
    <m/>
  </r>
  <r>
    <s v="CO-25-015"/>
    <x v="1"/>
    <d v="2026-06-15T00:00:00"/>
    <x v="1"/>
    <x v="1"/>
    <s v="RETROEXCAVADORA JHONDEREE 310SK"/>
    <n v="55"/>
    <n v="27"/>
    <n v="1485"/>
    <s v="DIESEL"/>
    <m/>
  </r>
  <r>
    <s v="CO-25-016"/>
    <x v="1"/>
    <d v="2026-06-15T00:00:00"/>
    <x v="2"/>
    <x v="1"/>
    <s v="PERFILADORA RODATEC RX600E"/>
    <n v="200"/>
    <n v="27"/>
    <n v="5400"/>
    <s v="DIESEL"/>
    <m/>
  </r>
  <r>
    <s v="CO-25-017"/>
    <x v="1"/>
    <d v="2026-06-15T00:00:00"/>
    <x v="4"/>
    <x v="1"/>
    <s v="Generador"/>
    <n v="300"/>
    <n v="27"/>
    <n v="8100"/>
    <s v="DIESEL"/>
    <m/>
  </r>
  <r>
    <s v="CO-25-018"/>
    <x v="1"/>
    <d v="2026-06-15T00:00:00"/>
    <x v="4"/>
    <x v="1"/>
    <s v="PayLoder"/>
    <n v="100"/>
    <n v="27"/>
    <n v="2700"/>
    <s v="DIESEL"/>
    <m/>
  </r>
  <r>
    <s v="CO-25-019"/>
    <x v="1"/>
    <d v="2026-06-15T00:00:00"/>
    <x v="4"/>
    <x v="1"/>
    <s v="GENERADOR AMMANN"/>
    <n v="400"/>
    <n v="27"/>
    <n v="10800"/>
    <s v="DIESEL"/>
    <m/>
  </r>
  <r>
    <s v="CO-25-020"/>
    <x v="1"/>
    <d v="2026-06-16T00:00:00"/>
    <x v="0"/>
    <x v="1"/>
    <s v="PERFILADORA WIRGENT-W200i"/>
    <n v="200"/>
    <n v="27"/>
    <n v="5400"/>
    <s v="DIESEL"/>
    <m/>
  </r>
  <r>
    <s v="CO-25-021"/>
    <x v="1"/>
    <d v="2026-06-16T00:00:00"/>
    <x v="0"/>
    <x v="1"/>
    <s v="TANDEM DOBLE RODILLO / VIBROCOMPACTOR RODILLO CAT CB54"/>
    <n v="32"/>
    <n v="27"/>
    <n v="864"/>
    <s v="DIESEL"/>
    <m/>
  </r>
  <r>
    <s v="CO-25-022"/>
    <x v="1"/>
    <d v="2026-06-16T00:00:00"/>
    <x v="0"/>
    <x v="1"/>
    <s v="NEUMATICO VOLVO PT-240R"/>
    <n v="30"/>
    <n v="27"/>
    <n v="810"/>
    <s v="DIESEL"/>
    <m/>
  </r>
  <r>
    <s v="CO-25-023"/>
    <x v="1"/>
    <d v="2026-06-16T00:00:00"/>
    <x v="0"/>
    <x v="1"/>
    <s v="BARREDORA BROCE RJ350"/>
    <n v="30"/>
    <n v="27"/>
    <n v="810"/>
    <s v="DIESEL"/>
    <m/>
  </r>
  <r>
    <s v="CO-25-024"/>
    <x v="1"/>
    <d v="2026-06-16T00:00:00"/>
    <x v="0"/>
    <x v="1"/>
    <s v="PAVIMENTADORA  VOGELE SJ 1800-3"/>
    <n v="107"/>
    <n v="27"/>
    <n v="2889"/>
    <s v="DIESEL"/>
    <m/>
  </r>
  <r>
    <s v="CO-25-025"/>
    <x v="1"/>
    <d v="2026-06-16T00:00:00"/>
    <x v="0"/>
    <x v="1"/>
    <s v="RETROEXCAVADORA JHONDEREE 310SK"/>
    <n v="40"/>
    <n v="27"/>
    <n v="1080"/>
    <s v="DIESEL"/>
    <m/>
  </r>
  <r>
    <s v="CO-25-026"/>
    <x v="1"/>
    <d v="2026-06-16T00:00:00"/>
    <x v="0"/>
    <x v="1"/>
    <s v="PETROLIZADORA    INTERNATIONAL"/>
    <n v="50"/>
    <n v="27"/>
    <n v="1350"/>
    <s v="DIESEL"/>
    <m/>
  </r>
  <r>
    <s v="CO-25-027"/>
    <x v="1"/>
    <d v="2026-06-16T00:00:00"/>
    <x v="1"/>
    <x v="1"/>
    <s v="PIPA DE AGUA (IMPACTO 01) FORD"/>
    <n v="50"/>
    <n v="27"/>
    <n v="1350"/>
    <s v="DIESEL"/>
    <m/>
  </r>
  <r>
    <s v="CO-25-028"/>
    <x v="1"/>
    <d v="2026-06-16T00:00:00"/>
    <x v="7"/>
    <x v="1"/>
    <s v="PETROLIZADORA    INTERNATIONAL"/>
    <n v="50"/>
    <n v="27"/>
    <n v="1350"/>
    <s v="DIESEL"/>
    <m/>
  </r>
  <r>
    <s v="CO-25-029"/>
    <x v="1"/>
    <d v="2026-06-16T00:00:00"/>
    <x v="7"/>
    <x v="1"/>
    <s v="Bidones"/>
    <n v="1001"/>
    <n v="27"/>
    <n v="27027"/>
    <s v="DIESEL"/>
    <m/>
  </r>
  <r>
    <s v="CO-25-030"/>
    <x v="1"/>
    <d v="2026-06-16T00:00:00"/>
    <x v="1"/>
    <x v="1"/>
    <s v="PERFILADORA RODATEC RX600-4-4008"/>
    <n v="350"/>
    <n v="27"/>
    <n v="9450"/>
    <s v="DIESEL"/>
    <m/>
  </r>
  <r>
    <s v="CO-25-031"/>
    <x v="1"/>
    <d v="2026-06-16T00:00:00"/>
    <x v="2"/>
    <x v="1"/>
    <s v="PERFILADORA RODATEC RX600-4-4008"/>
    <n v="200"/>
    <n v="27"/>
    <n v="5400"/>
    <s v="DIESEL"/>
    <m/>
  </r>
  <r>
    <s v="CO-25-032"/>
    <x v="1"/>
    <d v="2026-06-16T00:00:00"/>
    <x v="1"/>
    <x v="1"/>
    <s v="PIPA DE AGUA (IMPACTO 01) FORD"/>
    <n v="50"/>
    <n v="27"/>
    <n v="1350"/>
    <s v="DIESEL"/>
    <m/>
  </r>
  <r>
    <s v="CO-25-033"/>
    <x v="1"/>
    <d v="2026-06-16T00:00:00"/>
    <x v="1"/>
    <x v="1"/>
    <s v="PAVIMENTADORA  VOGELE 1800-3 i"/>
    <n v="165"/>
    <n v="27"/>
    <n v="4455"/>
    <s v="DIESEL"/>
    <m/>
  </r>
  <r>
    <s v="CO-25-034"/>
    <x v="1"/>
    <d v="2026-06-17T00:00:00"/>
    <x v="0"/>
    <x v="1"/>
    <s v="PERFILADORA WIRGENT-W200i"/>
    <n v="200"/>
    <n v="27"/>
    <n v="5400"/>
    <s v="DIESEL"/>
    <m/>
  </r>
  <r>
    <s v="CO-25-035"/>
    <x v="1"/>
    <d v="2026-06-17T00:00:00"/>
    <x v="0"/>
    <x v="1"/>
    <s v="PAVIMENTADORA  VOGELE SJ 1800-3"/>
    <n v="120"/>
    <n v="27"/>
    <n v="3240"/>
    <s v="DIESEL"/>
    <m/>
  </r>
  <r>
    <s v="CO-25-036"/>
    <x v="1"/>
    <d v="2026-06-17T00:00:00"/>
    <x v="0"/>
    <x v="1"/>
    <s v="TANDEM DOBLE RODILLO / VIBROCOMPACTOR RODILLO CAT CB54"/>
    <n v="30"/>
    <n v="27"/>
    <n v="810"/>
    <s v="DIESEL"/>
    <m/>
  </r>
  <r>
    <s v="CO-25-037"/>
    <x v="1"/>
    <d v="2026-06-17T00:00:00"/>
    <x v="0"/>
    <x v="1"/>
    <s v="NEUMATICO VOLVO PT-240R"/>
    <n v="30"/>
    <n v="27"/>
    <n v="810"/>
    <s v="DIESEL"/>
    <m/>
  </r>
  <r>
    <s v="CO-25-038"/>
    <x v="1"/>
    <d v="2026-06-17T00:00:00"/>
    <x v="0"/>
    <x v="1"/>
    <s v="BARREDORA BROCE RJ350"/>
    <n v="28"/>
    <n v="27"/>
    <n v="756"/>
    <s v="DIESEL"/>
    <m/>
  </r>
  <r>
    <s v="CO-25-039"/>
    <x v="1"/>
    <d v="2026-06-17T00:00:00"/>
    <x v="0"/>
    <x v="1"/>
    <s v="RETROEXCAVADORA JHONDEREE 310SK"/>
    <n v="60"/>
    <n v="27"/>
    <n v="1620"/>
    <s v="DIESEL"/>
    <m/>
  </r>
  <r>
    <s v="CO-25-040"/>
    <x v="1"/>
    <d v="2026-06-17T00:00:00"/>
    <x v="1"/>
    <x v="1"/>
    <s v="IMPACTO FORD 4300"/>
    <n v="80"/>
    <n v="27"/>
    <n v="2160"/>
    <s v="DIESEL"/>
    <m/>
  </r>
  <r>
    <s v="CO-25-041"/>
    <x v="1"/>
    <d v="2026-06-17T00:00:00"/>
    <x v="2"/>
    <x v="1"/>
    <s v="TANDEM DOBLE RODILLO / VIBROCOMPACTOR RODILLO CAT CB54"/>
    <n v="20"/>
    <n v="27"/>
    <n v="540"/>
    <s v="DIESEL"/>
    <m/>
  </r>
  <r>
    <s v="CO-25-042"/>
    <x v="1"/>
    <d v="2026-06-17T00:00:00"/>
    <x v="4"/>
    <x v="1"/>
    <s v="Generador"/>
    <n v="100"/>
    <n v="27"/>
    <n v="2700"/>
    <s v="DIESEL"/>
    <m/>
  </r>
  <r>
    <s v="CO-25-043"/>
    <x v="1"/>
    <d v="2026-06-17T00:00:00"/>
    <x v="4"/>
    <x v="1"/>
    <s v="GENERADOR AMMANN"/>
    <n v="200"/>
    <n v="27"/>
    <n v="5400"/>
    <s v="DIESEL"/>
    <m/>
  </r>
  <r>
    <s v="CO-25-044"/>
    <x v="1"/>
    <d v="2026-06-18T00:00:00"/>
    <x v="0"/>
    <x v="1"/>
    <s v="PERFILADORA WIRGENT-W200i"/>
    <n v="200"/>
    <n v="27"/>
    <n v="5400"/>
    <s v="DIESEL"/>
    <m/>
  </r>
  <r>
    <s v="CO-25-045"/>
    <x v="1"/>
    <d v="2026-06-18T00:00:00"/>
    <x v="0"/>
    <x v="1"/>
    <s v="PAVIMENTADORA  VOGELE SJ 1800-3"/>
    <n v="115"/>
    <n v="27"/>
    <n v="3105"/>
    <s v="DIESEL"/>
    <m/>
  </r>
  <r>
    <s v="CO-25-046"/>
    <x v="1"/>
    <d v="2026-06-18T00:00:00"/>
    <x v="0"/>
    <x v="1"/>
    <s v="NEUMATICO VOLVO PT-240R"/>
    <n v="30"/>
    <n v="27"/>
    <n v="810"/>
    <s v="DIESEL"/>
    <m/>
  </r>
  <r>
    <s v="CO-25-047"/>
    <x v="1"/>
    <d v="2026-06-18T00:00:00"/>
    <x v="0"/>
    <x v="1"/>
    <s v="TANDEM DOBLE RODILLO / VIBROCOMPACTOR RODILLO CAT CB54"/>
    <n v="30"/>
    <n v="27"/>
    <n v="810"/>
    <s v="DIESEL"/>
    <m/>
  </r>
  <r>
    <s v="CO-25-048"/>
    <x v="1"/>
    <d v="2026-06-18T00:00:00"/>
    <x v="0"/>
    <x v="1"/>
    <s v="RETROEXCAVADORA JHONDEREE 310SK"/>
    <n v="30"/>
    <n v="27"/>
    <n v="810"/>
    <s v="DIESEL"/>
    <m/>
  </r>
  <r>
    <s v="CO-25-049"/>
    <x v="1"/>
    <d v="2026-06-18T00:00:00"/>
    <x v="0"/>
    <x v="1"/>
    <s v="PETROLIZADORA    INTERNATIONAL"/>
    <n v="50"/>
    <n v="27"/>
    <n v="1350"/>
    <s v="DIESEL"/>
    <m/>
  </r>
  <r>
    <s v="CO-25-050"/>
    <x v="1"/>
    <d v="2026-06-18T00:00:00"/>
    <x v="4"/>
    <x v="1"/>
    <s v="Generador"/>
    <n v="200"/>
    <n v="27"/>
    <n v="5400"/>
    <s v="DIESEL"/>
    <m/>
  </r>
  <r>
    <s v="CO-25-051"/>
    <x v="1"/>
    <d v="2026-06-18T00:00:00"/>
    <x v="4"/>
    <x v="1"/>
    <s v="MAXILIGHT"/>
    <n v="100"/>
    <n v="27"/>
    <n v="2700"/>
    <s v="DIESEL"/>
    <m/>
  </r>
  <r>
    <s v="CO-25-052"/>
    <x v="1"/>
    <d v="2026-06-18T00:00:00"/>
    <x v="4"/>
    <x v="1"/>
    <s v="Criba Roja"/>
    <n v="100"/>
    <n v="27"/>
    <n v="2700"/>
    <s v="DIESEL"/>
    <m/>
  </r>
  <r>
    <s v="CO-25-053"/>
    <x v="1"/>
    <d v="2026-06-18T00:00:00"/>
    <x v="4"/>
    <x v="1"/>
    <s v="PayLoder"/>
    <n v="100"/>
    <n v="27"/>
    <n v="2700"/>
    <s v="DIESEL"/>
    <m/>
  </r>
  <r>
    <s v="CO-25-054"/>
    <x v="1"/>
    <d v="2026-06-19T00:00:00"/>
    <x v="1"/>
    <x v="1"/>
    <s v="PETROLIZADORA    INTERNATIONAL"/>
    <n v="40"/>
    <n v="27"/>
    <n v="1080"/>
    <s v="DIESEL"/>
    <m/>
  </r>
  <r>
    <s v="CO-25-055"/>
    <x v="1"/>
    <d v="2026-06-19T00:00:00"/>
    <x v="8"/>
    <x v="1"/>
    <s v="PETROLIZADORA    INTERNATIONAL"/>
    <n v="40"/>
    <n v="27"/>
    <n v="1080"/>
    <s v="DIESEL"/>
    <m/>
  </r>
  <r>
    <s v="CO-25-056"/>
    <x v="1"/>
    <d v="2026-06-19T00:00:00"/>
    <x v="1"/>
    <x v="1"/>
    <s v="BARREDORA LAYMOR SM400"/>
    <n v="43"/>
    <n v="27"/>
    <n v="1161"/>
    <s v="DIESEL"/>
    <m/>
  </r>
  <r>
    <s v="CO-25-057"/>
    <x v="1"/>
    <d v="2026-06-19T00:00:00"/>
    <x v="1"/>
    <x v="1"/>
    <s v="TANDEM DOBLE RODILLO / VIBROCOMPACTOR RODILLO CAT CB54"/>
    <n v="50"/>
    <n v="27"/>
    <n v="1350"/>
    <s v="DIESEL"/>
    <m/>
  </r>
  <r>
    <s v="CO-25-058"/>
    <x v="1"/>
    <d v="2026-06-19T00:00:00"/>
    <x v="1"/>
    <x v="1"/>
    <s v="RETROEXCAVADORA JHONDEREE 310SK"/>
    <n v="80"/>
    <n v="27"/>
    <n v="2160"/>
    <s v="DIESEL"/>
    <m/>
  </r>
  <r>
    <s v="CO-25-059"/>
    <x v="1"/>
    <d v="2026-06-19T00:00:00"/>
    <x v="1"/>
    <x v="1"/>
    <s v="NEUMATICO / COMPACTADOR DE NEUMATICOS DINAPAC CP271"/>
    <n v="30"/>
    <n v="27"/>
    <n v="810"/>
    <s v="DIESEL"/>
    <m/>
  </r>
  <r>
    <s v="CO-25-060"/>
    <x v="1"/>
    <d v="2026-06-19T00:00:00"/>
    <x v="1"/>
    <x v="1"/>
    <s v="PAVIMENTADORA  VOGELE 1800-3 i"/>
    <n v="160"/>
    <n v="27"/>
    <n v="4320"/>
    <s v="DIESEL"/>
    <m/>
  </r>
  <r>
    <s v="CO-25-061"/>
    <x v="1"/>
    <d v="2026-06-19T00:00:00"/>
    <x v="1"/>
    <x v="1"/>
    <s v="PIPA DE AGUA (IMPACTO 01) FORD"/>
    <n v="50"/>
    <n v="27"/>
    <n v="1350"/>
    <s v="DIESEL"/>
    <m/>
  </r>
  <r>
    <s v="CO-25-062"/>
    <x v="1"/>
    <d v="2026-06-19T00:00:00"/>
    <x v="2"/>
    <x v="1"/>
    <s v="RETROEXCAVADORA CASE 580 N"/>
    <n v="60"/>
    <n v="27"/>
    <n v="1620"/>
    <s v="DIESEL"/>
    <m/>
  </r>
  <r>
    <s v="CO-25-063"/>
    <x v="1"/>
    <d v="2026-06-19T00:00:00"/>
    <x v="0"/>
    <x v="1"/>
    <s v="PAVIMENTADORA  VOGELE SJ 1800-3"/>
    <n v="120"/>
    <n v="27"/>
    <n v="3240"/>
    <s v="DIESEL"/>
    <m/>
  </r>
  <r>
    <s v="CO-25-064"/>
    <x v="1"/>
    <d v="2026-06-19T00:00:00"/>
    <x v="0"/>
    <x v="1"/>
    <s v="TANDEM DOBLE RODILLO / VIBROCOMPACTOR RODILLO CAT CB54"/>
    <n v="30"/>
    <n v="27"/>
    <n v="810"/>
    <s v="DIESEL"/>
    <m/>
  </r>
  <r>
    <s v="CO-25-065"/>
    <x v="1"/>
    <d v="2026-06-19T00:00:00"/>
    <x v="0"/>
    <x v="1"/>
    <s v="NEUMATICO VOLVO PT-240R"/>
    <n v="84"/>
    <n v="27"/>
    <n v="2268"/>
    <s v="DIESEL"/>
    <m/>
  </r>
  <r>
    <s v="CO-25-066"/>
    <x v="1"/>
    <d v="2026-06-19T00:00:00"/>
    <x v="0"/>
    <x v="1"/>
    <s v="RETROEXCAVADORA JHONDEREE 310SK"/>
    <n v="40"/>
    <n v="27"/>
    <n v="1080"/>
    <s v="DIESEL"/>
    <m/>
  </r>
  <r>
    <s v="CO-25-067"/>
    <x v="1"/>
    <d v="2026-06-19T00:00:00"/>
    <x v="0"/>
    <x v="1"/>
    <s v="BARREDORA BROCE RJ350"/>
    <n v="30"/>
    <n v="27"/>
    <n v="810"/>
    <s v="DIESEL"/>
    <m/>
  </r>
  <r>
    <s v="CO-25-068"/>
    <x v="1"/>
    <d v="2026-06-19T00:00:00"/>
    <x v="2"/>
    <x v="1"/>
    <s v="RETROEXCAVADORA CASE 580 N"/>
    <n v="50"/>
    <n v="27"/>
    <n v="1350"/>
    <s v="DIESEL"/>
    <m/>
  </r>
  <r>
    <s v="CO-25-069"/>
    <x v="1"/>
    <d v="2026-06-19T00:00:00"/>
    <x v="2"/>
    <x v="1"/>
    <s v="HOMBRE A BORDO"/>
    <n v="10"/>
    <n v="27"/>
    <n v="270"/>
    <s v="DIESEL"/>
    <m/>
  </r>
  <r>
    <s v="CO-26-001"/>
    <x v="2"/>
    <d v="2026-06-22T00:00:00"/>
    <x v="0"/>
    <x v="1"/>
    <s v="PAVIMENTADORA VOGELE 1800-3 I"/>
    <n v="106"/>
    <n v="27"/>
    <n v="2862"/>
    <s v="DIESEL"/>
    <m/>
  </r>
  <r>
    <s v="CO-26-002"/>
    <x v="2"/>
    <d v="2026-06-22T00:00:00"/>
    <x v="0"/>
    <x v="1"/>
    <s v="NEUMATICO VOLVO PT-240R"/>
    <n v="50"/>
    <n v="27"/>
    <n v="1350"/>
    <s v="DIESEL"/>
    <m/>
  </r>
  <r>
    <s v="CO-26-003"/>
    <x v="2"/>
    <d v="2026-06-22T00:00:00"/>
    <x v="0"/>
    <x v="1"/>
    <s v="DOBLE RODILLO/VIBROCOMPACTADOR DE RODILLOS HAMM 120HD VV"/>
    <n v="50"/>
    <n v="27"/>
    <n v="1350"/>
    <s v="DIESEL"/>
    <m/>
  </r>
  <r>
    <s v="CO-26-004"/>
    <x v="2"/>
    <d v="2026-06-22T00:00:00"/>
    <x v="0"/>
    <x v="1"/>
    <s v="RETROEXCAVADORA JHONDEREE 310 K"/>
    <n v="60"/>
    <n v="27"/>
    <n v="1620"/>
    <s v="DIESEL"/>
    <m/>
  </r>
  <r>
    <s v="CO-26-005"/>
    <x v="2"/>
    <d v="2026-06-22T00:00:00"/>
    <x v="0"/>
    <x v="1"/>
    <s v="PERFILADORA RODATEC RX600-4-4008"/>
    <n v="250"/>
    <n v="27"/>
    <n v="6750"/>
    <s v="DIESEL"/>
    <m/>
  </r>
  <r>
    <s v="CO-26-006"/>
    <x v="2"/>
    <d v="2026-06-22T00:00:00"/>
    <x v="1"/>
    <x v="1"/>
    <s v="PETROLIZADORA INTERNATIONAL"/>
    <n v="40"/>
    <n v="27"/>
    <n v="1080"/>
    <s v="DIESEL"/>
    <m/>
  </r>
  <r>
    <s v="CO-26-007"/>
    <x v="2"/>
    <d v="2026-06-22T00:00:00"/>
    <x v="8"/>
    <x v="1"/>
    <s v="PETROLIZADORA INTERNATIONAL"/>
    <n v="40"/>
    <n v="27"/>
    <n v="1080"/>
    <s v="DIESEL"/>
    <m/>
  </r>
  <r>
    <s v="CO-26-008"/>
    <x v="2"/>
    <d v="2026-06-22T00:00:00"/>
    <x v="2"/>
    <x v="1"/>
    <s v="BIDONES"/>
    <n v="110"/>
    <n v="27"/>
    <n v="2970"/>
    <s v="DIESEL"/>
    <m/>
  </r>
  <r>
    <s v="CO-26-009"/>
    <x v="2"/>
    <d v="2026-06-22T00:00:00"/>
    <x v="1"/>
    <x v="1"/>
    <s v="VIBROCOMPACTADOR CATERPILLAR CB66B"/>
    <n v="50"/>
    <n v="27"/>
    <n v="1350"/>
    <s v="DIESEL"/>
    <m/>
  </r>
  <r>
    <s v="CO-26-010"/>
    <x v="2"/>
    <d v="2026-06-22T00:00:00"/>
    <x v="0"/>
    <x v="1"/>
    <s v="PERFILADORA RODATEC RX600E"/>
    <n v="250"/>
    <n v="27"/>
    <n v="6750"/>
    <s v="DIESEL"/>
    <m/>
  </r>
  <r>
    <s v="CO-26-011"/>
    <x v="2"/>
    <d v="2026-06-22T00:00:00"/>
    <x v="1"/>
    <x v="1"/>
    <s v="NEUMATICO / COMPACTADOR DE NEUMATICOS DINAPAC CP271"/>
    <n v="50"/>
    <n v="27"/>
    <n v="1350"/>
    <s v="DIESEL"/>
    <m/>
  </r>
  <r>
    <s v="CO-26-012"/>
    <x v="2"/>
    <d v="2026-06-22T00:00:00"/>
    <x v="1"/>
    <x v="1"/>
    <s v="PAVIMENTADORA VOGELE SJ 1800-3"/>
    <n v="162"/>
    <n v="27"/>
    <n v="4374"/>
    <s v="DIESEL"/>
    <m/>
  </r>
  <r>
    <s v="CO-26-013"/>
    <x v="2"/>
    <d v="2026-06-22T00:00:00"/>
    <x v="1"/>
    <x v="1"/>
    <s v="PIPA DE AGUA (IMPACTO 01) FORD"/>
    <n v="50"/>
    <n v="27"/>
    <n v="1350"/>
    <s v="DIESEL"/>
    <m/>
  </r>
  <r>
    <s v="CO-26-014"/>
    <x v="2"/>
    <d v="2026-06-22T00:00:00"/>
    <x v="1"/>
    <x v="1"/>
    <s v="NEUMATICO / COMPACTADOR DE NEUMATICOS DINAPAC CP271"/>
    <n v="50"/>
    <n v="27"/>
    <n v="1350"/>
    <s v="DIESEL"/>
    <m/>
  </r>
  <r>
    <s v="CO-26-015"/>
    <x v="2"/>
    <d v="2026-06-23T00:00:00"/>
    <x v="7"/>
    <x v="1"/>
    <s v="PayLoder"/>
    <n v="275"/>
    <n v="27"/>
    <n v="7425"/>
    <s v="DIESEL"/>
    <m/>
  </r>
  <r>
    <s v="CO-26-016"/>
    <x v="2"/>
    <d v="2026-06-23T00:00:00"/>
    <x v="7"/>
    <x v="1"/>
    <s v="Limpieza"/>
    <n v="20"/>
    <n v="27"/>
    <n v="540"/>
    <s v="DIESEL"/>
    <m/>
  </r>
  <r>
    <s v="CO-26-017"/>
    <x v="2"/>
    <d v="2026-06-23T00:00:00"/>
    <x v="2"/>
    <x v="1"/>
    <s v="BIDONES"/>
    <n v="110"/>
    <n v="27"/>
    <n v="2970"/>
    <s v="DIESEL"/>
    <m/>
  </r>
  <r>
    <s v="CO-26-018"/>
    <x v="2"/>
    <d v="2026-06-23T00:00:00"/>
    <x v="7"/>
    <x v="1"/>
    <s v="PAVIMENTADORA VOGELE 1800-2 SJ"/>
    <n v="100"/>
    <n v="27"/>
    <n v="2700"/>
    <s v="DIESEL"/>
    <m/>
  </r>
  <r>
    <s v="CO-26-019"/>
    <x v="2"/>
    <d v="2026-06-23T00:00:00"/>
    <x v="1"/>
    <x v="1"/>
    <s v="RETROEXCAVADORA JHONDEREE 310 K"/>
    <n v="50"/>
    <n v="27"/>
    <n v="1350"/>
    <s v="DIESEL"/>
    <m/>
  </r>
  <r>
    <s v="CO-26-020"/>
    <x v="2"/>
    <d v="2026-06-23T00:00:00"/>
    <x v="2"/>
    <x v="1"/>
    <s v="PERFILADORA RODATEC RX600E"/>
    <n v="96"/>
    <n v="27"/>
    <n v="2592"/>
    <s v="DIESEL"/>
    <m/>
  </r>
  <r>
    <s v="CO-26-021"/>
    <x v="2"/>
    <d v="2026-06-23T00:00:00"/>
    <x v="0"/>
    <x v="1"/>
    <s v="PAVIMENTADORA  VOGELE SJ 1800-3"/>
    <n v="21"/>
    <n v="27"/>
    <n v="567"/>
    <s v="DIESEL"/>
    <m/>
  </r>
  <r>
    <s v="CO-26-022"/>
    <x v="2"/>
    <d v="2026-06-23T00:00:00"/>
    <x v="0"/>
    <x v="1"/>
    <s v="RETROEXCAVADORA JHONDEREE 310SK"/>
    <n v="50"/>
    <n v="27"/>
    <n v="1350"/>
    <s v="DIESEL"/>
    <m/>
  </r>
  <r>
    <s v="CO-26-023"/>
    <x v="2"/>
    <d v="2026-06-23T00:00:00"/>
    <x v="0"/>
    <x v="1"/>
    <s v="BARREDORA BROCE RJ350"/>
    <n v="31"/>
    <n v="27"/>
    <n v="837"/>
    <s v="DIESEL"/>
    <m/>
  </r>
  <r>
    <s v="CO-26-024"/>
    <x v="2"/>
    <d v="2026-06-23T00:00:00"/>
    <x v="4"/>
    <x v="1"/>
    <s v="GENERADOR AMMANN"/>
    <n v="100"/>
    <n v="27"/>
    <n v="2700"/>
    <s v="DIESEL"/>
    <m/>
  </r>
  <r>
    <s v="CO-26-025"/>
    <x v="2"/>
    <d v="2026-06-23T00:00:00"/>
    <x v="4"/>
    <x v="1"/>
    <s v="MAXILIGHT"/>
    <n v="50"/>
    <n v="27"/>
    <n v="1350"/>
    <s v="DIESEL"/>
    <m/>
  </r>
  <r>
    <s v="CO-26-026"/>
    <x v="2"/>
    <d v="2026-06-24T00:00:00"/>
    <x v="0"/>
    <x v="1"/>
    <s v="TANDEM DOBLE RODILLO / VIBROCOMPACTOR RODILLO CAT CB54"/>
    <n v="35"/>
    <n v="27"/>
    <n v="945"/>
    <s v="DIESEL"/>
    <m/>
  </r>
  <r>
    <s v="CO-26-027"/>
    <x v="2"/>
    <d v="2026-06-24T00:00:00"/>
    <x v="0"/>
    <x v="1"/>
    <s v="PAVIMENTADORA VOGELE SJ 1800-3"/>
    <n v="76"/>
    <n v="27"/>
    <n v="2052"/>
    <s v="DIESEL"/>
    <m/>
  </r>
  <r>
    <s v="CO-26-028"/>
    <x v="2"/>
    <d v="2026-06-24T00:00:00"/>
    <x v="0"/>
    <x v="1"/>
    <s v="TANDEM DOBLE RODILLO / VIBROCOMPACTOR RODILLO CAT CB54"/>
    <n v="40"/>
    <n v="27"/>
    <n v="1080"/>
    <s v="DIESEL"/>
    <m/>
  </r>
  <r>
    <s v="CO-26-029"/>
    <x v="2"/>
    <d v="2026-06-24T00:00:00"/>
    <x v="0"/>
    <x v="1"/>
    <s v="RETROEXCAVADORA JHONDEREE 310SK"/>
    <n v="40"/>
    <n v="27"/>
    <n v="1080"/>
    <s v="DIESEL"/>
    <m/>
  </r>
  <r>
    <s v="CO-26-030"/>
    <x v="2"/>
    <d v="2026-06-24T00:00:00"/>
    <x v="0"/>
    <x v="1"/>
    <s v="PERFILADORA RODATEC RX600-4-4008"/>
    <n v="200"/>
    <n v="27"/>
    <n v="5400"/>
    <s v="DIESEL"/>
    <m/>
  </r>
  <r>
    <s v="CO-26-031"/>
    <x v="2"/>
    <d v="2026-06-24T00:00:00"/>
    <x v="2"/>
    <x v="1"/>
    <s v="BIDONES"/>
    <n v="120"/>
    <n v="27"/>
    <n v="3240"/>
    <s v="DIESEL"/>
    <m/>
  </r>
  <r>
    <s v="CO-26-032"/>
    <x v="2"/>
    <d v="2026-06-24T00:00:00"/>
    <x v="0"/>
    <x v="1"/>
    <s v="NEUMATICO VOLVO PT-240R"/>
    <n v="50"/>
    <n v="27"/>
    <n v="1350"/>
    <s v="DIESEL"/>
    <m/>
  </r>
  <r>
    <s v="CO-26-033"/>
    <x v="2"/>
    <d v="2026-06-24T00:00:00"/>
    <x v="0"/>
    <x v="1"/>
    <s v="NEUMATICO / COMPACTADOR DE NEUMATICOS DINAPAC CP271"/>
    <n v="30"/>
    <n v="27"/>
    <n v="810"/>
    <s v="DIESEL"/>
    <m/>
  </r>
  <r>
    <s v="CO-26-034"/>
    <x v="2"/>
    <d v="2026-06-24T00:00:00"/>
    <x v="1"/>
    <x v="1"/>
    <s v="IMPACTO FORD 4300"/>
    <n v="129"/>
    <n v="27"/>
    <n v="3483"/>
    <s v="DIESEL"/>
    <m/>
  </r>
  <r>
    <s v="CO-26-035"/>
    <x v="2"/>
    <d v="2026-06-24T00:00:00"/>
    <x v="1"/>
    <x v="1"/>
    <s v="COMPRESOR  SULLIVAN PALATEK D2010"/>
    <n v="88"/>
    <n v="27"/>
    <n v="2376"/>
    <s v="DIESEL"/>
    <m/>
  </r>
  <r>
    <s v="CO-26-036"/>
    <x v="2"/>
    <d v="2026-06-24T00:00:00"/>
    <x v="1"/>
    <x v="1"/>
    <s v="PIPA DE AGUA (IMPACTO 01) FORD"/>
    <n v="90"/>
    <n v="27"/>
    <n v="2430"/>
    <s v="DIESEL"/>
    <m/>
  </r>
  <r>
    <s v="CO-26-037"/>
    <x v="2"/>
    <d v="2026-06-24T00:00:00"/>
    <x v="1"/>
    <x v="1"/>
    <s v="PETROLIZADORA    INTERNATIONAL"/>
    <n v="62"/>
    <n v="27"/>
    <n v="1674"/>
    <s v="DIESEL"/>
    <m/>
  </r>
  <r>
    <s v="CO-26-038"/>
    <x v="2"/>
    <d v="2026-06-24T00:00:00"/>
    <x v="8"/>
    <x v="1"/>
    <s v="PETROLIZADORA    INTERNATIONAL"/>
    <n v="62"/>
    <n v="27"/>
    <n v="1674"/>
    <s v="DIESEL"/>
    <m/>
  </r>
  <r>
    <s v="CO-26-039"/>
    <x v="2"/>
    <d v="2026-06-25T00:00:00"/>
    <x v="0"/>
    <x v="1"/>
    <s v="BARREDORA BROCE RJ350"/>
    <n v="26"/>
    <n v="27"/>
    <n v="702"/>
    <s v="DIESEL"/>
    <m/>
  </r>
  <r>
    <s v="CO-26-040"/>
    <x v="2"/>
    <d v="2026-06-25T00:00:00"/>
    <x v="0"/>
    <x v="1"/>
    <s v="PETROLIZADORA    INTERNATIONAL"/>
    <n v="50"/>
    <n v="27"/>
    <n v="1350"/>
    <s v="DIESEL"/>
    <m/>
  </r>
  <r>
    <s v="CO-26-041"/>
    <x v="2"/>
    <d v="2026-06-25T00:00:00"/>
    <x v="0"/>
    <x v="1"/>
    <s v="TANDEM DOBLE RODILLO / VIBROCOMPACTOR RODILLO CAT CB54"/>
    <n v="30"/>
    <n v="27"/>
    <n v="810"/>
    <s v="DIESEL"/>
    <m/>
  </r>
  <r>
    <s v="CO-26-042"/>
    <x v="2"/>
    <d v="2026-06-25T00:00:00"/>
    <x v="0"/>
    <x v="1"/>
    <s v="NEUMATICO / COMPACTADOR DE NEUMATICOS DINAPAC CP271"/>
    <n v="14"/>
    <n v="27"/>
    <n v="378"/>
    <s v="DIESEL"/>
    <m/>
  </r>
  <r>
    <s v="CO-26-043"/>
    <x v="2"/>
    <d v="2026-06-25T00:00:00"/>
    <x v="0"/>
    <x v="1"/>
    <s v="NEUMATICO VOLVO PT-240R"/>
    <n v="30"/>
    <n v="27"/>
    <n v="810"/>
    <s v="DIESEL"/>
    <m/>
  </r>
  <r>
    <s v="CO-26-044"/>
    <x v="2"/>
    <d v="2026-06-25T00:00:00"/>
    <x v="2"/>
    <x v="1"/>
    <s v="BIDONES"/>
    <n v="120"/>
    <n v="27"/>
    <n v="3240"/>
    <s v="DIESEL"/>
    <m/>
  </r>
  <r>
    <s v="CO-26-045"/>
    <x v="2"/>
    <d v="2026-06-25T00:00:00"/>
    <x v="7"/>
    <x v="1"/>
    <s v="PETROLIZADORA    INTERNATIONAL"/>
    <n v="160"/>
    <n v="27"/>
    <n v="4320"/>
    <s v="DIESEL"/>
    <m/>
  </r>
  <r>
    <s v="CO-26-046"/>
    <x v="2"/>
    <d v="2026-06-25T00:00:00"/>
    <x v="1"/>
    <x v="1"/>
    <s v="PERFILADORA RODATEC RX600-4-4008"/>
    <n v="140"/>
    <n v="27"/>
    <n v="3780"/>
    <s v="DIESEL"/>
    <m/>
  </r>
  <r>
    <s v="CO-26-047"/>
    <x v="2"/>
    <d v="2026-06-25T00:00:00"/>
    <x v="7"/>
    <x v="1"/>
    <s v="PAVIMENTADORA  VOGELE 1800-2 SJ"/>
    <n v="222"/>
    <n v="27"/>
    <n v="5994"/>
    <s v="DIESEL"/>
    <m/>
  </r>
  <r>
    <s v="CO-26-048"/>
    <x v="2"/>
    <d v="2026-06-25T00:00:00"/>
    <x v="7"/>
    <x v="1"/>
    <s v="PayLoder"/>
    <n v="217"/>
    <n v="27"/>
    <n v="5859"/>
    <s v="DIESEL"/>
    <m/>
  </r>
  <r>
    <s v="CO-26-049"/>
    <x v="2"/>
    <d v="2026-06-25T00:00:00"/>
    <x v="7"/>
    <x v="1"/>
    <s v="BIDONES"/>
    <n v="850"/>
    <n v="27"/>
    <n v="22950"/>
    <s v="DIESEL"/>
    <m/>
  </r>
  <r>
    <s v="CO-26-050"/>
    <x v="2"/>
    <d v="2026-06-25T00:00:00"/>
    <x v="1"/>
    <x v="1"/>
    <s v="RETROEXCAVADORA JHONDEREE 310SK"/>
    <n v="50"/>
    <n v="27"/>
    <n v="1350"/>
    <s v="DIESEL"/>
    <m/>
  </r>
  <r>
    <s v="CO-26-051"/>
    <x v="2"/>
    <d v="2026-06-25T00:00:00"/>
    <x v="1"/>
    <x v="1"/>
    <s v="BARREDORA LAYMOR SM400"/>
    <n v="50"/>
    <n v="27"/>
    <n v="1350"/>
    <s v="DIESEL"/>
    <m/>
  </r>
  <r>
    <s v="CO-26-052"/>
    <x v="2"/>
    <d v="2026-06-25T00:00:00"/>
    <x v="1"/>
    <x v="1"/>
    <s v="PAVIMENTADORA  VOGELE 1800-3 i"/>
    <n v="177"/>
    <n v="27"/>
    <n v="4779"/>
    <s v="DIESEL"/>
    <m/>
  </r>
  <r>
    <s v="CO-26-053"/>
    <x v="2"/>
    <d v="2026-06-25T00:00:00"/>
    <x v="4"/>
    <x v="1"/>
    <s v="GENERADOR AMMANN"/>
    <n v="100"/>
    <n v="27"/>
    <n v="2700"/>
    <s v="DIESEL"/>
    <m/>
  </r>
  <r>
    <s v="CO-26-054"/>
    <x v="2"/>
    <d v="2026-06-26T00:00:00"/>
    <x v="2"/>
    <x v="1"/>
    <s v="MOTOCONFORMADORA RENTADA"/>
    <n v="90"/>
    <n v="27"/>
    <n v="2430"/>
    <s v="DIESEL"/>
    <m/>
  </r>
  <r>
    <s v="CO-26-055"/>
    <x v="2"/>
    <d v="2026-06-26T00:00:00"/>
    <x v="2"/>
    <x v="1"/>
    <s v="RETROEXCAVADORA CASE 580 N"/>
    <n v="48"/>
    <n v="27"/>
    <n v="1296"/>
    <s v="DIESEL"/>
    <m/>
  </r>
  <r>
    <s v="CO-26-056"/>
    <x v="2"/>
    <d v="2026-06-26T00:00:00"/>
    <x v="0"/>
    <x v="1"/>
    <s v="TANDEM DOBLE RODILLO / VIBROCOMPACTOR RODILLO CAT CB54"/>
    <n v="40"/>
    <n v="27"/>
    <n v="1080"/>
    <s v="DIESEL"/>
    <m/>
  </r>
  <r>
    <s v="CO-26-057"/>
    <x v="2"/>
    <d v="2026-06-26T00:00:00"/>
    <x v="0"/>
    <x v="1"/>
    <s v="NEUMATICO VOLVO PT-240R"/>
    <n v="30"/>
    <n v="27"/>
    <n v="810"/>
    <s v="DIESEL"/>
    <m/>
  </r>
  <r>
    <s v="CO-26-058"/>
    <x v="2"/>
    <d v="2026-06-26T00:00:00"/>
    <x v="0"/>
    <x v="1"/>
    <s v="NEUMATICO / COMPACTADOR DE NEUMATICOS DINAPAC CP271"/>
    <n v="16"/>
    <n v="27"/>
    <n v="432"/>
    <s v="DIESEL"/>
    <m/>
  </r>
  <r>
    <s v="CO-26-059"/>
    <x v="2"/>
    <d v="2026-06-26T00:00:00"/>
    <x v="0"/>
    <x v="1"/>
    <s v="PAVIMENTADORA  VOGELE SJ 1800-3"/>
    <n v="120"/>
    <n v="27"/>
    <n v="3240"/>
    <s v="DIESEL"/>
    <m/>
  </r>
  <r>
    <s v="CO-26-060"/>
    <x v="2"/>
    <d v="2026-06-26T00:00:00"/>
    <x v="0"/>
    <x v="1"/>
    <s v="TANDEM DOBLE RODILLO / VIBROCOMPACTOR RODILLO CAT CB54"/>
    <n v="32"/>
    <n v="27"/>
    <n v="864"/>
    <s v="DIESEL"/>
    <m/>
  </r>
  <r>
    <s v="CO-26-061"/>
    <x v="2"/>
    <d v="2026-06-26T00:00:00"/>
    <x v="0"/>
    <x v="1"/>
    <s v="RETROEXCAVADORA JHONDEREE 310SK"/>
    <n v="40"/>
    <n v="27"/>
    <n v="1080"/>
    <s v="DIESEL"/>
    <m/>
  </r>
  <r>
    <s v="CO-26-062"/>
    <x v="2"/>
    <d v="2026-06-26T00:00:00"/>
    <x v="1"/>
    <x v="1"/>
    <s v="PETROLIZADORA    INTERNATIONAL"/>
    <n v="41"/>
    <n v="27"/>
    <n v="1107"/>
    <s v="DIESEL"/>
    <m/>
  </r>
  <r>
    <s v="CO-26-063"/>
    <x v="2"/>
    <d v="2026-06-26T00:00:00"/>
    <x v="0"/>
    <x v="1"/>
    <s v="PERFILADORA RODATEC RX600E"/>
    <n v="329"/>
    <n v="27"/>
    <n v="8883"/>
    <s v="DIESEL"/>
    <m/>
  </r>
  <r>
    <s v="CO-26-064"/>
    <x v="2"/>
    <d v="2026-06-26T00:00:00"/>
    <x v="2"/>
    <x v="1"/>
    <s v="BIDONES"/>
    <n v="480"/>
    <n v="27"/>
    <n v="12960"/>
    <s v="DIESEL"/>
    <m/>
  </r>
  <r>
    <s v="CO-26-065"/>
    <x v="2"/>
    <d v="2026-06-26T00:00:00"/>
    <x v="2"/>
    <x v="1"/>
    <s v="MOTOCONFORMADORA RENTADA"/>
    <n v="220"/>
    <n v="27"/>
    <n v="5940"/>
    <s v="DIESEL"/>
    <m/>
  </r>
  <r>
    <s v="CO-26-066"/>
    <x v="2"/>
    <d v="2026-06-26T00:00:00"/>
    <x v="2"/>
    <x v="1"/>
    <s v="DOBLE RODILLO/VIBROCOMPACTADOR DE RODILLOS HAMM 140HD"/>
    <n v="80"/>
    <n v="27"/>
    <n v="2160"/>
    <s v="DIESEL"/>
    <m/>
  </r>
  <r>
    <s v="CO-26-067"/>
    <x v="2"/>
    <d v="2026-06-26T00:00:00"/>
    <x v="2"/>
    <x v="1"/>
    <s v="RETROEXCAVADORA CASE 580 N"/>
    <n v="80"/>
    <n v="27"/>
    <n v="2160"/>
    <s v="DIESEL"/>
    <m/>
  </r>
  <r>
    <s v="CO-26-068"/>
    <x v="2"/>
    <d v="2026-06-26T00:00:00"/>
    <x v="0"/>
    <x v="1"/>
    <s v="PERFILADORA RODATEC RX600E"/>
    <n v="200"/>
    <n v="27"/>
    <n v="5400"/>
    <s v="DIESEL"/>
    <m/>
  </r>
  <r>
    <s v="CO-26-069"/>
    <x v="2"/>
    <d v="2026-06-26T00:00:00"/>
    <x v="4"/>
    <x v="1"/>
    <s v="GENERADOR AMMANN"/>
    <n v="200"/>
    <n v="27"/>
    <n v="5400"/>
    <s v="DIESEL"/>
    <m/>
  </r>
  <r>
    <s v="CO-26-070"/>
    <x v="2"/>
    <d v="2026-06-27T00:00:00"/>
    <x v="0"/>
    <x v="1"/>
    <s v="BARREDORA BROCE RJ350"/>
    <n v="24"/>
    <n v="27"/>
    <n v="648"/>
    <s v="DIESEL"/>
    <m/>
  </r>
  <r>
    <s v="CO-26-071"/>
    <x v="2"/>
    <d v="2026-06-27T00:00:00"/>
    <x v="0"/>
    <x v="1"/>
    <s v="PIPA DE AGUA (IMPACTO 01) FORD"/>
    <n v="50"/>
    <n v="27"/>
    <n v="1350"/>
    <s v="DIESEL"/>
    <m/>
  </r>
  <r>
    <s v="CO-26-072"/>
    <x v="2"/>
    <d v="2026-06-27T00:00:00"/>
    <x v="0"/>
    <x v="1"/>
    <s v="PERFILADORA RODATEC RX600E"/>
    <n v="118"/>
    <n v="27"/>
    <n v="3186"/>
    <s v="DIESEL"/>
    <m/>
  </r>
  <r>
    <s v="CO-26-073"/>
    <x v="2"/>
    <d v="2026-06-27T00:00:00"/>
    <x v="4"/>
    <x v="1"/>
    <s v="GENERADOR AMMANN"/>
    <n v="100"/>
    <n v="27"/>
    <n v="2700"/>
    <s v="DIESEL"/>
    <m/>
  </r>
  <r>
    <s v="CO-26-074"/>
    <x v="2"/>
    <d v="2026-06-27T00:00:00"/>
    <x v="4"/>
    <x v="1"/>
    <s v="Criba Roja"/>
    <n v="60"/>
    <n v="27"/>
    <n v="1620"/>
    <s v="DIESEL"/>
    <m/>
  </r>
  <r>
    <s v="CO-26-075"/>
    <x v="2"/>
    <d v="2026-06-27T00:00:00"/>
    <x v="4"/>
    <x v="1"/>
    <s v="MAXILIGHT"/>
    <n v="40"/>
    <n v="27"/>
    <n v="1080"/>
    <s v="DIESEL"/>
    <m/>
  </r>
  <r>
    <s v="CO-26-076"/>
    <x v="2"/>
    <d v="2026-06-27T00:00:00"/>
    <x v="4"/>
    <x v="1"/>
    <s v="PayLoder"/>
    <n v="200"/>
    <n v="27"/>
    <n v="5400"/>
    <s v="DIESEL"/>
    <m/>
  </r>
  <r>
    <s v="CO-26-077"/>
    <x v="2"/>
    <d v="2026-06-27T00:00:00"/>
    <x v="4"/>
    <x v="1"/>
    <s v="AUTOTANQUE(QUEMADOR)"/>
    <n v="200"/>
    <n v="27"/>
    <n v="5400"/>
    <s v="DIESEL"/>
    <m/>
  </r>
  <r>
    <s v="CO-27-001"/>
    <x v="3"/>
    <d v="2026-06-29T00:00:00"/>
    <x v="0"/>
    <x v="1"/>
    <s v="PAVIMENTADORA  VOGELE SJ 1800-3"/>
    <n v="102"/>
    <n v="27"/>
    <n v="2754"/>
    <s v="DIESEL"/>
    <m/>
  </r>
  <r>
    <s v="CO-27-002"/>
    <x v="3"/>
    <d v="2026-06-29T00:00:00"/>
    <x v="0"/>
    <x v="1"/>
    <s v="DOBLE RODILLO/VIBROCOMPACTADOR DE RODILLOS HAMM 120HD VV"/>
    <n v="41"/>
    <n v="27"/>
    <n v="1107"/>
    <s v="DIESEL"/>
    <m/>
  </r>
  <r>
    <s v="CO-27-003"/>
    <x v="3"/>
    <d v="2026-06-29T00:00:00"/>
    <x v="0"/>
    <x v="1"/>
    <s v="DOBLE RODILLO/VIBROCOMPACTADOR DE RODILLOS HAMM 140HD"/>
    <n v="23"/>
    <n v="27"/>
    <n v="621"/>
    <s v="DIESEL"/>
    <m/>
  </r>
  <r>
    <s v="CO-27-004"/>
    <x v="3"/>
    <d v="2026-06-29T00:00:00"/>
    <x v="0"/>
    <x v="1"/>
    <s v="RETROEXCAVADORA JHONDEREE 310SK"/>
    <n v="60"/>
    <n v="27"/>
    <n v="1620"/>
    <s v="DIESEL"/>
    <m/>
  </r>
  <r>
    <s v="CO-27-005"/>
    <x v="3"/>
    <d v="2026-06-29T00:00:00"/>
    <x v="0"/>
    <x v="1"/>
    <s v="PERFILADORA RODATEC RX600E"/>
    <n v="97"/>
    <n v="27"/>
    <n v="2619"/>
    <s v="DIESEL"/>
    <m/>
  </r>
  <r>
    <s v="CO-27-006"/>
    <x v="3"/>
    <d v="2026-06-29T00:00:00"/>
    <x v="1"/>
    <x v="1"/>
    <s v="PAVIMENTADORA  VOGELE 1800-3 i"/>
    <n v="178"/>
    <n v="27"/>
    <n v="4806"/>
    <s v="DIESEL"/>
    <m/>
  </r>
  <r>
    <s v="CO-27-007"/>
    <x v="3"/>
    <d v="2026-06-29T00:00:00"/>
    <x v="1"/>
    <x v="1"/>
    <s v="TANDEM DOBLE RODILLO / VIBROCOMPACTOR RODILLO CAT CB54"/>
    <n v="38"/>
    <n v="27"/>
    <n v="1026"/>
    <s v="DIESEL"/>
    <m/>
  </r>
  <r>
    <s v="CO-27-008"/>
    <x v="3"/>
    <d v="2026-06-29T00:00:00"/>
    <x v="0"/>
    <x v="1"/>
    <s v="PETROLIZADORA    INTERNATIONAL"/>
    <n v="50"/>
    <n v="27"/>
    <n v="1350"/>
    <s v="DIESEL"/>
    <m/>
  </r>
  <r>
    <s v="CO-27-009"/>
    <x v="3"/>
    <d v="2026-06-29T00:00:00"/>
    <x v="4"/>
    <x v="1"/>
    <s v="GENERADOR AMMANN"/>
    <n v="200"/>
    <n v="27"/>
    <n v="5400"/>
    <s v="DIESEL"/>
    <m/>
  </r>
  <r>
    <s v="CO-27-010"/>
    <x v="3"/>
    <d v="2026-06-29T00:00:00"/>
    <x v="4"/>
    <x v="1"/>
    <s v="GENERADOR AMMANN"/>
    <n v="80"/>
    <n v="27"/>
    <n v="2160"/>
    <s v="DIESEL"/>
    <m/>
  </r>
  <r>
    <s v="CO-27-011"/>
    <x v="3"/>
    <d v="2026-06-29T00:00:00"/>
    <x v="4"/>
    <x v="1"/>
    <s v="Generador"/>
    <n v="300"/>
    <n v="27"/>
    <n v="8100"/>
    <s v="DIESEL"/>
    <m/>
  </r>
  <r>
    <s v="CO-27-012"/>
    <x v="3"/>
    <d v="2026-06-29T00:00:00"/>
    <x v="1"/>
    <x v="1"/>
    <s v="TANDEM DOBLE RODILLO / VIBROCOMPACTOR RODILLO CAT CB54"/>
    <n v="38"/>
    <n v="27"/>
    <n v="1026"/>
    <s v="DIESEL"/>
    <m/>
  </r>
  <r>
    <s v="CO-27-013"/>
    <x v="3"/>
    <d v="2026-06-29T00:00:00"/>
    <x v="5"/>
    <x v="1"/>
    <s v="PayLoder"/>
    <n v="210"/>
    <n v="27"/>
    <n v="5670"/>
    <s v="DIESEL"/>
    <m/>
  </r>
  <r>
    <s v="CO-27-014"/>
    <x v="3"/>
    <d v="2026-06-29T00:00:00"/>
    <x v="5"/>
    <x v="1"/>
    <s v="CALDERA TRIASO"/>
    <n v="300"/>
    <n v="27"/>
    <n v="8100"/>
    <s v="DIESEL"/>
    <m/>
  </r>
  <r>
    <s v="CO-27-015"/>
    <x v="3"/>
    <d v="2026-06-29T00:00:00"/>
    <x v="8"/>
    <x v="1"/>
    <s v="PETROLIZADORA    INTERNATIONAL"/>
    <n v="60"/>
    <n v="27"/>
    <n v="1620"/>
    <s v="DIESEL"/>
    <m/>
  </r>
  <r>
    <s v="CO-27-016"/>
    <x v="3"/>
    <d v="2026-06-29T00:00:00"/>
    <x v="1"/>
    <x v="1"/>
    <s v="PETROLIZADORA    INTERNATIONAL"/>
    <n v="59"/>
    <n v="27"/>
    <n v="1593"/>
    <s v="DIESEL"/>
    <m/>
  </r>
  <r>
    <s v="CO-27-017"/>
    <x v="3"/>
    <d v="2026-06-29T00:00:00"/>
    <x v="1"/>
    <x v="1"/>
    <s v="PIPA DE AGUA (IMPACTO 01) FORD"/>
    <n v="94"/>
    <n v="27"/>
    <n v="2538"/>
    <s v="DIESEL"/>
    <m/>
  </r>
  <r>
    <s v="CO-27-018"/>
    <x v="3"/>
    <d v="2026-06-29T00:00:00"/>
    <x v="2"/>
    <x v="1"/>
    <s v="RETROEXCAVADORA JHONDEREE 310SK"/>
    <n v="45"/>
    <n v="27"/>
    <n v="1215"/>
    <s v="DIESEL"/>
    <m/>
  </r>
  <r>
    <s v="CO-27-019"/>
    <x v="3"/>
    <d v="2026-06-30T00:00:00"/>
    <x v="1"/>
    <x v="1"/>
    <s v="PERFILADORA RODATEC RX600-4-4008"/>
    <n v="400"/>
    <n v="27"/>
    <n v="10800"/>
    <s v="DIESEL"/>
    <m/>
  </r>
  <r>
    <s v="CO-27-020"/>
    <x v="3"/>
    <d v="2026-06-30T00:00:00"/>
    <x v="1"/>
    <x v="1"/>
    <s v="BARREDORA LAYMOR SM400"/>
    <n v="30"/>
    <n v="27"/>
    <n v="810"/>
    <s v="DIESEL"/>
    <m/>
  </r>
  <r>
    <s v="CO-27-021"/>
    <x v="3"/>
    <d v="2026-06-30T00:00:00"/>
    <x v="4"/>
    <x v="1"/>
    <s v="GENERADOR AMMANN"/>
    <n v="100"/>
    <n v="27"/>
    <n v="2700"/>
    <s v="DIESEL"/>
    <m/>
  </r>
  <r>
    <s v="CO-27-022"/>
    <x v="3"/>
    <d v="2026-06-30T00:00:00"/>
    <x v="9"/>
    <x v="1"/>
    <s v="NEUMATICO VOLVO PT-125R"/>
    <n v="50"/>
    <n v="27"/>
    <n v="1350"/>
    <s v="DIESEL"/>
    <m/>
  </r>
  <r>
    <s v="CO-27-023"/>
    <x v="3"/>
    <d v="2026-06-30T00:00:00"/>
    <x v="9"/>
    <x v="1"/>
    <s v="NEUMATICO / COMPACTADOR DE NEUMATICOS DINAPAC CP271"/>
    <n v="50"/>
    <n v="27"/>
    <n v="1350"/>
    <s v="DIESEL"/>
    <m/>
  </r>
  <r>
    <s v="CO-27-024"/>
    <x v="3"/>
    <d v="2026-06-30T00:00:00"/>
    <x v="9"/>
    <x v="1"/>
    <s v="CAMION DE SELLO"/>
    <n v="100"/>
    <n v="27"/>
    <n v="2700"/>
    <s v="DIESEL"/>
    <m/>
  </r>
  <r>
    <s v="CO-27-025"/>
    <x v="3"/>
    <d v="2026-06-30T00:00:00"/>
    <x v="1"/>
    <x v="1"/>
    <s v="Limpieza"/>
    <n v="29"/>
    <n v="27"/>
    <n v="783"/>
    <s v="DIESEL"/>
    <m/>
  </r>
  <r>
    <s v="CO-27-026"/>
    <x v="3"/>
    <d v="2026-07-01T00:00:00"/>
    <x v="0"/>
    <x v="1"/>
    <s v="DOBLE RODILLO/VIBROCOMPACTADOR DE RODILLOS HAMM 120HD VV"/>
    <n v="33"/>
    <n v="27"/>
    <n v="891"/>
    <s v="DIESEL"/>
    <m/>
  </r>
  <r>
    <s v="CO-27-027"/>
    <x v="3"/>
    <d v="2026-07-01T00:00:00"/>
    <x v="0"/>
    <x v="1"/>
    <s v="NEUMATICO / COMPACTADOR DE NEUMATICOS DINAPAC CP271"/>
    <n v="40"/>
    <n v="27"/>
    <n v="1080"/>
    <s v="DIESEL"/>
    <m/>
  </r>
  <r>
    <s v="CO-27-028"/>
    <x v="3"/>
    <d v="2026-07-01T00:00:00"/>
    <x v="0"/>
    <x v="1"/>
    <s v="DOBLE RODILLO/VIBROCOMPACTADOR DE RODILLOS HAMM 140HD"/>
    <n v="40"/>
    <n v="27"/>
    <n v="1080"/>
    <s v="DIESEL"/>
    <m/>
  </r>
  <r>
    <s v="CO-27-029"/>
    <x v="3"/>
    <d v="2026-07-01T00:00:00"/>
    <x v="0"/>
    <x v="1"/>
    <s v="NEUMATICO VOLVO PT-240R"/>
    <n v="40"/>
    <n v="27"/>
    <n v="1080"/>
    <s v="DIESEL"/>
    <m/>
  </r>
  <r>
    <s v="CO-27-030"/>
    <x v="3"/>
    <d v="2026-07-01T00:00:00"/>
    <x v="0"/>
    <x v="1"/>
    <s v="PAVIMENTADORA  VOGELE 1800-2 SJ"/>
    <n v="120"/>
    <n v="27"/>
    <n v="3240"/>
    <s v="DIESEL"/>
    <m/>
  </r>
  <r>
    <s v="CO-24-061"/>
    <x v="0"/>
    <d v="2026-06-08T00:00:00"/>
    <x v="0"/>
    <x v="1"/>
    <s v="(Captura_Marimba_M01) Neuomatico"/>
    <n v="30"/>
    <n v="28.3"/>
    <n v="849"/>
    <s v="DIESEL"/>
    <m/>
  </r>
  <r>
    <s v="CO-24-062"/>
    <x v="0"/>
    <d v="2026-06-08T00:00:00"/>
    <x v="0"/>
    <x v="1"/>
    <s v="(Captura_Marimba_M01) Compactador"/>
    <n v="32"/>
    <n v="28.3"/>
    <n v="905.6"/>
    <s v="DIESEL"/>
    <m/>
  </r>
  <r>
    <s v="CO-24-063"/>
    <x v="0"/>
    <d v="2026-06-08T00:00:00"/>
    <x v="0"/>
    <x v="1"/>
    <s v="(Captura_Marimba_M01) Perfiladora"/>
    <n v="277"/>
    <n v="28.3"/>
    <n v="7839.1"/>
    <s v="DIESEL"/>
    <m/>
  </r>
  <r>
    <s v="CO-24-064"/>
    <x v="0"/>
    <d v="2026-06-08T00:00:00"/>
    <x v="0"/>
    <x v="1"/>
    <s v="(Captura_Marimba_M01) Retroexcavadora"/>
    <n v="30"/>
    <n v="28.3"/>
    <n v="849"/>
    <s v="DIESEL"/>
    <m/>
  </r>
  <r>
    <s v="CO-24-065"/>
    <x v="0"/>
    <d v="2026-06-08T00:00:00"/>
    <x v="1"/>
    <x v="1"/>
    <s v="(Captura_Marimba_M01) Vogel"/>
    <n v="97"/>
    <n v="28.3"/>
    <n v="2745.1"/>
    <s v="DIESEL"/>
    <m/>
  </r>
  <r>
    <s v="CO-24-066"/>
    <x v="0"/>
    <d v="2026-06-08T00:00:00"/>
    <x v="3"/>
    <x v="1"/>
    <s v="(Captura_Marimba_M01) Perfiladora Wirgent"/>
    <n v="198"/>
    <n v="28.3"/>
    <n v="5603.4000000000005"/>
    <s v="DIESEL"/>
    <m/>
  </r>
  <r>
    <s v="CO-24-067"/>
    <x v="0"/>
    <d v="2026-06-08T00:00:00"/>
    <x v="3"/>
    <x v="1"/>
    <s v="(Captura_Marimba_M01) Maxilihgs"/>
    <n v="10"/>
    <n v="28.3"/>
    <n v="283"/>
    <s v="DIESEL"/>
    <m/>
  </r>
  <r>
    <s v="CO-24-068"/>
    <x v="0"/>
    <d v="2026-06-08T00:00:00"/>
    <x v="3"/>
    <x v="1"/>
    <s v="(Captura_Marimba_M01) Neuomatico Dynapac"/>
    <n v="27"/>
    <n v="28.3"/>
    <n v="764.1"/>
    <s v="DIESEL"/>
    <m/>
  </r>
  <r>
    <s v="CO-24-069"/>
    <x v="0"/>
    <d v="2026-06-08T00:00:00"/>
    <x v="3"/>
    <x v="1"/>
    <s v="(Captura_Marimba_M01) Compresor"/>
    <n v="30"/>
    <n v="28.3"/>
    <n v="849"/>
    <s v="DIESEL"/>
    <m/>
  </r>
  <r>
    <s v="CO-24-070"/>
    <x v="0"/>
    <d v="2026-06-08T00:00:00"/>
    <x v="3"/>
    <x v="1"/>
    <s v="(Captura_Marimba_M01) Retroexcavadora Jonh Deere"/>
    <n v="40"/>
    <n v="28.3"/>
    <n v="1132"/>
    <s v="DIESEL"/>
    <m/>
  </r>
  <r>
    <s v="CO-24-071"/>
    <x v="0"/>
    <d v="2026-06-08T00:00:00"/>
    <x v="3"/>
    <x v="1"/>
    <s v="(Captura_Marimba_M01) Vogele Guion"/>
    <n v="120"/>
    <n v="28.3"/>
    <n v="3396"/>
    <s v="DIESEL"/>
    <m/>
  </r>
  <r>
    <s v="CO-24-072"/>
    <x v="0"/>
    <d v="2026-06-08T00:00:00"/>
    <x v="3"/>
    <x v="1"/>
    <s v="(Captura_Marimba_M01) Petrolizadora Elton"/>
    <n v="30"/>
    <n v="28.3"/>
    <n v="849"/>
    <s v="DIESEL"/>
    <m/>
  </r>
  <r>
    <s v="CO-24-073"/>
    <x v="0"/>
    <d v="2026-06-09T00:00:00"/>
    <x v="3"/>
    <x v="1"/>
    <s v="(Captura_Marimba_M01) Barredora Broce"/>
    <n v="30"/>
    <n v="28.3"/>
    <n v="849"/>
    <s v="DIESEL"/>
    <m/>
  </r>
  <r>
    <s v="CO-24-074"/>
    <x v="0"/>
    <d v="2026-06-09T00:00:00"/>
    <x v="3"/>
    <x v="1"/>
    <s v="(Captura_Marimba_M01) Buggy Trasnfer"/>
    <n v="100"/>
    <n v="28.3"/>
    <n v="2830"/>
    <s v="DIESEL"/>
    <m/>
  </r>
  <r>
    <s v="CO-24-075"/>
    <x v="0"/>
    <d v="2026-06-09T00:00:00"/>
    <x v="3"/>
    <x v="1"/>
    <s v="(Captura_Marimba_M01) Tandem Hamm"/>
    <n v="30"/>
    <n v="28.3"/>
    <n v="849"/>
    <s v="DIESEL"/>
    <m/>
  </r>
  <r>
    <s v="CO-24-076"/>
    <x v="0"/>
    <d v="2026-06-09T00:00:00"/>
    <x v="3"/>
    <x v="1"/>
    <s v="(Captura_Marimba_M01) Perfiladora Wirgent"/>
    <n v="150"/>
    <n v="28.3"/>
    <n v="4245"/>
    <s v="DIESEL"/>
    <m/>
  </r>
  <r>
    <s v="CO-24-077"/>
    <x v="0"/>
    <d v="2026-06-09T00:00:00"/>
    <x v="3"/>
    <x v="1"/>
    <s v="(Captura_Marimba_M01) Petrolizadora Elton"/>
    <n v="50"/>
    <n v="28.3"/>
    <n v="1415"/>
    <s v="DIESEL"/>
    <m/>
  </r>
  <r>
    <s v="CO-24-078"/>
    <x v="0"/>
    <d v="2026-06-09T00:00:00"/>
    <x v="3"/>
    <x v="1"/>
    <s v="(Captura_Marimba_M01) Vogele Guion"/>
    <n v="136"/>
    <n v="28.3"/>
    <n v="3848.8"/>
    <s v="DIESEL"/>
    <m/>
  </r>
  <r>
    <s v="CO-24-079"/>
    <x v="0"/>
    <d v="2026-06-09T00:00:00"/>
    <x v="3"/>
    <x v="1"/>
    <s v="(Captura_Marimba_M01) Tandem Hamm"/>
    <n v="30"/>
    <n v="28.3"/>
    <n v="849"/>
    <s v="DIESEL"/>
    <m/>
  </r>
  <r>
    <s v="CO-24-080"/>
    <x v="0"/>
    <d v="2026-06-09T00:00:00"/>
    <x v="3"/>
    <x v="1"/>
    <s v="(Captura_Marimba_M01) Neuomatico"/>
    <n v="30"/>
    <n v="28.3"/>
    <n v="849"/>
    <s v="DIESEL"/>
    <m/>
  </r>
  <r>
    <s v="CO-24-081"/>
    <x v="0"/>
    <d v="2026-06-09T00:00:00"/>
    <x v="3"/>
    <x v="1"/>
    <s v="(Captura_Marimba_M01) Buggy Trasnfer"/>
    <n v="100"/>
    <n v="28.3"/>
    <n v="2830"/>
    <s v="DIESEL"/>
    <m/>
  </r>
  <r>
    <s v="CO-24-082"/>
    <x v="0"/>
    <d v="2026-06-09T00:00:00"/>
    <x v="3"/>
    <x v="1"/>
    <s v="(Captura_Marimba_M01) Retroexcavadora Jonh Deere"/>
    <n v="60"/>
    <n v="28.3"/>
    <n v="1698"/>
    <s v="DIESEL"/>
    <m/>
  </r>
  <r>
    <s v="CO-24-083"/>
    <x v="0"/>
    <d v="2026-06-09T00:00:00"/>
    <x v="3"/>
    <x v="1"/>
    <s v="(Captura_Marimba_M01) Compresor"/>
    <n v="20"/>
    <n v="28.3"/>
    <n v="566"/>
    <s v="DIESEL"/>
    <m/>
  </r>
  <r>
    <s v="CO-24-084"/>
    <x v="0"/>
    <d v="2026-06-10T00:00:00"/>
    <x v="0"/>
    <x v="1"/>
    <s v="(Captura_Marimba_M01) Barredora"/>
    <n v="20"/>
    <n v="28.3"/>
    <n v="566"/>
    <s v="DIESEL"/>
    <m/>
  </r>
  <r>
    <s v="CO-24-085"/>
    <x v="0"/>
    <d v="2026-06-10T00:00:00"/>
    <x v="0"/>
    <x v="1"/>
    <s v="(Captura_Marimba_M01) Perfiladora"/>
    <n v="250"/>
    <n v="28.3"/>
    <n v="7075"/>
    <s v="DIESEL"/>
    <m/>
  </r>
  <r>
    <s v="CO-24-086"/>
    <x v="0"/>
    <d v="2026-06-10T00:00:00"/>
    <x v="0"/>
    <x v="1"/>
    <s v="(Captura_Marimba_M01) Retroexcavadora"/>
    <n v="30"/>
    <n v="28.3"/>
    <n v="849"/>
    <s v="DIESEL"/>
    <m/>
  </r>
  <r>
    <s v="CO-24-087"/>
    <x v="0"/>
    <d v="2026-06-11T00:00:00"/>
    <x v="0"/>
    <x v="1"/>
    <s v="(Captura_Marimba_M01) Compactador"/>
    <n v="30"/>
    <n v="28.3"/>
    <n v="849"/>
    <s v="DIESEL"/>
    <m/>
  </r>
  <r>
    <s v="CO-24-088"/>
    <x v="0"/>
    <d v="2026-06-11T00:00:00"/>
    <x v="0"/>
    <x v="1"/>
    <s v="(Captura_Marimba_M01) Neuomatico"/>
    <n v="30"/>
    <n v="28.3"/>
    <n v="849"/>
    <s v="DIESEL"/>
    <m/>
  </r>
  <r>
    <s v="CO-24-089"/>
    <x v="0"/>
    <d v="2026-06-11T00:00:00"/>
    <x v="0"/>
    <x v="1"/>
    <s v="(Captura_Marimba_M01) Vogel"/>
    <n v="136"/>
    <n v="28.3"/>
    <n v="3848.8"/>
    <s v="DIESEL"/>
    <m/>
  </r>
  <r>
    <s v="CO-24-090"/>
    <x v="0"/>
    <d v="2026-06-11T00:00:00"/>
    <x v="0"/>
    <x v="1"/>
    <s v="(Captura_Marimba_M01) Barredora"/>
    <n v="20"/>
    <n v="28.3"/>
    <n v="566"/>
    <s v="DIESEL"/>
    <m/>
  </r>
  <r>
    <s v="CO-24-091"/>
    <x v="0"/>
    <d v="2026-06-11T00:00:00"/>
    <x v="0"/>
    <x v="1"/>
    <s v="(Captura_Marimba_M01) Retroexcavadora"/>
    <n v="20"/>
    <n v="28.3"/>
    <n v="566"/>
    <s v="DIESEL"/>
    <m/>
  </r>
  <r>
    <s v="CO-24-092"/>
    <x v="0"/>
    <d v="2026-06-11T00:00:00"/>
    <x v="0"/>
    <x v="1"/>
    <s v="(Captura_Marimba_M01) Maxilihgs"/>
    <n v="20"/>
    <n v="28.3"/>
    <n v="566"/>
    <s v="DIESEL"/>
    <m/>
  </r>
  <r>
    <s v="CO-24-093"/>
    <x v="0"/>
    <d v="2026-06-12T00:00:00"/>
    <x v="3"/>
    <x v="1"/>
    <s v="(Captura_Marimba_M01) Tandem Hamm"/>
    <n v="32"/>
    <n v="28.3"/>
    <n v="905.6"/>
    <s v="DIESEL"/>
    <m/>
  </r>
  <r>
    <s v="CO-24-094"/>
    <x v="0"/>
    <d v="2026-06-12T00:00:00"/>
    <x v="3"/>
    <x v="1"/>
    <s v="(Captura_Marimba_M01) Neuomatico Dynapac"/>
    <n v="30"/>
    <n v="28.3"/>
    <n v="849"/>
    <s v="DIESEL"/>
    <m/>
  </r>
  <r>
    <s v="CO-24-095"/>
    <x v="0"/>
    <d v="2026-06-12T00:00:00"/>
    <x v="3"/>
    <x v="1"/>
    <s v="(Captura_Marimba_M01) Barredora Broce"/>
    <n v="30"/>
    <n v="28.3"/>
    <n v="849"/>
    <s v="DIESEL"/>
    <m/>
  </r>
  <r>
    <s v="CO-24-096"/>
    <x v="0"/>
    <d v="2026-06-12T00:00:00"/>
    <x v="3"/>
    <x v="1"/>
    <s v="(Captura_Marimba_M01) Retroexcavadora Jonh Deere"/>
    <n v="50"/>
    <n v="28.3"/>
    <n v="1415"/>
    <s v="DIESEL"/>
    <m/>
  </r>
  <r>
    <s v="CO-24-097"/>
    <x v="0"/>
    <d v="2026-06-12T00:00:00"/>
    <x v="3"/>
    <x v="1"/>
    <s v="(Captura_Marimba_M01) Vogele Guion"/>
    <n v="120"/>
    <n v="28.3"/>
    <n v="3396"/>
    <s v="DIESEL"/>
    <m/>
  </r>
  <r>
    <s v="CO-24-098"/>
    <x v="0"/>
    <d v="2026-06-12T00:00:00"/>
    <x v="3"/>
    <x v="1"/>
    <s v="(Captura_Marimba_M01) Petrolizadora Elton"/>
    <n v="40"/>
    <n v="28.3"/>
    <n v="1132"/>
    <s v="DIESEL"/>
    <m/>
  </r>
  <r>
    <s v="CO-24-099"/>
    <x v="0"/>
    <d v="2026-06-12T00:00:00"/>
    <x v="3"/>
    <x v="1"/>
    <s v="(Captura_Marimba_M01) Perfiladora Wirgent"/>
    <n v="200"/>
    <n v="28.3"/>
    <n v="5660"/>
    <s v="DIESEL"/>
    <m/>
  </r>
  <r>
    <s v="CO-24-100"/>
    <x v="0"/>
    <d v="2026-06-12T00:00:00"/>
    <x v="0"/>
    <x v="1"/>
    <s v="(Captura_Marimba_M01) Barredora"/>
    <n v="20"/>
    <n v="28.3"/>
    <n v="566"/>
    <s v="DIESEL"/>
    <m/>
  </r>
  <r>
    <s v="CO-24-101"/>
    <x v="0"/>
    <d v="2026-06-12T00:00:00"/>
    <x v="0"/>
    <x v="1"/>
    <s v="(Captura_Marimba_M01) Neuomatico"/>
    <n v="30"/>
    <n v="28.3"/>
    <n v="849"/>
    <s v="DIESEL"/>
    <m/>
  </r>
  <r>
    <s v="CO-24-102"/>
    <x v="0"/>
    <d v="2026-06-12T00:00:00"/>
    <x v="0"/>
    <x v="1"/>
    <s v="(Captura_Marimba_M01) Maxilihgs"/>
    <n v="20"/>
    <n v="28.3"/>
    <n v="566"/>
    <s v="DIESEL"/>
    <m/>
  </r>
  <r>
    <s v="CO-24-103"/>
    <x v="0"/>
    <d v="2026-06-12T00:00:00"/>
    <x v="0"/>
    <x v="1"/>
    <s v="(Captura_Marimba_M01) Compactador"/>
    <n v="40"/>
    <n v="28.3"/>
    <n v="1132"/>
    <s v="DIESEL"/>
    <m/>
  </r>
  <r>
    <s v="CO-24-104"/>
    <x v="0"/>
    <d v="2026-06-12T00:00:00"/>
    <x v="0"/>
    <x v="1"/>
    <s v="(Captura_Marimba_M01) Perfiladora"/>
    <n v="250"/>
    <n v="28.3"/>
    <n v="7075"/>
    <s v="DIESEL"/>
    <m/>
  </r>
  <r>
    <s v="CO-25-070"/>
    <x v="1"/>
    <d v="2026-06-15T00:00:00"/>
    <x v="0"/>
    <x v="1"/>
    <s v="(Captura_Marimba_M01) PERFILADORA WIRGENT-W200i"/>
    <n v="200"/>
    <n v="28.3"/>
    <n v="5660"/>
    <s v="DIESEL"/>
    <m/>
  </r>
  <r>
    <s v="CO-25-071"/>
    <x v="1"/>
    <d v="2026-06-15T00:00:00"/>
    <x v="0"/>
    <x v="1"/>
    <s v="(Captura_Marimba_M01) RETROEXCAVADORA JHONDEREE 310SK"/>
    <n v="40"/>
    <n v="28.3"/>
    <n v="1132"/>
    <s v="DIESEL"/>
    <m/>
  </r>
  <r>
    <s v="CO-25-072"/>
    <x v="1"/>
    <d v="2026-06-15T00:00:00"/>
    <x v="0"/>
    <x v="1"/>
    <s v="(Captura_Marimba_M01) TANDEM DOBLE RODILLO / VIBROCOMPACTOR RODILLO CAT CB54"/>
    <n v="30"/>
    <n v="28.3"/>
    <n v="849"/>
    <s v="DIESEL"/>
    <m/>
  </r>
  <r>
    <s v="CO-25-073"/>
    <x v="1"/>
    <d v="2026-06-15T00:00:00"/>
    <x v="0"/>
    <x v="1"/>
    <s v="(Captura_Marimba_M01) NEUMATICO VOLVO PT-240R"/>
    <n v="50"/>
    <n v="28.3"/>
    <n v="1415"/>
    <s v="DIESEL"/>
    <m/>
  </r>
  <r>
    <s v="CO-25-074"/>
    <x v="1"/>
    <d v="2026-06-15T00:00:00"/>
    <x v="0"/>
    <x v="1"/>
    <s v="(Captura_Marimba_M01) PAVIMENTADORA  VOGELE SJ 1800-3"/>
    <n v="99"/>
    <n v="28.3"/>
    <n v="2801.7000000000003"/>
    <s v="DIESEL"/>
    <m/>
  </r>
  <r>
    <s v="CO-25-075"/>
    <x v="1"/>
    <d v="2026-06-15T00:00:00"/>
    <x v="0"/>
    <x v="1"/>
    <s v="(Captura_Marimba_M01) PETROLIZADORA    INTERNATIONAL"/>
    <n v="50"/>
    <n v="28.3"/>
    <n v="1415"/>
    <s v="DIESEL"/>
    <m/>
  </r>
  <r>
    <s v="CO-25-076"/>
    <x v="1"/>
    <d v="2026-06-16T00:00:00"/>
    <x v="0"/>
    <x v="1"/>
    <s v="(Captura_Marimba_M01) PERFILADORA WIRGENT-W200i"/>
    <n v="200"/>
    <n v="28.3"/>
    <n v="5660"/>
    <s v="DIESEL"/>
    <m/>
  </r>
  <r>
    <s v="CO-25-077"/>
    <x v="1"/>
    <d v="2026-06-16T00:00:00"/>
    <x v="0"/>
    <x v="1"/>
    <s v="(Captura_Marimba_M01) TANDEM DOBLE RODILLO / VIBROCOMPACTOR RODILLO CAT CB54"/>
    <n v="32"/>
    <n v="28.3"/>
    <n v="905.6"/>
    <s v="DIESEL"/>
    <m/>
  </r>
  <r>
    <s v="CO-25-078"/>
    <x v="1"/>
    <d v="2026-06-16T00:00:00"/>
    <x v="0"/>
    <x v="1"/>
    <s v="(Captura_Marimba_M01) NEUMATICO VOLVO PT-240R"/>
    <n v="30"/>
    <n v="28.3"/>
    <n v="849"/>
    <s v="DIESEL"/>
    <m/>
  </r>
  <r>
    <s v="CO-25-079"/>
    <x v="1"/>
    <d v="2026-06-16T00:00:00"/>
    <x v="0"/>
    <x v="1"/>
    <s v="(Captura_Marimba_M01) BARREDORA BROCE RJ350"/>
    <n v="30"/>
    <n v="28.3"/>
    <n v="849"/>
    <s v="DIESEL"/>
    <m/>
  </r>
  <r>
    <s v="CO-25-080"/>
    <x v="1"/>
    <d v="2026-06-16T00:00:00"/>
    <x v="0"/>
    <x v="1"/>
    <s v="(Captura_Marimba_M01) PAVIMENTADORA  VOGELE SJ 1800-3"/>
    <n v="107"/>
    <n v="28.3"/>
    <n v="3028.1"/>
    <s v="DIESEL"/>
    <m/>
  </r>
  <r>
    <s v="CO-25-081"/>
    <x v="1"/>
    <d v="2026-06-16T00:00:00"/>
    <x v="0"/>
    <x v="1"/>
    <s v="(Captura_Marimba_M01) RETROEXCAVADORA JHONDEREE 310SK"/>
    <n v="40"/>
    <n v="28.3"/>
    <n v="1132"/>
    <s v="DIESEL"/>
    <m/>
  </r>
  <r>
    <s v="CO-25-082"/>
    <x v="1"/>
    <d v="2026-06-16T00:00:00"/>
    <x v="0"/>
    <x v="1"/>
    <s v="(Captura_Marimba_M01) PETROLIZADORA    INTERNATIONAL"/>
    <n v="50"/>
    <n v="28.3"/>
    <n v="1415"/>
    <s v="DIESEL"/>
    <m/>
  </r>
  <r>
    <s v="CO-25-083"/>
    <x v="1"/>
    <d v="2026-06-17T00:00:00"/>
    <x v="0"/>
    <x v="1"/>
    <s v="(Captura_Marimba_M01) PERFILADORA WIRGENT-W200i"/>
    <n v="200"/>
    <n v="28.3"/>
    <n v="5660"/>
    <s v="DIESEL"/>
    <m/>
  </r>
  <r>
    <s v="CO-25-084"/>
    <x v="1"/>
    <d v="2026-06-17T00:00:00"/>
    <x v="0"/>
    <x v="1"/>
    <s v="(Captura_Marimba_M01) PAVIMENTADORA  VOGELE SJ 1800-3"/>
    <n v="120"/>
    <n v="28.3"/>
    <n v="3396"/>
    <s v="DIESEL"/>
    <m/>
  </r>
  <r>
    <s v="CO-25-085"/>
    <x v="1"/>
    <d v="2026-06-17T00:00:00"/>
    <x v="0"/>
    <x v="1"/>
    <s v="(Captura_Marimba_M01) TANDEM DOBLE RODILLO / VIBROCOMPACTOR RODILLO CAT CB54"/>
    <n v="32"/>
    <n v="28.3"/>
    <n v="905.6"/>
    <s v="DIESEL"/>
    <m/>
  </r>
  <r>
    <s v="CO-25-086"/>
    <x v="1"/>
    <d v="2026-06-17T00:00:00"/>
    <x v="0"/>
    <x v="1"/>
    <s v="(Captura_Marimba_M01) NEUMATICO VOLVO PT-240R"/>
    <n v="30"/>
    <n v="28.3"/>
    <n v="849"/>
    <s v="DIESEL"/>
    <m/>
  </r>
  <r>
    <s v="CO-25-087"/>
    <x v="1"/>
    <d v="2026-06-17T00:00:00"/>
    <x v="0"/>
    <x v="1"/>
    <s v="(Captura_Marimba_M01) BARREDORA BROCE RJ350"/>
    <n v="28"/>
    <n v="28.3"/>
    <n v="792.4"/>
    <s v="DIESEL"/>
    <m/>
  </r>
  <r>
    <s v="CO-25-088"/>
    <x v="1"/>
    <d v="2026-06-17T00:00:00"/>
    <x v="0"/>
    <x v="1"/>
    <s v="(Captura_Marimba_M01) RETROEXCAVADORA JHONDEREE 310SK"/>
    <n v="60"/>
    <n v="28.3"/>
    <n v="1698"/>
    <s v="DIESEL"/>
    <m/>
  </r>
  <r>
    <s v="CO-25-089"/>
    <x v="1"/>
    <d v="2026-06-18T00:00:00"/>
    <x v="0"/>
    <x v="1"/>
    <s v="(Captura_Marimba_M01) PETROLIZADORA    INTERNATIONAL"/>
    <n v="50"/>
    <n v="28.3"/>
    <n v="1415"/>
    <s v="DIESEL"/>
    <m/>
  </r>
  <r>
    <s v="CO-25-090"/>
    <x v="1"/>
    <d v="2026-06-18T00:00:00"/>
    <x v="0"/>
    <x v="1"/>
    <s v="(Captura_Marimba_M01) PERFILADORA WIRGENT-W200i"/>
    <n v="200"/>
    <n v="28.3"/>
    <n v="5660"/>
    <s v="DIESEL"/>
    <m/>
  </r>
  <r>
    <s v="CO-25-091"/>
    <x v="1"/>
    <d v="2026-06-18T00:00:00"/>
    <x v="0"/>
    <x v="1"/>
    <s v="(Captura_Marimba_M01) PAVIMENTADORA  VOGELE SJ 1800-3"/>
    <n v="115"/>
    <n v="28.3"/>
    <n v="3254.5"/>
    <s v="DIESEL"/>
    <m/>
  </r>
  <r>
    <s v="CO-25-092"/>
    <x v="1"/>
    <d v="2026-06-18T00:00:00"/>
    <x v="0"/>
    <x v="1"/>
    <s v="(Captura_Marimba_M01) NEUMATICO VOLVO PT-240R"/>
    <n v="30"/>
    <n v="28.3"/>
    <n v="849"/>
    <s v="DIESEL"/>
    <m/>
  </r>
  <r>
    <s v="CO-25-093"/>
    <x v="1"/>
    <d v="2026-06-18T00:00:00"/>
    <x v="0"/>
    <x v="1"/>
    <s v="(Captura_Marimba_M01) TANDEM DOBLE RODILLO / VIBROCOMPACTOR RODILLO CAT CB54"/>
    <n v="30"/>
    <n v="28.3"/>
    <n v="849"/>
    <s v="DIESEL"/>
    <m/>
  </r>
  <r>
    <s v="CO-25-094"/>
    <x v="1"/>
    <d v="2026-06-19T00:00:00"/>
    <x v="0"/>
    <x v="1"/>
    <s v="(Captura_Marimba_M01) PAVIMENTADORA  VOGELE SJ 1800-3"/>
    <n v="120"/>
    <n v="28.3"/>
    <n v="3396"/>
    <s v="DIESEL"/>
    <m/>
  </r>
  <r>
    <s v="CO-25-095"/>
    <x v="1"/>
    <d v="2026-06-19T00:00:00"/>
    <x v="0"/>
    <x v="1"/>
    <s v="(Captura_Marimba_M01) TANDEM DOBLE RODILLO / VIBROCOMPACTOR RODILLO CAT CB54"/>
    <n v="30"/>
    <n v="28.3"/>
    <n v="849"/>
    <s v="DIESEL"/>
    <m/>
  </r>
  <r>
    <s v="CO-25-096"/>
    <x v="1"/>
    <d v="2026-06-19T00:00:00"/>
    <x v="0"/>
    <x v="1"/>
    <s v="(Captura_Marimba_M01) NEUMATICO VOLVO PT-240R"/>
    <n v="84"/>
    <n v="28.3"/>
    <n v="2377.2000000000003"/>
    <s v="DIESEL"/>
    <m/>
  </r>
  <r>
    <s v="CO-25-097"/>
    <x v="1"/>
    <d v="2026-06-19T00:00:00"/>
    <x v="0"/>
    <x v="1"/>
    <s v="(Captura_Marimba_M01) RETROEXCAVADORA JHONDEREE 310SK"/>
    <n v="40"/>
    <n v="28.3"/>
    <n v="1132"/>
    <s v="DIESEL"/>
    <m/>
  </r>
  <r>
    <s v="CO-25-098"/>
    <x v="1"/>
    <d v="2026-06-19T00:00:00"/>
    <x v="0"/>
    <x v="1"/>
    <s v="(Captura_Marimba_M01) BARREDORA BROCE RJ350"/>
    <n v="30"/>
    <n v="28.3"/>
    <n v="849"/>
    <s v="DIESEL"/>
    <m/>
  </r>
  <r>
    <s v="CO-25-099"/>
    <x v="1"/>
    <d v="2026-06-18T00:00:00"/>
    <x v="0"/>
    <x v="1"/>
    <s v="(Captura_Marimba_M01) RETROEXCAVADORA JHONDEREE 310SK"/>
    <n v="32"/>
    <n v="28.3"/>
    <n v="905.6"/>
    <s v="DIESEL"/>
    <m/>
  </r>
  <r>
    <s v="CO-22-001"/>
    <x v="4"/>
    <d v="2026-05-26T00:00:00"/>
    <x v="10"/>
    <x v="1"/>
    <s v="(Captura_Jalisco) Motoconformadora Rentada"/>
    <n v="89"/>
    <n v="27"/>
    <n v="2403"/>
    <s v="DIESEL"/>
    <m/>
  </r>
  <r>
    <s v="CO-22-002"/>
    <x v="4"/>
    <d v="2026-05-27T00:00:00"/>
    <x v="10"/>
    <x v="1"/>
    <s v="(Captura_Jalisco) Motoconformadora Rentada"/>
    <n v="89"/>
    <n v="27"/>
    <n v="2403"/>
    <s v="DIESEL"/>
    <m/>
  </r>
  <r>
    <s v="CO-22-003"/>
    <x v="4"/>
    <d v="2026-05-29T00:00:00"/>
    <x v="10"/>
    <x v="1"/>
    <s v="(Captura_Jalisco) Motoconformadora Rentada"/>
    <n v="99"/>
    <n v="27"/>
    <n v="2673"/>
    <s v="DIESEL"/>
    <m/>
  </r>
  <r>
    <s v="CO-22-004"/>
    <x v="4"/>
    <d v="2026-05-29T00:00:00"/>
    <x v="10"/>
    <x v="1"/>
    <s v="(Captura_Jalisco) Motoconformadora"/>
    <n v="99"/>
    <n v="27"/>
    <n v="2673"/>
    <s v="DIESEL"/>
    <m/>
  </r>
  <r>
    <s v="CO-22-005"/>
    <x v="4"/>
    <d v="2026-05-30T00:00:00"/>
    <x v="10"/>
    <x v="1"/>
    <s v="(Captura_Jalisco) Motoconformadora Rentada"/>
    <n v="90"/>
    <n v="27"/>
    <n v="2430"/>
    <s v="DIESEL"/>
    <m/>
  </r>
  <r>
    <s v="CO-22-006"/>
    <x v="4"/>
    <d v="2026-05-30T00:00:00"/>
    <x v="10"/>
    <x v="1"/>
    <s v="(Captura_Jalisco) Motoconformadora"/>
    <n v="90"/>
    <n v="27"/>
    <n v="2430"/>
    <s v="DIESEL"/>
    <m/>
  </r>
  <r>
    <s v="CO-23-001"/>
    <x v="5"/>
    <d v="2026-06-01T00:00:00"/>
    <x v="10"/>
    <x v="1"/>
    <s v="(Captura_Jalisco) Retroexcavadora"/>
    <n v="50"/>
    <n v="27"/>
    <n v="1350"/>
    <s v="DIESEL"/>
    <m/>
  </r>
  <r>
    <s v="CO-23-002"/>
    <x v="5"/>
    <d v="2026-06-02T00:00:00"/>
    <x v="10"/>
    <x v="1"/>
    <s v="(Captura_Jalisco) Motoconformadora Rentada"/>
    <n v="74"/>
    <n v="27"/>
    <n v="1998"/>
    <s v="DIESEL"/>
    <m/>
  </r>
  <r>
    <s v="CO-23-003"/>
    <x v="5"/>
    <d v="2026-06-02T00:00:00"/>
    <x v="10"/>
    <x v="1"/>
    <s v="(Captura_Jalisco) Motoconformadora"/>
    <n v="80"/>
    <n v="27"/>
    <n v="2160"/>
    <s v="DIESEL"/>
    <m/>
  </r>
  <r>
    <s v="CO-23-004"/>
    <x v="5"/>
    <d v="2026-06-02T00:00:00"/>
    <x v="10"/>
    <x v="1"/>
    <s v="(Captura_Jalisco) Vibro Compactador"/>
    <n v="40"/>
    <n v="27"/>
    <n v="1080"/>
    <s v="DIESEL"/>
    <m/>
  </r>
  <r>
    <s v="CO-23-005"/>
    <x v="5"/>
    <d v="2026-06-04T00:00:00"/>
    <x v="10"/>
    <x v="1"/>
    <s v="(Captura_Jalisco) Motoconformadora Rentada"/>
    <n v="70"/>
    <n v="27"/>
    <n v="1890"/>
    <s v="DIESEL"/>
    <m/>
  </r>
  <r>
    <s v="CO-23-006"/>
    <x v="5"/>
    <d v="2026-06-04T00:00:00"/>
    <x v="10"/>
    <x v="1"/>
    <s v="(Captura_Jalisco) Pipa"/>
    <n v="100"/>
    <n v="27"/>
    <n v="2700"/>
    <s v="DIESEL"/>
    <m/>
  </r>
  <r>
    <s v="CO-23-007"/>
    <x v="5"/>
    <d v="2026-06-05T00:00:00"/>
    <x v="10"/>
    <x v="1"/>
    <s v="(Captura_Jalisco) Motoconformadora Rentada"/>
    <n v="60"/>
    <n v="27"/>
    <n v="1620"/>
    <s v="DIESEL"/>
    <m/>
  </r>
  <r>
    <s v="CO-23-008"/>
    <x v="5"/>
    <d v="2026-06-05T00:00:00"/>
    <x v="10"/>
    <x v="1"/>
    <s v="(Captura_Jalisco) Motoconformadora"/>
    <n v="70"/>
    <n v="27"/>
    <n v="1890"/>
    <s v="DIESEL"/>
    <m/>
  </r>
  <r>
    <s v="CO-23-009"/>
    <x v="5"/>
    <d v="2026-06-05T00:00:00"/>
    <x v="10"/>
    <x v="1"/>
    <s v="(Captura_Jalisco) Vibro Compactador"/>
    <n v="40"/>
    <n v="27"/>
    <n v="1080"/>
    <s v="DIESEL"/>
    <m/>
  </r>
  <r>
    <s v="CO-23-010"/>
    <x v="5"/>
    <d v="2026-06-06T00:00:00"/>
    <x v="10"/>
    <x v="1"/>
    <s v="(Captura_Jalisco) Motoconformadora Rentada"/>
    <n v="100"/>
    <n v="27"/>
    <n v="2700"/>
    <s v="DIESEL"/>
    <m/>
  </r>
  <r>
    <s v="CO-23-011"/>
    <x v="5"/>
    <d v="2026-06-06T00:00:00"/>
    <x v="10"/>
    <x v="1"/>
    <s v="(Captura_Jalisco) Motoconformadora"/>
    <n v="100"/>
    <n v="27"/>
    <n v="2700"/>
    <s v="DIESEL"/>
    <m/>
  </r>
  <r>
    <s v="CO-23-012"/>
    <x v="5"/>
    <d v="2026-06-06T00:00:00"/>
    <x v="10"/>
    <x v="1"/>
    <s v="(Captura_Jalisco) Retroexcavadora"/>
    <n v="40"/>
    <n v="27"/>
    <n v="1080"/>
    <s v="DIESEL"/>
    <m/>
  </r>
  <r>
    <s v="CO-24-105"/>
    <x v="0"/>
    <d v="2026-06-08T00:00:00"/>
    <x v="10"/>
    <x v="1"/>
    <s v="(Captura_Jalisco) Motoconformadora Rentada"/>
    <n v="70"/>
    <n v="27"/>
    <n v="1890"/>
    <s v="DIESEL"/>
    <m/>
  </r>
  <r>
    <s v="CO-24-106"/>
    <x v="0"/>
    <d v="2026-06-08T00:00:00"/>
    <x v="10"/>
    <x v="1"/>
    <s v="(Captura_Jalisco) Vibro Compactador"/>
    <n v="40"/>
    <n v="27"/>
    <n v="1080"/>
    <s v="DIESEL"/>
    <m/>
  </r>
  <r>
    <s v="CO-24-107"/>
    <x v="0"/>
    <d v="2026-06-11T00:00:00"/>
    <x v="10"/>
    <x v="1"/>
    <s v="(Captura_Jalisco) Excavadora"/>
    <n v="70"/>
    <n v="27"/>
    <n v="1890"/>
    <s v="DIESEL"/>
    <m/>
  </r>
  <r>
    <s v="CO-25-100"/>
    <x v="1"/>
    <d v="2026-06-15T00:00:00"/>
    <x v="10"/>
    <x v="1"/>
    <s v="(Captura_Jalisco) Excavadora"/>
    <n v="100"/>
    <n v="27"/>
    <n v="2700"/>
    <s v="DIESEL"/>
    <m/>
  </r>
  <r>
    <s v="CO-25-101"/>
    <x v="1"/>
    <d v="2026-06-16T00:00:00"/>
    <x v="10"/>
    <x v="1"/>
    <s v="(Captura_Jalisco) Motoconformadora Rentada"/>
    <n v="90"/>
    <n v="27"/>
    <n v="2430"/>
    <s v="DIESEL"/>
    <m/>
  </r>
  <r>
    <s v="CO-25-102"/>
    <x v="1"/>
    <d v="2026-06-16T00:00:00"/>
    <x v="10"/>
    <x v="1"/>
    <s v="(Captura_Jalisco) Excavadora"/>
    <n v="140"/>
    <n v="27"/>
    <n v="3780"/>
    <s v="DIESEL"/>
    <m/>
  </r>
  <r>
    <s v="CO-25-103"/>
    <x v="1"/>
    <d v="2026-06-17T00:00:00"/>
    <x v="10"/>
    <x v="1"/>
    <s v="(Captura_Jalisco) Vibro Compactador"/>
    <n v="50"/>
    <n v="27"/>
    <n v="1350"/>
    <s v="DIESEL"/>
    <m/>
  </r>
  <r>
    <s v="CO-25-104"/>
    <x v="1"/>
    <d v="2026-06-17T00:00:00"/>
    <x v="10"/>
    <x v="1"/>
    <s v="(Captura_Jalisco) Excavadora"/>
    <n v="100"/>
    <n v="27"/>
    <n v="2700"/>
    <s v="DIESEL"/>
    <m/>
  </r>
  <r>
    <s v="CO-25-105"/>
    <x v="1"/>
    <d v="2026-06-18T00:00:00"/>
    <x v="10"/>
    <x v="1"/>
    <s v="(Captura_Jalisco) Motoconformadora"/>
    <n v="70"/>
    <n v="27"/>
    <n v="1890"/>
    <s v="DIESEL"/>
    <m/>
  </r>
  <r>
    <s v="CO-25-106"/>
    <x v="1"/>
    <d v="2026-06-18T00:00:00"/>
    <x v="10"/>
    <x v="1"/>
    <s v="(Captura_Jalisco) Retroexcavadora"/>
    <n v="40"/>
    <n v="27"/>
    <n v="1080"/>
    <s v="DIESEL"/>
    <m/>
  </r>
  <r>
    <s v="CO-25-107"/>
    <x v="1"/>
    <d v="2026-06-18T00:00:00"/>
    <x v="10"/>
    <x v="1"/>
    <s v="(Captura_Jalisco) Excavadora"/>
    <n v="100"/>
    <n v="27"/>
    <n v="2700"/>
    <s v="DIESEL"/>
    <m/>
  </r>
  <r>
    <s v="CO-25-108"/>
    <x v="1"/>
    <d v="2026-06-19T00:00:00"/>
    <x v="10"/>
    <x v="1"/>
    <s v="(Captura_Jalisco) EXCAVADORA"/>
    <n v="150"/>
    <n v="27"/>
    <n v="4050"/>
    <s v="DIESEL"/>
    <m/>
  </r>
  <r>
    <s v="CO-25-109"/>
    <x v="1"/>
    <d v="2026-06-20T00:00:00"/>
    <x v="10"/>
    <x v="1"/>
    <s v="(Captura_Jalisco) EXCAVADORA"/>
    <n v="90"/>
    <n v="27"/>
    <n v="2430"/>
    <s v="DIESEL"/>
    <m/>
  </r>
  <r>
    <s v="CO-26-078"/>
    <x v="2"/>
    <d v="2026-06-22T00:00:00"/>
    <x v="10"/>
    <x v="1"/>
    <s v="(Captura_Jalisco) RETROEXCAVADORA CASE 580 N"/>
    <n v="20"/>
    <n v="27"/>
    <n v="540"/>
    <s v="DIESEL"/>
    <m/>
  </r>
  <r>
    <s v="CO-26-079"/>
    <x v="2"/>
    <d v="2026-06-22T00:00:00"/>
    <x v="10"/>
    <x v="1"/>
    <s v="(Captura_Jalisco) EXCAVADORA"/>
    <n v="140"/>
    <n v="27"/>
    <n v="3780"/>
    <s v="DIESEL"/>
    <m/>
  </r>
  <r>
    <s v="CO-26-080"/>
    <x v="2"/>
    <d v="2026-06-22T00:00:00"/>
    <x v="10"/>
    <x v="1"/>
    <s v="(Captura_Jalisco) TRACTOR"/>
    <n v="100.74"/>
    <n v="27"/>
    <n v="2719.98"/>
    <s v="DIESEL"/>
    <m/>
  </r>
  <r>
    <s v="CO-26-081"/>
    <x v="2"/>
    <d v="2026-06-23T00:00:00"/>
    <x v="10"/>
    <x v="1"/>
    <s v="(Captura_Jalisco) EXCAVADORA"/>
    <n v="140"/>
    <n v="27"/>
    <n v="3780"/>
    <s v="DIESEL"/>
    <m/>
  </r>
  <r>
    <s v="CO-26-082"/>
    <x v="2"/>
    <d v="2026-06-23T00:00:00"/>
    <x v="10"/>
    <x v="1"/>
    <s v="(Captura_Jalisco) TRACTOR"/>
    <n v="119.26"/>
    <n v="27"/>
    <n v="3220.02"/>
    <s v="DIESEL"/>
    <m/>
  </r>
  <r>
    <s v="CO-26-083"/>
    <x v="2"/>
    <d v="2026-06-24T00:00:00"/>
    <x v="10"/>
    <x v="1"/>
    <s v="(Captura_Jalisco) MOTOCONFORMADORA RENTADA"/>
    <n v="200"/>
    <n v="27"/>
    <n v="5400"/>
    <s v="DIESEL"/>
    <m/>
  </r>
  <r>
    <s v="CO-26-084"/>
    <x v="2"/>
    <d v="2026-06-24T00:00:00"/>
    <x v="10"/>
    <x v="1"/>
    <s v="(Captura_Jalisco) MOTOCONFORMADORA RENTADA"/>
    <n v="50"/>
    <n v="27"/>
    <n v="1350"/>
    <s v="DIESEL"/>
    <m/>
  </r>
  <r>
    <s v="CO-26-085"/>
    <x v="2"/>
    <d v="2026-06-24T00:00:00"/>
    <x v="10"/>
    <x v="1"/>
    <s v="(Captura_Jalisco) EXCAVADORA"/>
    <n v="200"/>
    <n v="27"/>
    <n v="5400"/>
    <s v="DIESEL"/>
    <m/>
  </r>
  <r>
    <s v="CO-26-086"/>
    <x v="2"/>
    <d v="2026-06-24T00:00:00"/>
    <x v="10"/>
    <x v="1"/>
    <s v="(Captura_Jalisco) TRACTOR"/>
    <n v="100"/>
    <n v="27"/>
    <n v="2700"/>
    <s v="DIESEL"/>
    <m/>
  </r>
  <r>
    <s v="CO-26-087"/>
    <x v="2"/>
    <d v="2026-06-26T00:00:00"/>
    <x v="10"/>
    <x v="1"/>
    <s v="(Captura_Jalisco) EXCAVADORA"/>
    <n v="160"/>
    <n v="27"/>
    <n v="4320"/>
    <s v="DIESEL"/>
    <m/>
  </r>
  <r>
    <s v="CO-26-088"/>
    <x v="2"/>
    <d v="2026-06-27T00:00:00"/>
    <x v="10"/>
    <x v="1"/>
    <s v="(Captura_Jalisco) EXCAVADORA"/>
    <n v="108"/>
    <n v="27"/>
    <n v="2916"/>
    <s v="DIESEL"/>
    <m/>
  </r>
  <r>
    <s v="FAC-25-001"/>
    <x v="1"/>
    <d v="2026-06-20T00:00:00"/>
    <x v="11"/>
    <x v="2"/>
    <s v="Factura: A-10128"/>
    <n v="4000"/>
    <n v="27.00009"/>
    <n v="108000.36"/>
    <s v="DIESEL"/>
    <s v="Facturacion"/>
  </r>
  <r>
    <s v="FAC-25-002"/>
    <x v="1"/>
    <d v="2026-06-15T00:00:00"/>
    <x v="4"/>
    <x v="2"/>
    <s v="Factura: A-10053"/>
    <n v="800.00600000000009"/>
    <n v="26.999985000112499"/>
    <n v="21600.15"/>
    <s v="DIESEL"/>
    <s v="Facturacion"/>
  </r>
  <r>
    <s v="FAC-25-003"/>
    <x v="1"/>
    <d v="2026-06-15T00:00:00"/>
    <x v="11"/>
    <x v="2"/>
    <s v="Factura: A-10056"/>
    <n v="4000.0120000000006"/>
    <n v="27.000008999972994"/>
    <n v="108000.36"/>
    <s v="DIESEL"/>
    <s v="Facturacion"/>
  </r>
  <r>
    <s v="FAC-26-001"/>
    <x v="2"/>
    <d v="2026-06-22T00:00:00"/>
    <x v="0"/>
    <x v="2"/>
    <s v="Factura: A-10148"/>
    <n v="660"/>
    <n v="27"/>
    <n v="17820"/>
    <s v="DIESEL"/>
    <s v="Facturacion"/>
  </r>
  <r>
    <s v="FAC-26-002"/>
    <x v="2"/>
    <d v="2026-06-23T00:00:00"/>
    <x v="0"/>
    <x v="2"/>
    <s v="Factura: A-10166"/>
    <n v="63"/>
    <n v="23.80952380952381"/>
    <n v="1500"/>
    <s v="DIESEL"/>
    <s v="Facturacion"/>
  </r>
  <r>
    <s v="FAC-26-003"/>
    <x v="2"/>
    <d v="2026-06-23T00:00:00"/>
    <x v="0"/>
    <x v="2"/>
    <s v="Factura: A-10167"/>
    <n v="42"/>
    <n v="23.80952380952381"/>
    <n v="1000"/>
    <s v="DIESEL"/>
    <s v="Facturacion"/>
  </r>
  <r>
    <s v="FAC-26-004"/>
    <x v="2"/>
    <d v="2026-06-23T00:00:00"/>
    <x v="0"/>
    <x v="2"/>
    <s v="Factura: A-10168"/>
    <n v="63"/>
    <n v="23.80952380952381"/>
    <n v="1500"/>
    <s v="DIESEL"/>
    <s v="Facturacion"/>
  </r>
  <r>
    <s v="FAC-26-005"/>
    <x v="2"/>
    <d v="2026-06-23T00:00:00"/>
    <x v="11"/>
    <x v="2"/>
    <s v="Factura: A-10172"/>
    <n v="3900"/>
    <n v="27.692399999999999"/>
    <n v="108000.36"/>
    <s v="DIESEL"/>
    <s v="Facturacion"/>
  </r>
  <r>
    <s v="FAC-26-006"/>
    <x v="2"/>
    <d v="2026-06-24T00:00:00"/>
    <x v="0"/>
    <x v="2"/>
    <s v="Factura: A-10198"/>
    <n v="550"/>
    <n v="27"/>
    <n v="14850"/>
    <s v="DIESEL"/>
    <s v="Facturacion"/>
  </r>
  <r>
    <s v="FAC-26-007"/>
    <x v="2"/>
    <d v="2026-06-25T00:00:00"/>
    <x v="0"/>
    <x v="2"/>
    <s v="Factura: A-10211"/>
    <n v="550"/>
    <n v="27"/>
    <n v="14850"/>
    <s v="DIESEL"/>
    <s v="Facturacion"/>
  </r>
  <r>
    <s v="FAC-26-008"/>
    <x v="2"/>
    <d v="2026-06-25T00:00:00"/>
    <x v="0"/>
    <x v="2"/>
    <s v="Factura: A-10213"/>
    <n v="42"/>
    <n v="23.80952380952381"/>
    <n v="1000"/>
    <s v="DIESEL"/>
    <s v="Facturacion"/>
  </r>
  <r>
    <s v="FAC-26-009"/>
    <x v="2"/>
    <d v="2026-06-25T00:00:00"/>
    <x v="0"/>
    <x v="2"/>
    <s v="Factura: A-10214"/>
    <n v="63"/>
    <n v="23.810793650793649"/>
    <n v="1500.08"/>
    <s v="DIESEL"/>
    <s v="Facturacion"/>
  </r>
  <r>
    <s v="FAC-26-010"/>
    <x v="2"/>
    <d v="2026-06-25T00:00:00"/>
    <x v="4"/>
    <x v="2"/>
    <s v="Factura: A-10216"/>
    <n v="400"/>
    <n v="40.500250000000001"/>
    <n v="16200.1"/>
    <s v="DIESEL"/>
    <s v="Facturacion"/>
  </r>
  <r>
    <s v="FAC-26-011"/>
    <x v="2"/>
    <d v="2026-06-25T00:00:00"/>
    <x v="11"/>
    <x v="2"/>
    <s v="Factura: A-10225"/>
    <n v="4000"/>
    <n v="27.00009"/>
    <n v="108000.36"/>
    <s v="DIESEL"/>
    <s v="Facturacion"/>
  </r>
  <r>
    <s v="FAC-26-012"/>
    <x v="2"/>
    <d v="2026-06-26T00:00:00"/>
    <x v="0"/>
    <x v="2"/>
    <s v="Factura: A-10226"/>
    <n v="480"/>
    <n v="30.937666666666665"/>
    <n v="14850.08"/>
    <s v="DIESEL"/>
    <s v="Facturacion"/>
  </r>
  <r>
    <s v="FAC-25-004"/>
    <x v="1"/>
    <d v="2026-06-16T00:00:00"/>
    <x v="0"/>
    <x v="2"/>
    <s v="Factura: A-10058"/>
    <n v="500.00200000000001"/>
    <n v="27.000011999951997"/>
    <n v="13500.06"/>
    <s v="DIESEL"/>
    <s v="Facturacion"/>
  </r>
  <r>
    <s v="FAC-25-005"/>
    <x v="1"/>
    <d v="2026-06-17T00:00:00"/>
    <x v="4"/>
    <x v="2"/>
    <s v="Factura: A-10072"/>
    <n v="600.00400000000002"/>
    <n v="26.999986666755554"/>
    <n v="16200.1"/>
    <s v="DIESEL"/>
    <s v="Facturacion"/>
  </r>
  <r>
    <s v="FAC-25-006"/>
    <x v="1"/>
    <d v="2026-06-18T00:00:00"/>
    <x v="7"/>
    <x v="2"/>
    <s v="Factura: A-10088"/>
    <n v="4000.0120000000006"/>
    <n v="27.000008999972994"/>
    <n v="108000.36"/>
    <s v="DIESEL"/>
    <s v="Facturacion"/>
  </r>
  <r>
    <s v="FAC-25-007"/>
    <x v="1"/>
    <d v="2026-06-18T00:00:00"/>
    <x v="0"/>
    <x v="2"/>
    <s v="Factura: A-10087"/>
    <n v="490.00400000000002"/>
    <n v="26.999983673602664"/>
    <n v="13230.1"/>
    <s v="DIESEL"/>
    <s v="Facturacion"/>
  </r>
  <r>
    <s v="FAC-25-008"/>
    <x v="1"/>
    <d v="2026-06-17T00:00:00"/>
    <x v="0"/>
    <x v="2"/>
    <s v="Factura: A-10078"/>
    <n v="520.00199999999995"/>
    <n v="26.999992307721893"/>
    <n v="14040.05"/>
    <s v="DIESEL"/>
    <s v="Facturacion"/>
  </r>
  <r>
    <s v="FAC-25-009"/>
    <x v="1"/>
    <d v="2026-06-19T00:00:00"/>
    <x v="0"/>
    <x v="2"/>
    <s v="Factura: A-10108"/>
    <n v="400.00400000000002"/>
    <n v="26.999980000199997"/>
    <n v="10800.1"/>
    <s v="DIESEL"/>
    <s v="Facturacion"/>
  </r>
  <r>
    <s v="FAC-25-010"/>
    <x v="1"/>
    <d v="2026-06-20T00:00:00"/>
    <x v="4"/>
    <x v="2"/>
    <s v="Factura: A-23783082"/>
    <n v="600.00400000000002"/>
    <n v="26.999986666755554"/>
    <n v="16200.1"/>
    <s v="DIESEL"/>
    <s v="Facturacion"/>
  </r>
  <r>
    <s v="FAC-25-011"/>
    <x v="1"/>
    <d v="2026-06-15T00:00:00"/>
    <x v="0"/>
    <x v="2"/>
    <s v="Factura: A-10052"/>
    <n v="500.00200000000001"/>
    <n v="27.000011999951997"/>
    <n v="13500.06"/>
    <s v="DIESEL"/>
    <s v="Facturacion"/>
  </r>
  <r>
    <s v="FAC-25-012"/>
    <x v="1"/>
    <d v="2026-06-18T00:00:00"/>
    <x v="7"/>
    <x v="2"/>
    <s v="Factura: A-10090"/>
    <n v="161.91200000000001"/>
    <n v="23.900019763822321"/>
    <n v="3869.7"/>
    <s v="DIESEL"/>
    <s v="Facturacion"/>
  </r>
  <r>
    <s v="FAC-25-013"/>
    <x v="1"/>
    <d v="2026-06-18T00:00:00"/>
    <x v="4"/>
    <x v="2"/>
    <s v="Factura: A-10091"/>
    <n v="500.00199999999995"/>
    <n v="27.000011999952001"/>
    <n v="13500.06"/>
    <s v="DIESEL"/>
    <s v="Facturacion"/>
  </r>
  <r>
    <s v="FAC-25-014"/>
    <x v="1"/>
    <d v="2026-06-19T00:00:00"/>
    <x v="11"/>
    <x v="2"/>
    <s v="Factura: A-10113"/>
    <n v="4000.0120000000006"/>
    <n v="27.000008999972994"/>
    <n v="108000.36"/>
    <s v="DIESEL"/>
    <s v="Facturacion"/>
  </r>
  <r>
    <s v="FAC-25-015"/>
    <x v="1"/>
    <d v="2026-06-19T00:00:00"/>
    <x v="11"/>
    <x v="2"/>
    <s v="Factura: A-10111"/>
    <n v="4000.0120000000006"/>
    <n v="27.000008999972994"/>
    <n v="108000.36"/>
    <s v="DIESEL"/>
    <s v="Facturac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CBCFF-32E4-4D7F-A2C4-6BD30A95D002}" name="PT_Costo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J39" firstHeaderRow="1" firstDataRow="3" firstDataCol="1"/>
  <pivotFields count="11">
    <pivotField showAll="0"/>
    <pivotField axis="axisRow" showAll="0">
      <items count="7">
        <item sd="0" x="4"/>
        <item sd="0" x="5"/>
        <item sd="0" x="0"/>
        <item x="1"/>
        <item x="2"/>
        <item x="3"/>
        <item t="default"/>
      </items>
    </pivotField>
    <pivotField showAll="0"/>
    <pivotField axis="axisRow" showAll="0">
      <items count="13">
        <item x="2"/>
        <item x="3"/>
        <item x="8"/>
        <item x="10"/>
        <item x="1"/>
        <item x="7"/>
        <item x="0"/>
        <item x="6"/>
        <item x="5"/>
        <item x="4"/>
        <item x="9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4" showAll="0"/>
    <pivotField numFmtId="165" showAll="0"/>
    <pivotField dataField="1" numFmtId="165" showAll="0"/>
    <pivotField showAll="0"/>
    <pivotField showAll="0"/>
  </pivotFields>
  <rowFields count="2">
    <field x="1"/>
    <field x="3"/>
  </rowFields>
  <rowItems count="32">
    <i>
      <x/>
    </i>
    <i>
      <x v="1"/>
    </i>
    <i>
      <x v="2"/>
    </i>
    <i>
      <x v="3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>
      <x v="5"/>
    </i>
    <i r="1">
      <x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uenta de Costo Total" fld="8" subtotal="count" baseField="0" baseItem="0" numFmtId="165"/>
    <dataField name="Cuenta de Litros" fld="6" subtotal="count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3CEAE-AD22-4A70-BDF8-E5E79E2C76A1}" name="PT_Operacion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F46" firstHeaderRow="1" firstDataRow="2" firstDataCol="1"/>
  <pivotFields count="11">
    <pivotField showAll="0"/>
    <pivotField axis="axisRow" showAll="0">
      <items count="7">
        <item x="4"/>
        <item x="5"/>
        <item x="0"/>
        <item x="1"/>
        <item x="2"/>
        <item x="3"/>
        <item t="default"/>
      </items>
    </pivotField>
    <pivotField showAll="0"/>
    <pivotField axis="axisRow" showAll="0">
      <items count="13">
        <item x="2"/>
        <item x="3"/>
        <item x="8"/>
        <item x="10"/>
        <item x="1"/>
        <item x="7"/>
        <item x="0"/>
        <item x="6"/>
        <item x="5"/>
        <item x="4"/>
        <item x="9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4" showAll="0"/>
    <pivotField numFmtId="165" showAll="0"/>
    <pivotField numFmtId="165" showAll="0"/>
    <pivotField showAll="0"/>
    <pivotField showAll="0"/>
  </pivotFields>
  <rowFields count="2">
    <field x="1"/>
    <field x="3"/>
  </rowFields>
  <rowItems count="40">
    <i>
      <x/>
    </i>
    <i r="1">
      <x v="3"/>
    </i>
    <i>
      <x v="1"/>
    </i>
    <i r="1">
      <x v="3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>
      <x v="3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>
      <x v="5"/>
    </i>
    <i r="1">
      <x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uenta de Lts Operativos" fld="6" subtotal="count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F7959A-955F-4E18-8F64-6B7D9325A992}" name="Tabla_Combustible" displayName="Tabla_Combustible" ref="A1:K763" totalsRowShown="0">
  <autoFilter ref="A1:K763" xr:uid="{99F7959A-955F-4E18-8F64-6B7D9325A992}"/>
  <sortState xmlns:xlrd2="http://schemas.microsoft.com/office/spreadsheetml/2017/richdata2" ref="A2:K763">
    <sortCondition ref="C1:C763"/>
  </sortState>
  <tableColumns count="11">
    <tableColumn id="1" xr3:uid="{34A465E9-8011-457C-8636-4E8766248A65}" name="ID_TICKET">
      <calculatedColumnFormula>IF(LEFT(E2,1)="1","SOL",IF(LEFT(E2,1)="2","CO",IF(LEFT(E2,1)="3","ALM",IF(LEFT(E2,1)="4","FAC","TRX")))) &amp; "-" &amp; B2 &amp; "-" &amp; TEXT(COUNTIFS($E$2:$E2,E2,$B$2:$B2,B2),"000")</calculatedColumnFormula>
    </tableColumn>
    <tableColumn id="2" xr3:uid="{830F859E-094D-4572-9F39-D0137F16C4EB}" name="SEMANA"/>
    <tableColumn id="3" xr3:uid="{6B9515EB-19A0-4AF7-9F7A-F14D30F39F44}" name="FECHA" dataDxfId="8"/>
    <tableColumn id="4" xr3:uid="{65A0A261-743C-4421-95E7-E67C514B57AE}" name="OBRA"/>
    <tableColumn id="5" xr3:uid="{869B13CF-ACF7-462D-ACD8-1849E895E532}" name="TIPO_REGISTRO"/>
    <tableColumn id="6" xr3:uid="{93715455-A6C3-4B61-91C5-8864184BD2D1}" name="EQUIPO_CONCEPTO"/>
    <tableColumn id="7" xr3:uid="{D99EF7B3-487D-4BD0-B1D0-2A7163E3CF66}" name="LITROS" dataDxfId="7"/>
    <tableColumn id="8" xr3:uid="{8F10AFB7-F111-46FA-A99A-BAF4574B4B05}" name="PRECIO_UNITARIO" dataDxfId="6"/>
    <tableColumn id="9" xr3:uid="{0FE0D301-958C-4CB9-B7B3-D643EAC15AD5}" name="COSTO_TOTAL" dataDxfId="5"/>
    <tableColumn id="10" xr3:uid="{3E4C2B40-1D42-4501-A9BF-7D8930EA6149}" name="CATEGORIA"/>
    <tableColumn id="11" xr3:uid="{6EA18735-7500-4C83-B671-277615309755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4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4"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3">
      <calculatedColumnFormula>VLOOKUP(TablaMarimba[[#This Row],[Equipo]],Catalogos!$I$4:$J$34,2,FALSE)</calculatedColumnFormula>
    </tableColumn>
    <tableColumn id="6" xr3:uid="{00000000-0010-0000-0100-000006000000}" name="Entrada (L)"/>
    <tableColumn id="7" xr3:uid="{00000000-0010-0000-0100-000007000000}" name="Salida (L)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2">
      <calculatedColumnFormula>VLOOKUP(TablaObra5[[#This Row],[Equipo]],Catalogos!$I$3:$J$34,2,FALSE)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1">
      <calculatedColumnFormula>VLOOKUP(TablaObra5[[#This Row],[Obra]],Catalogos!$B$3:$C$8,2,FALSE)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/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0">
      <calculatedColumnFormula>VLOOKUP(TablaObra[[#This Row],[Equipo]],Catalogos!I$4:J$34,2,FALSE)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4" workbookViewId="0">
      <selection sqref="A1:I1"/>
    </sheetView>
  </sheetViews>
  <sheetFormatPr baseColWidth="10" defaultRowHeight="13.8"/>
  <cols>
    <col min="1" max="1" width="18" customWidth="1"/>
    <col min="2" max="2" width="14" customWidth="1"/>
    <col min="3" max="9" width="24" customWidth="1"/>
  </cols>
  <sheetData>
    <row r="1" spans="1:9" ht="28.05" customHeight="1">
      <c r="A1" s="370" t="s">
        <v>166</v>
      </c>
      <c r="B1" s="371"/>
      <c r="C1" s="372"/>
      <c r="D1" s="373"/>
      <c r="E1" s="374"/>
      <c r="F1" s="375"/>
      <c r="G1" s="376"/>
      <c r="H1" s="377"/>
      <c r="I1" s="378"/>
    </row>
    <row r="2" spans="1:9" ht="16.8">
      <c r="A2" s="157"/>
      <c r="B2" s="158"/>
      <c r="C2" s="159"/>
      <c r="D2" s="160"/>
      <c r="E2" s="161"/>
      <c r="F2" s="162"/>
      <c r="G2" s="163"/>
      <c r="H2" s="164"/>
      <c r="I2" s="165"/>
    </row>
    <row r="3" spans="1:9" ht="16.05" customHeight="1">
      <c r="A3" s="379" t="s">
        <v>167</v>
      </c>
      <c r="B3" s="380"/>
      <c r="C3" s="381"/>
      <c r="D3" s="382"/>
      <c r="E3" s="383"/>
      <c r="F3" s="384"/>
      <c r="G3" s="385"/>
      <c r="H3" s="386"/>
      <c r="I3" s="387"/>
    </row>
    <row r="4" spans="1:9" ht="16.8">
      <c r="A4" s="166"/>
      <c r="B4" s="15" t="s">
        <v>168</v>
      </c>
      <c r="C4" s="18" t="s">
        <v>1</v>
      </c>
      <c r="D4" s="167"/>
      <c r="E4" s="168"/>
      <c r="F4" s="169"/>
      <c r="G4" s="170"/>
      <c r="H4" s="171"/>
      <c r="I4" s="172"/>
    </row>
    <row r="5" spans="1:9" ht="16.8">
      <c r="A5" s="173"/>
      <c r="B5" s="16" t="s">
        <v>169</v>
      </c>
      <c r="C5" s="19">
        <v>46181</v>
      </c>
      <c r="D5" s="174"/>
      <c r="E5" s="175"/>
      <c r="F5" s="176"/>
      <c r="G5" s="177"/>
      <c r="H5" s="178"/>
      <c r="I5" s="179"/>
    </row>
    <row r="6" spans="1:9" ht="16.8">
      <c r="A6" s="180"/>
      <c r="B6" s="17" t="s">
        <v>170</v>
      </c>
      <c r="C6" s="20">
        <v>28.3</v>
      </c>
      <c r="D6" s="181"/>
      <c r="E6" s="182"/>
      <c r="F6" s="183"/>
      <c r="G6" s="184"/>
      <c r="H6" s="185"/>
      <c r="I6" s="186"/>
    </row>
    <row r="7" spans="1:9" ht="16.8">
      <c r="A7" s="187"/>
      <c r="B7" s="188"/>
      <c r="C7" s="189"/>
      <c r="D7" s="190"/>
      <c r="E7" s="191"/>
      <c r="F7" s="192"/>
      <c r="G7" s="193"/>
      <c r="H7" s="194"/>
      <c r="I7" s="195"/>
    </row>
    <row r="8" spans="1:9" ht="16.05" customHeight="1">
      <c r="A8" s="388" t="s">
        <v>171</v>
      </c>
      <c r="B8" s="389"/>
      <c r="C8" s="390"/>
      <c r="D8" s="391"/>
      <c r="E8" s="392"/>
      <c r="F8" s="393"/>
      <c r="G8" s="394"/>
      <c r="H8" s="395"/>
      <c r="I8" s="396"/>
    </row>
    <row r="9" spans="1:9" ht="19.2" customHeight="1">
      <c r="A9" s="21" t="s">
        <v>172</v>
      </c>
      <c r="B9" s="22" t="s">
        <v>11</v>
      </c>
      <c r="C9" s="23" t="s">
        <v>173</v>
      </c>
      <c r="D9" s="24" t="s">
        <v>174</v>
      </c>
      <c r="E9" s="25" t="s">
        <v>175</v>
      </c>
      <c r="F9" s="26" t="s">
        <v>176</v>
      </c>
      <c r="G9" s="27" t="s">
        <v>177</v>
      </c>
      <c r="H9" s="28" t="s">
        <v>178</v>
      </c>
      <c r="I9" s="196"/>
    </row>
    <row r="10" spans="1:9" ht="16.05" customHeight="1">
      <c r="A10" s="29" t="s">
        <v>179</v>
      </c>
      <c r="B10" s="30">
        <f>C$5</f>
        <v>46181</v>
      </c>
      <c r="C10" s="31">
        <f>IF(C$4="Todas", SUMIFS(Solicitudes!F:F, Solicitudes!C:C, B10), SUMIFS(Solicitudes!F:F, Solicitudes!B:B, C$4, Solicitudes!C:C, B10))</f>
        <v>640</v>
      </c>
      <c r="D10" s="32">
        <f>IF(C$4="Todas", SUMIFS(Captura_Obra!F:F, Captura_Obra!A:A, B10), SUMIFS(Captura_Obra!F:F, Captura_Obra!B:B, C$4, Captura_Obra!A:A, B10))</f>
        <v>369</v>
      </c>
      <c r="E10" s="33">
        <f t="shared" ref="E10:E15" si="0">D10-C10</f>
        <v>-271</v>
      </c>
      <c r="F10" s="34">
        <f t="shared" ref="F10:F15" si="1">C10*C$6</f>
        <v>18112</v>
      </c>
      <c r="G10" s="35">
        <f t="shared" ref="G10:G15" si="2">D10*C$6</f>
        <v>10442.700000000001</v>
      </c>
      <c r="H10" s="36">
        <f t="shared" ref="H10:H15" si="3">G10-F10</f>
        <v>-7669.2999999999993</v>
      </c>
      <c r="I10" s="197"/>
    </row>
    <row r="11" spans="1:9" ht="16.05" customHeight="1">
      <c r="A11" s="37" t="s">
        <v>180</v>
      </c>
      <c r="B11" s="38">
        <f>B10+1</f>
        <v>46182</v>
      </c>
      <c r="C11" s="39">
        <f>IF(C$4="Todas", SUMIFS(Solicitudes!F:F, Solicitudes!C:C, B11), SUMIFS(Solicitudes!F:F, Solicitudes!B:B, C$4, Solicitudes!C:C, B11))</f>
        <v>0</v>
      </c>
      <c r="D11" s="40">
        <f>IF(C$4="Todas", SUMIFS(Captura_Obra!F:F, Captura_Obra!A:A, B11), SUMIFS(Captura_Obra!F:F, Captura_Obra!B:B, C$4, Captura_Obra!A:A, B11))</f>
        <v>0</v>
      </c>
      <c r="E11" s="41">
        <f t="shared" si="0"/>
        <v>0</v>
      </c>
      <c r="F11" s="42">
        <f t="shared" si="1"/>
        <v>0</v>
      </c>
      <c r="G11" s="43">
        <f t="shared" si="2"/>
        <v>0</v>
      </c>
      <c r="H11" s="44">
        <f t="shared" si="3"/>
        <v>0</v>
      </c>
      <c r="I11" s="198"/>
    </row>
    <row r="12" spans="1:9" ht="16.05" customHeight="1">
      <c r="A12" s="45" t="s">
        <v>181</v>
      </c>
      <c r="B12" s="46">
        <f>B11+1</f>
        <v>46183</v>
      </c>
      <c r="C12" s="47">
        <f>IF(C$4="Todas", SUMIFS(Solicitudes!F:F, Solicitudes!C:C, B12), SUMIFS(Solicitudes!F:F, Solicitudes!B:B, C$4, Solicitudes!C:C, B12))</f>
        <v>320</v>
      </c>
      <c r="D12" s="48">
        <f>IF(C$4="Todas", SUMIFS(Captura_Obra!F:F, Captura_Obra!A:A, B12), SUMIFS(Captura_Obra!F:F, Captura_Obra!B:B, C$4, Captura_Obra!A:A, B12))</f>
        <v>300</v>
      </c>
      <c r="E12" s="49">
        <f t="shared" si="0"/>
        <v>-20</v>
      </c>
      <c r="F12" s="50">
        <f t="shared" si="1"/>
        <v>9056</v>
      </c>
      <c r="G12" s="51">
        <f t="shared" si="2"/>
        <v>8490</v>
      </c>
      <c r="H12" s="52">
        <f t="shared" si="3"/>
        <v>-566</v>
      </c>
      <c r="I12" s="199"/>
    </row>
    <row r="13" spans="1:9" ht="16.05" customHeight="1">
      <c r="A13" s="53" t="s">
        <v>182</v>
      </c>
      <c r="B13" s="54">
        <f>B12+1</f>
        <v>46184</v>
      </c>
      <c r="C13" s="55">
        <f>IF(C$4="Todas", SUMIFS(Solicitudes!F:F, Solicitudes!C:C, B13), SUMIFS(Solicitudes!F:F, Solicitudes!B:B, C$4, Solicitudes!C:C, B13))</f>
        <v>0</v>
      </c>
      <c r="D13" s="56">
        <f>IF(C$4="Todas", SUMIFS(Captura_Obra!F:F, Captura_Obra!A:A, B13), SUMIFS(Captura_Obra!F:F, Captura_Obra!B:B, C$4, Captura_Obra!A:A, B13))</f>
        <v>256</v>
      </c>
      <c r="E13" s="57">
        <f t="shared" si="0"/>
        <v>256</v>
      </c>
      <c r="F13" s="58">
        <f t="shared" si="1"/>
        <v>0</v>
      </c>
      <c r="G13" s="59">
        <f t="shared" si="2"/>
        <v>7244.8</v>
      </c>
      <c r="H13" s="60">
        <f t="shared" si="3"/>
        <v>7244.8</v>
      </c>
      <c r="I13" s="200"/>
    </row>
    <row r="14" spans="1:9" ht="16.05" customHeight="1">
      <c r="A14" s="61" t="s">
        <v>183</v>
      </c>
      <c r="B14" s="62">
        <f>B13+1</f>
        <v>46185</v>
      </c>
      <c r="C14" s="63">
        <f>IF(C$4="Todas", SUMIFS(Solicitudes!F:F, Solicitudes!C:C, B14), SUMIFS(Solicitudes!F:F, Solicitudes!B:B, C$4, Solicitudes!C:C, B14))</f>
        <v>540</v>
      </c>
      <c r="D14" s="64">
        <f>IF(C$4="Todas", SUMIFS(Captura_Obra!F:F, Captura_Obra!A:A, B14), SUMIFS(Captura_Obra!F:F, Captura_Obra!B:B, C$4, Captura_Obra!A:A, B14))</f>
        <v>360</v>
      </c>
      <c r="E14" s="65">
        <f t="shared" si="0"/>
        <v>-180</v>
      </c>
      <c r="F14" s="66">
        <f t="shared" si="1"/>
        <v>15282</v>
      </c>
      <c r="G14" s="67">
        <f t="shared" si="2"/>
        <v>10188</v>
      </c>
      <c r="H14" s="68">
        <f t="shared" si="3"/>
        <v>-5094</v>
      </c>
      <c r="I14" s="201"/>
    </row>
    <row r="15" spans="1:9" ht="16.05" customHeight="1">
      <c r="A15" s="69" t="s">
        <v>184</v>
      </c>
      <c r="B15" s="70">
        <f>B14+1</f>
        <v>46186</v>
      </c>
      <c r="C15" s="71">
        <f>IF(C$4="Todas", SUMIFS(Solicitudes!F:F, Solicitudes!C:C, B15), SUMIFS(Solicitudes!F:F, Solicitudes!B:B, C$4, Solicitudes!C:C, B15))</f>
        <v>0</v>
      </c>
      <c r="D15" s="72">
        <f>IF(C$4="Todas", SUMIFS(Captura_Obra!F:F, Captura_Obra!A:A, B15), SUMIFS(Captura_Obra!F:F, Captura_Obra!B:B, C$4, Captura_Obra!A:A, B15))</f>
        <v>0</v>
      </c>
      <c r="E15" s="73">
        <f t="shared" si="0"/>
        <v>0</v>
      </c>
      <c r="F15" s="74">
        <f t="shared" si="1"/>
        <v>0</v>
      </c>
      <c r="G15" s="75">
        <f t="shared" si="2"/>
        <v>0</v>
      </c>
      <c r="H15" s="76">
        <f t="shared" si="3"/>
        <v>0</v>
      </c>
      <c r="I15" s="202"/>
    </row>
    <row r="16" spans="1:9" ht="17.55" customHeight="1">
      <c r="A16" s="77" t="s">
        <v>185</v>
      </c>
      <c r="B16" s="78"/>
      <c r="C16" s="79">
        <f t="shared" ref="C16:H16" si="4">SUM(C10:C15)</f>
        <v>1500</v>
      </c>
      <c r="D16" s="80">
        <f t="shared" si="4"/>
        <v>1285</v>
      </c>
      <c r="E16" s="81">
        <f t="shared" si="4"/>
        <v>-215</v>
      </c>
      <c r="F16" s="82">
        <f t="shared" si="4"/>
        <v>42450</v>
      </c>
      <c r="G16" s="83">
        <f t="shared" si="4"/>
        <v>36365.5</v>
      </c>
      <c r="H16" s="84">
        <f t="shared" si="4"/>
        <v>-6084.4999999999991</v>
      </c>
      <c r="I16" s="203"/>
    </row>
    <row r="17" spans="1:9" ht="16.8">
      <c r="A17" s="204"/>
      <c r="B17" s="205"/>
      <c r="C17" s="206"/>
      <c r="D17" s="207"/>
      <c r="E17" s="208"/>
      <c r="F17" s="209"/>
      <c r="G17" s="210"/>
      <c r="H17" s="211"/>
      <c r="I17" s="212"/>
    </row>
    <row r="18" spans="1:9" ht="16.8">
      <c r="A18" s="213"/>
      <c r="B18" s="214"/>
      <c r="C18" s="215"/>
      <c r="D18" s="216"/>
      <c r="E18" s="217"/>
      <c r="F18" s="218"/>
      <c r="G18" s="219"/>
      <c r="H18" s="220"/>
      <c r="I18" s="221"/>
    </row>
    <row r="19" spans="1:9" ht="16.05" customHeight="1">
      <c r="A19" s="397" t="s">
        <v>186</v>
      </c>
      <c r="B19" s="398"/>
      <c r="C19" s="399"/>
      <c r="D19" s="400"/>
      <c r="E19" s="401"/>
      <c r="F19" s="402"/>
      <c r="G19" s="403"/>
      <c r="H19" s="404"/>
      <c r="I19" s="405"/>
    </row>
    <row r="20" spans="1:9" ht="19.2" customHeight="1">
      <c r="A20" s="85" t="s">
        <v>172</v>
      </c>
      <c r="B20" s="86" t="s">
        <v>11</v>
      </c>
      <c r="C20" s="87" t="s">
        <v>187</v>
      </c>
      <c r="D20" s="88" t="s">
        <v>188</v>
      </c>
      <c r="E20" s="89" t="s">
        <v>189</v>
      </c>
      <c r="F20" s="90" t="s">
        <v>190</v>
      </c>
      <c r="G20" s="91" t="s">
        <v>191</v>
      </c>
      <c r="H20" s="92" t="s">
        <v>192</v>
      </c>
      <c r="I20" s="93" t="s">
        <v>193</v>
      </c>
    </row>
    <row r="21" spans="1:9" ht="16.05" customHeight="1">
      <c r="A21" s="94" t="s">
        <v>179</v>
      </c>
      <c r="B21" s="95">
        <f t="shared" ref="B21:B26" si="5">B10</f>
        <v>46181</v>
      </c>
      <c r="C21" s="96">
        <f>IF(C$4="Todas", SUMIFS(Captura_Obra!F:F, Captura_Obra!A:A, B21, Captura_Obra!C:C, "Marimba M-01"), SUMIFS(Captura_Obra!F:F, Captura_Obra!B:B, C$4, Captura_Obra!A:A, B21, Captura_Obra!C:C, "Marimba M-01"))</f>
        <v>369</v>
      </c>
      <c r="D21" s="97">
        <f>IF(C$4="Todas", SUMIFS(Captura_Marimba_M01!G:G, Captura_Marimba_M01!A:A, B21, Captura_Marimba_M01!B:B, "Salida a Obra"), SUMIFS(Captura_Marimba_M01!G:G, Captura_Marimba_M01!C:C, C$4, Captura_Marimba_M01!A:A, B21, Captura_Marimba_M01!B:B, "Salida a Obra"))</f>
        <v>369</v>
      </c>
      <c r="E21" s="98">
        <f t="shared" ref="E21:E26" si="6">C21-D21</f>
        <v>0</v>
      </c>
      <c r="F21" s="99">
        <f>IF(C$4="Todas", SUMIFS(Captura_Obra!F:F, Captura_Obra!A:A, B21, Captura_Obra!C:C, "Pegaso Directo"), SUMIFS(Captura_Obra!F:F, Captura_Obra!B:B, C$4, Captura_Obra!A:A, B21, Captura_Obra!C:C, "Pegaso Directo"))</f>
        <v>0</v>
      </c>
      <c r="G21" s="100">
        <f>IF(C$4="Todas", SUMIFS(Captura_Pegaso!H:H, Captura_Pegaso!A:A, B21, Captura_Pegaso!B:B, "Salida Directa Máquina"), SUMIFS(Captura_Pegaso!H:H, Captura_Pegaso!D:D, C$4, Captura_Pegaso!A:A, B21, Captura_Pegaso!B:B, "Salida Directa Máquina"))</f>
        <v>0</v>
      </c>
      <c r="H21" s="101">
        <f t="shared" ref="H21:H26" si="7">F21-G21</f>
        <v>0</v>
      </c>
      <c r="I21" s="102">
        <f t="shared" ref="I21:I26" si="8">E21+H21</f>
        <v>0</v>
      </c>
    </row>
    <row r="22" spans="1:9" ht="16.05" customHeight="1">
      <c r="A22" s="103" t="s">
        <v>180</v>
      </c>
      <c r="B22" s="104">
        <f t="shared" si="5"/>
        <v>46182</v>
      </c>
      <c r="C22" s="105">
        <f>IF(C$4="Todas", SUMIFS(Captura_Obra!F:F, Captura_Obra!A:A, B22, Captura_Obra!C:C, "Marimba M-01"), SUMIFS(Captura_Obra!F:F, Captura_Obra!B:B, C$4, Captura_Obra!A:A, B22, Captura_Obra!C:C, "Marimba M-01"))</f>
        <v>0</v>
      </c>
      <c r="D22" s="106">
        <f>IF(C$4="Todas", SUMIFS(Captura_Marimba_M01!G:G, Captura_Marimba_M01!A:A, B22, Captura_Marimba_M01!B:B, "Salida a Obra"), SUMIFS(Captura_Marimba_M01!G:G, Captura_Marimba_M01!C:C, C$4, Captura_Marimba_M01!A:A, B22, Captura_Marimba_M01!B:B, "Salida a Obra"))</f>
        <v>0</v>
      </c>
      <c r="E22" s="107">
        <f t="shared" si="6"/>
        <v>0</v>
      </c>
      <c r="F22" s="108">
        <f>IF(C$4="Todas", SUMIFS(Captura_Obra!F:F, Captura_Obra!A:A, B22, Captura_Obra!C:C, "Pegaso Directo"), SUMIFS(Captura_Obra!F:F, Captura_Obra!B:B, C$4, Captura_Obra!A:A, B22, Captura_Obra!C:C, "Pegaso Directo"))</f>
        <v>0</v>
      </c>
      <c r="G22" s="109">
        <f>IF(C$4="Todas", SUMIFS(Captura_Pegaso!H:H, Captura_Pegaso!A:A, B22, Captura_Pegaso!B:B, "Salida Directa Máquina"), SUMIFS(Captura_Pegaso!H:H, Captura_Pegaso!D:D, C$4, Captura_Pegaso!A:A, B22, Captura_Pegaso!B:B, "Salida Directa Máquina"))</f>
        <v>0</v>
      </c>
      <c r="H22" s="110">
        <f t="shared" si="7"/>
        <v>0</v>
      </c>
      <c r="I22" s="111">
        <f t="shared" si="8"/>
        <v>0</v>
      </c>
    </row>
    <row r="23" spans="1:9" ht="16.05" customHeight="1">
      <c r="A23" s="112" t="s">
        <v>181</v>
      </c>
      <c r="B23" s="113">
        <f t="shared" si="5"/>
        <v>46183</v>
      </c>
      <c r="C23" s="114">
        <f>IF(C$4="Todas", SUMIFS(Captura_Obra!F:F, Captura_Obra!A:A, B23, Captura_Obra!C:C, "Marimba M-01"), SUMIFS(Captura_Obra!F:F, Captura_Obra!B:B, C$4, Captura_Obra!A:A, B23, Captura_Obra!C:C, "Marimba M-01"))</f>
        <v>300</v>
      </c>
      <c r="D23" s="115">
        <f>IF(C$4="Todas", SUMIFS(Captura_Marimba_M01!G:G, Captura_Marimba_M01!A:A, B23, Captura_Marimba_M01!B:B, "Salida a Obra"), SUMIFS(Captura_Marimba_M01!G:G, Captura_Marimba_M01!C:C, C$4, Captura_Marimba_M01!A:A, B23, Captura_Marimba_M01!B:B, "Salida a Obra"))</f>
        <v>300</v>
      </c>
      <c r="E23" s="116">
        <f t="shared" si="6"/>
        <v>0</v>
      </c>
      <c r="F23" s="117">
        <f>IF(C$4="Todas", SUMIFS(Captura_Obra!F:F, Captura_Obra!A:A, B23, Captura_Obra!C:C, "Pegaso Directo"), SUMIFS(Captura_Obra!F:F, Captura_Obra!B:B, C$4, Captura_Obra!A:A, B23, Captura_Obra!C:C, "Pegaso Directo"))</f>
        <v>0</v>
      </c>
      <c r="G23" s="118">
        <f>IF(C$4="Todas", SUMIFS(Captura_Pegaso!H:H, Captura_Pegaso!A:A, B23, Captura_Pegaso!B:B, "Salida Directa Máquina"), SUMIFS(Captura_Pegaso!H:H, Captura_Pegaso!D:D, C$4, Captura_Pegaso!A:A, B23, Captura_Pegaso!B:B, "Salida Directa Máquina"))</f>
        <v>0</v>
      </c>
      <c r="H23" s="119">
        <f t="shared" si="7"/>
        <v>0</v>
      </c>
      <c r="I23" s="120">
        <f t="shared" si="8"/>
        <v>0</v>
      </c>
    </row>
    <row r="24" spans="1:9" ht="16.05" customHeight="1">
      <c r="A24" s="121" t="s">
        <v>182</v>
      </c>
      <c r="B24" s="122">
        <f t="shared" si="5"/>
        <v>46184</v>
      </c>
      <c r="C24" s="123">
        <f>IF(C$4="Todas", SUMIFS(Captura_Obra!F:F, Captura_Obra!A:A, B24, Captura_Obra!C:C, "Marimba M-01"), SUMIFS(Captura_Obra!F:F, Captura_Obra!B:B, C$4, Captura_Obra!A:A, B24, Captura_Obra!C:C, "Marimba M-01"))</f>
        <v>256</v>
      </c>
      <c r="D24" s="124">
        <f>IF(C$4="Todas", SUMIFS(Captura_Marimba_M01!G:G, Captura_Marimba_M01!A:A, B24, Captura_Marimba_M01!B:B, "Salida a Obra"), SUMIFS(Captura_Marimba_M01!G:G, Captura_Marimba_M01!C:C, C$4, Captura_Marimba_M01!A:A, B24, Captura_Marimba_M01!B:B, "Salida a Obra"))</f>
        <v>256</v>
      </c>
      <c r="E24" s="125">
        <f t="shared" si="6"/>
        <v>0</v>
      </c>
      <c r="F24" s="126">
        <f>IF(C$4="Todas", SUMIFS(Captura_Obra!F:F, Captura_Obra!A:A, B24, Captura_Obra!C:C, "Pegaso Directo"), SUMIFS(Captura_Obra!F:F, Captura_Obra!B:B, C$4, Captura_Obra!A:A, B24, Captura_Obra!C:C, "Pegaso Directo"))</f>
        <v>0</v>
      </c>
      <c r="G24" s="127">
        <f>IF(C$4="Todas", SUMIFS(Captura_Pegaso!H:H, Captura_Pegaso!A:A, B24, Captura_Pegaso!B:B, "Salida Directa Máquina"), SUMIFS(Captura_Pegaso!H:H, Captura_Pegaso!D:D, C$4, Captura_Pegaso!A:A, B24, Captura_Pegaso!B:B, "Salida Directa Máquina"))</f>
        <v>0</v>
      </c>
      <c r="H24" s="128">
        <f t="shared" si="7"/>
        <v>0</v>
      </c>
      <c r="I24" s="129">
        <f t="shared" si="8"/>
        <v>0</v>
      </c>
    </row>
    <row r="25" spans="1:9" ht="16.05" customHeight="1">
      <c r="A25" s="130" t="s">
        <v>183</v>
      </c>
      <c r="B25" s="131">
        <f t="shared" si="5"/>
        <v>46185</v>
      </c>
      <c r="C25" s="132">
        <f>IF(C$4="Todas", SUMIFS(Captura_Obra!F:F, Captura_Obra!A:A, B25, Captura_Obra!C:C, "Marimba M-01"), SUMIFS(Captura_Obra!F:F, Captura_Obra!B:B, C$4, Captura_Obra!A:A, B25, Captura_Obra!C:C, "Marimba M-01"))</f>
        <v>360</v>
      </c>
      <c r="D25" s="133">
        <f>IF(C$4="Todas", SUMIFS(Captura_Marimba_M01!G:G, Captura_Marimba_M01!A:A, B25, Captura_Marimba_M01!B:B, "Salida a Obra"), SUMIFS(Captura_Marimba_M01!G:G, Captura_Marimba_M01!C:C, C$4, Captura_Marimba_M01!A:A, B25, Captura_Marimba_M01!B:B, "Salida a Obra"))</f>
        <v>360</v>
      </c>
      <c r="E25" s="134">
        <f t="shared" si="6"/>
        <v>0</v>
      </c>
      <c r="F25" s="135">
        <f>IF(C$4="Todas", SUMIFS(Captura_Obra!F:F, Captura_Obra!A:A, B25, Captura_Obra!C:C, "Pegaso Directo"), SUMIFS(Captura_Obra!F:F, Captura_Obra!B:B, C$4, Captura_Obra!A:A, B25, Captura_Obra!C:C, "Pegaso Directo"))</f>
        <v>0</v>
      </c>
      <c r="G25" s="136">
        <f>IF(C$4="Todas", SUMIFS(Captura_Pegaso!H:H, Captura_Pegaso!A:A, B25, Captura_Pegaso!B:B, "Salida Directa Máquina"), SUMIFS(Captura_Pegaso!H:H, Captura_Pegaso!D:D, C$4, Captura_Pegaso!A:A, B25, Captura_Pegaso!B:B, "Salida Directa Máquina"))</f>
        <v>0</v>
      </c>
      <c r="H25" s="137">
        <f t="shared" si="7"/>
        <v>0</v>
      </c>
      <c r="I25" s="138">
        <f t="shared" si="8"/>
        <v>0</v>
      </c>
    </row>
    <row r="26" spans="1:9" ht="16.05" customHeight="1">
      <c r="A26" s="139" t="s">
        <v>184</v>
      </c>
      <c r="B26" s="140">
        <f t="shared" si="5"/>
        <v>46186</v>
      </c>
      <c r="C26" s="141">
        <f>IF(C$4="Todas", SUMIFS(Captura_Obra!F:F, Captura_Obra!A:A, B26, Captura_Obra!C:C, "Marimba M-01"), SUMIFS(Captura_Obra!F:F, Captura_Obra!B:B, C$4, Captura_Obra!A:A, B26, Captura_Obra!C:C, "Marimba M-01"))</f>
        <v>0</v>
      </c>
      <c r="D26" s="142">
        <f>IF(C$4="Todas", SUMIFS(Captura_Marimba_M01!G:G, Captura_Marimba_M01!A:A, B26, Captura_Marimba_M01!B:B, "Salida a Obra"), SUMIFS(Captura_Marimba_M01!G:G, Captura_Marimba_M01!C:C, C$4, Captura_Marimba_M01!A:A, B26, Captura_Marimba_M01!B:B, "Salida a Obra"))</f>
        <v>0</v>
      </c>
      <c r="E26" s="143">
        <f t="shared" si="6"/>
        <v>0</v>
      </c>
      <c r="F26" s="144">
        <f>IF(C$4="Todas", SUMIFS(Captura_Obra!F:F, Captura_Obra!A:A, B26, Captura_Obra!C:C, "Pegaso Directo"), SUMIFS(Captura_Obra!F:F, Captura_Obra!B:B, C$4, Captura_Obra!A:A, B26, Captura_Obra!C:C, "Pegaso Directo"))</f>
        <v>0</v>
      </c>
      <c r="G26" s="145">
        <f>IF(C$4="Todas", SUMIFS(Captura_Pegaso!H:H, Captura_Pegaso!A:A, B26, Captura_Pegaso!B:B, "Salida Directa Máquina"), SUMIFS(Captura_Pegaso!H:H, Captura_Pegaso!D:D, C$4, Captura_Pegaso!A:A, B26, Captura_Pegaso!B:B, "Salida Directa Máquina"))</f>
        <v>0</v>
      </c>
      <c r="H26" s="146">
        <f t="shared" si="7"/>
        <v>0</v>
      </c>
      <c r="I26" s="147">
        <f t="shared" si="8"/>
        <v>0</v>
      </c>
    </row>
    <row r="27" spans="1:9" ht="17.55" customHeight="1">
      <c r="A27" s="148" t="s">
        <v>185</v>
      </c>
      <c r="B27" s="149"/>
      <c r="C27" s="150">
        <f t="shared" ref="C27:I27" si="9">SUM(C21:C26)</f>
        <v>1285</v>
      </c>
      <c r="D27" s="151">
        <f t="shared" si="9"/>
        <v>1285</v>
      </c>
      <c r="E27" s="152">
        <f t="shared" si="9"/>
        <v>0</v>
      </c>
      <c r="F27" s="153">
        <f t="shared" si="9"/>
        <v>0</v>
      </c>
      <c r="G27" s="154">
        <f t="shared" si="9"/>
        <v>0</v>
      </c>
      <c r="H27" s="155">
        <f t="shared" si="9"/>
        <v>0</v>
      </c>
      <c r="I27" s="156">
        <f t="shared" si="9"/>
        <v>0</v>
      </c>
    </row>
    <row r="28" spans="1:9" ht="16.8">
      <c r="A28" s="222"/>
      <c r="B28" s="223"/>
      <c r="C28" s="224"/>
      <c r="D28" s="225"/>
      <c r="E28" s="226"/>
      <c r="F28" s="227"/>
      <c r="G28" s="228"/>
      <c r="H28" s="229"/>
      <c r="I28" s="230"/>
    </row>
    <row r="29" spans="1:9" ht="16.8">
      <c r="A29" s="231"/>
      <c r="B29" s="232"/>
      <c r="C29" s="233"/>
      <c r="D29" s="234"/>
      <c r="E29" s="235"/>
      <c r="F29" s="236"/>
      <c r="G29" s="237"/>
      <c r="H29" s="238"/>
      <c r="I29" s="239"/>
    </row>
    <row r="30" spans="1:9" ht="16.8">
      <c r="A30" s="240"/>
      <c r="B30" s="241"/>
      <c r="C30" s="242"/>
      <c r="D30" s="243"/>
      <c r="E30" s="244"/>
      <c r="F30" s="245"/>
      <c r="G30" s="246"/>
      <c r="H30" s="247"/>
      <c r="I30" s="248"/>
    </row>
    <row r="31" spans="1:9" ht="16.8">
      <c r="A31" s="249"/>
      <c r="B31" s="250"/>
      <c r="C31" s="251"/>
      <c r="D31" s="252"/>
      <c r="E31" s="253"/>
      <c r="F31" s="254"/>
      <c r="G31" s="255"/>
      <c r="H31" s="256"/>
      <c r="I31" s="257"/>
    </row>
    <row r="32" spans="1:9" ht="16.8">
      <c r="A32" s="258"/>
      <c r="B32" s="259"/>
      <c r="C32" s="260"/>
      <c r="D32" s="261"/>
      <c r="E32" s="262"/>
      <c r="F32" s="263"/>
      <c r="G32" s="264"/>
      <c r="H32" s="265"/>
      <c r="I32" s="266"/>
    </row>
    <row r="33" spans="1:9" ht="16.8">
      <c r="A33" s="267"/>
      <c r="B33" s="268"/>
      <c r="C33" s="269"/>
      <c r="D33" s="270"/>
      <c r="E33" s="271"/>
      <c r="F33" s="272"/>
      <c r="G33" s="273"/>
      <c r="H33" s="274"/>
      <c r="I33" s="275"/>
    </row>
    <row r="34" spans="1:9" ht="16.8">
      <c r="A34" s="276"/>
      <c r="B34" s="277"/>
      <c r="C34" s="278"/>
      <c r="D34" s="279"/>
      <c r="E34" s="280"/>
      <c r="F34" s="281"/>
      <c r="G34" s="282"/>
      <c r="H34" s="283"/>
      <c r="I34" s="284"/>
    </row>
    <row r="35" spans="1:9" ht="16.8">
      <c r="A35" s="285"/>
      <c r="B35" s="286"/>
      <c r="C35" s="287"/>
      <c r="D35" s="288"/>
      <c r="E35" s="289"/>
      <c r="F35" s="290"/>
      <c r="G35" s="291"/>
      <c r="H35" s="292"/>
      <c r="I35" s="293"/>
    </row>
  </sheetData>
  <mergeCells count="4">
    <mergeCell ref="A1:I1"/>
    <mergeCell ref="A3:I3"/>
    <mergeCell ref="A8:I8"/>
    <mergeCell ref="A19:I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Obra no válida" error="undefined" promptTitle="undefined" prompt="undefined" xr:uid="{00000000-0002-0000-0000-000000000000}">
          <x14:formula1>
            <xm:f>Catalogos!$K$4:$K$15</xm:f>
          </x14:formula1>
          <xm:sqref>C4</xm:sqref>
        </x14:dataValidation>
        <x14:dataValidation type="list" allowBlank="1" showInputMessage="1" showErrorMessage="1" errorTitle="Semana no válida" error="undefined" promptTitle="undefined" prompt="undefined" xr:uid="{00000000-0002-0000-0000-000001000000}">
          <x14:formula1>
            <xm:f>Catalogos!$L$4:$L$33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5EAC-5500-44B3-B7A3-B76E3C1E15CE}">
  <dimension ref="B2:J39"/>
  <sheetViews>
    <sheetView tabSelected="1" workbookViewId="0">
      <selection activeCell="B11" sqref="B11"/>
    </sheetView>
  </sheetViews>
  <sheetFormatPr baseColWidth="10" defaultRowHeight="13.8"/>
  <cols>
    <col min="2" max="2" width="26.5" bestFit="1" customWidth="1"/>
    <col min="3" max="3" width="21.8984375" bestFit="1" customWidth="1"/>
    <col min="4" max="4" width="15.296875" bestFit="1" customWidth="1"/>
    <col min="5" max="5" width="20.296875" bestFit="1" customWidth="1"/>
    <col min="6" max="6" width="15.296875" bestFit="1" customWidth="1"/>
    <col min="7" max="7" width="20.296875" bestFit="1" customWidth="1"/>
    <col min="8" max="8" width="15.296875" bestFit="1" customWidth="1"/>
    <col min="9" max="9" width="25.19921875" bestFit="1" customWidth="1"/>
    <col min="10" max="10" width="20.19921875" bestFit="1" customWidth="1"/>
  </cols>
  <sheetData>
    <row r="2" spans="2:10">
      <c r="B2" s="366" t="s">
        <v>335</v>
      </c>
    </row>
    <row r="5" spans="2:10">
      <c r="C5" s="367" t="s">
        <v>333</v>
      </c>
    </row>
    <row r="6" spans="2:10">
      <c r="C6" t="s">
        <v>208</v>
      </c>
      <c r="E6" t="s">
        <v>246</v>
      </c>
      <c r="G6" t="s">
        <v>301</v>
      </c>
      <c r="I6" t="s">
        <v>337</v>
      </c>
      <c r="J6" t="s">
        <v>338</v>
      </c>
    </row>
    <row r="7" spans="2:10">
      <c r="B7" s="367" t="s">
        <v>331</v>
      </c>
      <c r="C7" t="s">
        <v>336</v>
      </c>
      <c r="D7" t="s">
        <v>339</v>
      </c>
      <c r="E7" t="s">
        <v>336</v>
      </c>
      <c r="F7" t="s">
        <v>339</v>
      </c>
      <c r="G7" t="s">
        <v>336</v>
      </c>
      <c r="H7" t="s">
        <v>339</v>
      </c>
    </row>
    <row r="8" spans="2:10">
      <c r="B8" s="368">
        <v>22</v>
      </c>
      <c r="C8" s="365"/>
      <c r="D8" s="3"/>
      <c r="E8" s="365">
        <v>6</v>
      </c>
      <c r="F8" s="3">
        <v>6</v>
      </c>
      <c r="G8" s="365"/>
      <c r="H8" s="3"/>
      <c r="I8" s="365">
        <v>6</v>
      </c>
      <c r="J8" s="3">
        <v>6</v>
      </c>
    </row>
    <row r="9" spans="2:10">
      <c r="B9" s="368">
        <v>23</v>
      </c>
      <c r="C9" s="365"/>
      <c r="D9" s="3"/>
      <c r="E9" s="365">
        <v>12</v>
      </c>
      <c r="F9" s="3">
        <v>12</v>
      </c>
      <c r="G9" s="365"/>
      <c r="H9" s="3"/>
      <c r="I9" s="365">
        <v>12</v>
      </c>
      <c r="J9" s="3">
        <v>12</v>
      </c>
    </row>
    <row r="10" spans="2:10">
      <c r="B10" s="368">
        <v>24</v>
      </c>
      <c r="C10" s="365">
        <v>70</v>
      </c>
      <c r="D10" s="3">
        <v>70</v>
      </c>
      <c r="E10" s="365">
        <v>107</v>
      </c>
      <c r="F10" s="3">
        <v>107</v>
      </c>
      <c r="G10" s="365"/>
      <c r="H10" s="3"/>
      <c r="I10" s="365">
        <v>177</v>
      </c>
      <c r="J10" s="3">
        <v>177</v>
      </c>
    </row>
    <row r="11" spans="2:10">
      <c r="B11" s="368">
        <v>25</v>
      </c>
      <c r="C11" s="365">
        <v>67</v>
      </c>
      <c r="D11" s="3">
        <v>67</v>
      </c>
      <c r="E11" s="365">
        <v>109</v>
      </c>
      <c r="F11" s="3">
        <v>109</v>
      </c>
      <c r="G11" s="365">
        <v>15</v>
      </c>
      <c r="H11" s="3">
        <v>15</v>
      </c>
      <c r="I11" s="365">
        <v>191</v>
      </c>
      <c r="J11" s="3">
        <v>191</v>
      </c>
    </row>
    <row r="12" spans="2:10">
      <c r="B12" s="369" t="s">
        <v>126</v>
      </c>
      <c r="C12" s="365">
        <v>9</v>
      </c>
      <c r="D12" s="3">
        <v>9</v>
      </c>
      <c r="E12" s="365">
        <v>8</v>
      </c>
      <c r="F12" s="3">
        <v>8</v>
      </c>
      <c r="G12" s="365"/>
      <c r="H12" s="3"/>
      <c r="I12" s="365">
        <v>17</v>
      </c>
      <c r="J12" s="3">
        <v>17</v>
      </c>
    </row>
    <row r="13" spans="2:10">
      <c r="B13" s="369" t="s">
        <v>256</v>
      </c>
      <c r="C13" s="365"/>
      <c r="D13" s="3"/>
      <c r="E13" s="365">
        <v>1</v>
      </c>
      <c r="F13" s="3">
        <v>1</v>
      </c>
      <c r="G13" s="365"/>
      <c r="H13" s="3"/>
      <c r="I13" s="365">
        <v>1</v>
      </c>
      <c r="J13" s="3">
        <v>1</v>
      </c>
    </row>
    <row r="14" spans="2:10">
      <c r="B14" s="369" t="s">
        <v>289</v>
      </c>
      <c r="C14" s="365"/>
      <c r="D14" s="3"/>
      <c r="E14" s="365">
        <v>10</v>
      </c>
      <c r="F14" s="3">
        <v>10</v>
      </c>
      <c r="G14" s="365"/>
      <c r="H14" s="3"/>
      <c r="I14" s="365">
        <v>10</v>
      </c>
      <c r="J14" s="3">
        <v>10</v>
      </c>
    </row>
    <row r="15" spans="2:10">
      <c r="B15" s="369" t="s">
        <v>2</v>
      </c>
      <c r="C15" s="365">
        <v>19</v>
      </c>
      <c r="D15" s="3">
        <v>19</v>
      </c>
      <c r="E15" s="365">
        <v>18</v>
      </c>
      <c r="F15" s="3">
        <v>18</v>
      </c>
      <c r="G15" s="365"/>
      <c r="H15" s="3"/>
      <c r="I15" s="365">
        <v>37</v>
      </c>
      <c r="J15" s="3">
        <v>37</v>
      </c>
    </row>
    <row r="16" spans="2:10">
      <c r="B16" s="369" t="s">
        <v>247</v>
      </c>
      <c r="C16" s="365"/>
      <c r="D16" s="3"/>
      <c r="E16" s="365">
        <v>3</v>
      </c>
      <c r="F16" s="3">
        <v>3</v>
      </c>
      <c r="G16" s="365">
        <v>2</v>
      </c>
      <c r="H16" s="3">
        <v>2</v>
      </c>
      <c r="I16" s="365">
        <v>5</v>
      </c>
      <c r="J16" s="3">
        <v>5</v>
      </c>
    </row>
    <row r="17" spans="2:10">
      <c r="B17" s="369" t="s">
        <v>1</v>
      </c>
      <c r="C17" s="365">
        <v>39</v>
      </c>
      <c r="D17" s="3">
        <v>39</v>
      </c>
      <c r="E17" s="365">
        <v>60</v>
      </c>
      <c r="F17" s="3">
        <v>60</v>
      </c>
      <c r="G17" s="365">
        <v>5</v>
      </c>
      <c r="H17" s="3">
        <v>5</v>
      </c>
      <c r="I17" s="365">
        <v>104</v>
      </c>
      <c r="J17" s="3">
        <v>104</v>
      </c>
    </row>
    <row r="18" spans="2:10">
      <c r="B18" s="369" t="s">
        <v>140</v>
      </c>
      <c r="C18" s="365"/>
      <c r="D18" s="3"/>
      <c r="E18" s="365">
        <v>9</v>
      </c>
      <c r="F18" s="3">
        <v>9</v>
      </c>
      <c r="G18" s="365">
        <v>4</v>
      </c>
      <c r="H18" s="3">
        <v>4</v>
      </c>
      <c r="I18" s="365">
        <v>13</v>
      </c>
      <c r="J18" s="3">
        <v>13</v>
      </c>
    </row>
    <row r="19" spans="2:10">
      <c r="B19" s="369" t="s">
        <v>300</v>
      </c>
      <c r="C19" s="365"/>
      <c r="D19" s="3"/>
      <c r="E19" s="365"/>
      <c r="F19" s="3"/>
      <c r="G19" s="365">
        <v>4</v>
      </c>
      <c r="H19" s="3">
        <v>4</v>
      </c>
      <c r="I19" s="365">
        <v>4</v>
      </c>
      <c r="J19" s="3">
        <v>4</v>
      </c>
    </row>
    <row r="20" spans="2:10">
      <c r="B20" s="368">
        <v>26</v>
      </c>
      <c r="C20" s="365">
        <v>142</v>
      </c>
      <c r="D20" s="3">
        <v>142</v>
      </c>
      <c r="E20" s="365">
        <v>88</v>
      </c>
      <c r="F20" s="3">
        <v>88</v>
      </c>
      <c r="G20" s="365">
        <v>12</v>
      </c>
      <c r="H20" s="3">
        <v>12</v>
      </c>
      <c r="I20" s="365">
        <v>242</v>
      </c>
      <c r="J20" s="3">
        <v>242</v>
      </c>
    </row>
    <row r="21" spans="2:10">
      <c r="B21" s="369" t="s">
        <v>126</v>
      </c>
      <c r="C21" s="365">
        <v>19</v>
      </c>
      <c r="D21" s="3">
        <v>19</v>
      </c>
      <c r="E21" s="365">
        <v>11</v>
      </c>
      <c r="F21" s="3">
        <v>11</v>
      </c>
      <c r="G21" s="365"/>
      <c r="H21" s="3"/>
      <c r="I21" s="365">
        <v>30</v>
      </c>
      <c r="J21" s="3">
        <v>30</v>
      </c>
    </row>
    <row r="22" spans="2:10">
      <c r="B22" s="369" t="s">
        <v>256</v>
      </c>
      <c r="C22" s="365"/>
      <c r="D22" s="3"/>
      <c r="E22" s="365">
        <v>2</v>
      </c>
      <c r="F22" s="3">
        <v>2</v>
      </c>
      <c r="G22" s="365"/>
      <c r="H22" s="3"/>
      <c r="I22" s="365">
        <v>2</v>
      </c>
      <c r="J22" s="3">
        <v>2</v>
      </c>
    </row>
    <row r="23" spans="2:10">
      <c r="B23" s="369" t="s">
        <v>289</v>
      </c>
      <c r="C23" s="365"/>
      <c r="D23" s="3"/>
      <c r="E23" s="365">
        <v>11</v>
      </c>
      <c r="F23" s="3">
        <v>11</v>
      </c>
      <c r="G23" s="365"/>
      <c r="H23" s="3"/>
      <c r="I23" s="365">
        <v>11</v>
      </c>
      <c r="J23" s="3">
        <v>11</v>
      </c>
    </row>
    <row r="24" spans="2:10">
      <c r="B24" s="369" t="s">
        <v>2</v>
      </c>
      <c r="C24" s="365">
        <v>60</v>
      </c>
      <c r="D24" s="3">
        <v>60</v>
      </c>
      <c r="E24" s="365">
        <v>16</v>
      </c>
      <c r="F24" s="3">
        <v>16</v>
      </c>
      <c r="G24" s="365"/>
      <c r="H24" s="3"/>
      <c r="I24" s="365">
        <v>76</v>
      </c>
      <c r="J24" s="3">
        <v>76</v>
      </c>
    </row>
    <row r="25" spans="2:10">
      <c r="B25" s="369" t="s">
        <v>247</v>
      </c>
      <c r="C25" s="365"/>
      <c r="D25" s="3"/>
      <c r="E25" s="365">
        <v>7</v>
      </c>
      <c r="F25" s="3">
        <v>7</v>
      </c>
      <c r="G25" s="365"/>
      <c r="H25" s="3"/>
      <c r="I25" s="365">
        <v>7</v>
      </c>
      <c r="J25" s="3">
        <v>7</v>
      </c>
    </row>
    <row r="26" spans="2:10">
      <c r="B26" s="369" t="s">
        <v>1</v>
      </c>
      <c r="C26" s="365">
        <v>39</v>
      </c>
      <c r="D26" s="3">
        <v>39</v>
      </c>
      <c r="E26" s="365">
        <v>32</v>
      </c>
      <c r="F26" s="3">
        <v>32</v>
      </c>
      <c r="G26" s="365">
        <v>9</v>
      </c>
      <c r="H26" s="3">
        <v>9</v>
      </c>
      <c r="I26" s="365">
        <v>80</v>
      </c>
      <c r="J26" s="3">
        <v>80</v>
      </c>
    </row>
    <row r="27" spans="2:10">
      <c r="B27" s="369" t="s">
        <v>130</v>
      </c>
      <c r="C27" s="365">
        <v>4</v>
      </c>
      <c r="D27" s="3">
        <v>4</v>
      </c>
      <c r="E27" s="365"/>
      <c r="F27" s="3"/>
      <c r="G27" s="365"/>
      <c r="H27" s="3"/>
      <c r="I27" s="365">
        <v>4</v>
      </c>
      <c r="J27" s="3">
        <v>4</v>
      </c>
    </row>
    <row r="28" spans="2:10">
      <c r="B28" s="369" t="s">
        <v>140</v>
      </c>
      <c r="C28" s="365">
        <v>20</v>
      </c>
      <c r="D28" s="3">
        <v>20</v>
      </c>
      <c r="E28" s="365">
        <v>9</v>
      </c>
      <c r="F28" s="3">
        <v>9</v>
      </c>
      <c r="G28" s="365">
        <v>1</v>
      </c>
      <c r="H28" s="3">
        <v>1</v>
      </c>
      <c r="I28" s="365">
        <v>30</v>
      </c>
      <c r="J28" s="3">
        <v>30</v>
      </c>
    </row>
    <row r="29" spans="2:10">
      <c r="B29" s="369" t="s">
        <v>300</v>
      </c>
      <c r="C29" s="365"/>
      <c r="D29" s="3"/>
      <c r="E29" s="365"/>
      <c r="F29" s="3"/>
      <c r="G29" s="365">
        <v>2</v>
      </c>
      <c r="H29" s="3">
        <v>2</v>
      </c>
      <c r="I29" s="365">
        <v>2</v>
      </c>
      <c r="J29" s="3">
        <v>2</v>
      </c>
    </row>
    <row r="30" spans="2:10">
      <c r="B30" s="368">
        <v>27</v>
      </c>
      <c r="C30" s="365">
        <v>104</v>
      </c>
      <c r="D30" s="3">
        <v>104</v>
      </c>
      <c r="E30" s="365">
        <v>30</v>
      </c>
      <c r="F30" s="3">
        <v>30</v>
      </c>
      <c r="G30" s="365"/>
      <c r="H30" s="3"/>
      <c r="I30" s="365">
        <v>134</v>
      </c>
      <c r="J30" s="3">
        <v>134</v>
      </c>
    </row>
    <row r="31" spans="2:10">
      <c r="B31" s="369" t="s">
        <v>126</v>
      </c>
      <c r="C31" s="365">
        <v>26</v>
      </c>
      <c r="D31" s="3">
        <v>26</v>
      </c>
      <c r="E31" s="365">
        <v>1</v>
      </c>
      <c r="F31" s="3">
        <v>1</v>
      </c>
      <c r="G31" s="365"/>
      <c r="H31" s="3"/>
      <c r="I31" s="365">
        <v>27</v>
      </c>
      <c r="J31" s="3">
        <v>27</v>
      </c>
    </row>
    <row r="32" spans="2:10">
      <c r="B32" s="369" t="s">
        <v>256</v>
      </c>
      <c r="C32" s="365"/>
      <c r="D32" s="3"/>
      <c r="E32" s="365">
        <v>1</v>
      </c>
      <c r="F32" s="3">
        <v>1</v>
      </c>
      <c r="G32" s="365"/>
      <c r="H32" s="3"/>
      <c r="I32" s="365">
        <v>1</v>
      </c>
      <c r="J32" s="3">
        <v>1</v>
      </c>
    </row>
    <row r="33" spans="2:10">
      <c r="B33" s="369" t="s">
        <v>2</v>
      </c>
      <c r="C33" s="365"/>
      <c r="D33" s="3"/>
      <c r="E33" s="365">
        <v>8</v>
      </c>
      <c r="F33" s="3">
        <v>8</v>
      </c>
      <c r="G33" s="365"/>
      <c r="H33" s="3"/>
      <c r="I33" s="365">
        <v>8</v>
      </c>
      <c r="J33" s="3">
        <v>8</v>
      </c>
    </row>
    <row r="34" spans="2:10">
      <c r="B34" s="369" t="s">
        <v>1</v>
      </c>
      <c r="C34" s="365">
        <v>53</v>
      </c>
      <c r="D34" s="3">
        <v>53</v>
      </c>
      <c r="E34" s="365">
        <v>11</v>
      </c>
      <c r="F34" s="3">
        <v>11</v>
      </c>
      <c r="G34" s="365"/>
      <c r="H34" s="3"/>
      <c r="I34" s="365">
        <v>64</v>
      </c>
      <c r="J34" s="3">
        <v>64</v>
      </c>
    </row>
    <row r="35" spans="2:10">
      <c r="B35" s="369" t="s">
        <v>235</v>
      </c>
      <c r="C35" s="365">
        <v>25</v>
      </c>
      <c r="D35" s="3">
        <v>25</v>
      </c>
      <c r="E35" s="365"/>
      <c r="F35" s="3"/>
      <c r="G35" s="365"/>
      <c r="H35" s="3"/>
      <c r="I35" s="365">
        <v>25</v>
      </c>
      <c r="J35" s="3">
        <v>25</v>
      </c>
    </row>
    <row r="36" spans="2:10">
      <c r="B36" s="369" t="s">
        <v>130</v>
      </c>
      <c r="C36" s="365"/>
      <c r="D36" s="3"/>
      <c r="E36" s="365">
        <v>2</v>
      </c>
      <c r="F36" s="3">
        <v>2</v>
      </c>
      <c r="G36" s="365"/>
      <c r="H36" s="3"/>
      <c r="I36" s="365">
        <v>2</v>
      </c>
      <c r="J36" s="3">
        <v>2</v>
      </c>
    </row>
    <row r="37" spans="2:10">
      <c r="B37" s="369" t="s">
        <v>140</v>
      </c>
      <c r="C37" s="365"/>
      <c r="D37" s="3"/>
      <c r="E37" s="365">
        <v>4</v>
      </c>
      <c r="F37" s="3">
        <v>4</v>
      </c>
      <c r="G37" s="365"/>
      <c r="H37" s="3"/>
      <c r="I37" s="365">
        <v>4</v>
      </c>
      <c r="J37" s="3">
        <v>4</v>
      </c>
    </row>
    <row r="38" spans="2:10">
      <c r="B38" s="369" t="s">
        <v>263</v>
      </c>
      <c r="C38" s="365"/>
      <c r="D38" s="3"/>
      <c r="E38" s="365">
        <v>3</v>
      </c>
      <c r="F38" s="3">
        <v>3</v>
      </c>
      <c r="G38" s="365"/>
      <c r="H38" s="3"/>
      <c r="I38" s="365">
        <v>3</v>
      </c>
      <c r="J38" s="3">
        <v>3</v>
      </c>
    </row>
    <row r="39" spans="2:10">
      <c r="B39" s="368" t="s">
        <v>332</v>
      </c>
      <c r="C39" s="365">
        <v>383</v>
      </c>
      <c r="D39" s="3">
        <v>383</v>
      </c>
      <c r="E39" s="365">
        <v>352</v>
      </c>
      <c r="F39" s="3">
        <v>352</v>
      </c>
      <c r="G39" s="365">
        <v>27</v>
      </c>
      <c r="H39" s="3">
        <v>27</v>
      </c>
      <c r="I39" s="365">
        <v>762</v>
      </c>
      <c r="J39" s="3">
        <v>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2A3E-74F9-4A1D-887E-013C600F9EFE}">
  <dimension ref="B2:F46"/>
  <sheetViews>
    <sheetView workbookViewId="0"/>
  </sheetViews>
  <sheetFormatPr baseColWidth="10" defaultRowHeight="13.8"/>
  <cols>
    <col min="2" max="2" width="26.5" bestFit="1" customWidth="1"/>
    <col min="3" max="3" width="21.8984375" bestFit="1" customWidth="1"/>
    <col min="4" max="4" width="15.69921875" bestFit="1" customWidth="1"/>
    <col min="5" max="5" width="10.3984375" bestFit="1" customWidth="1"/>
    <col min="6" max="6" width="12.296875" bestFit="1" customWidth="1"/>
  </cols>
  <sheetData>
    <row r="2" spans="2:6">
      <c r="B2" s="366" t="s">
        <v>330</v>
      </c>
    </row>
    <row r="5" spans="2:6">
      <c r="B5" s="367" t="s">
        <v>334</v>
      </c>
      <c r="C5" s="367" t="s">
        <v>333</v>
      </c>
    </row>
    <row r="6" spans="2:6">
      <c r="B6" s="367" t="s">
        <v>331</v>
      </c>
      <c r="C6" t="s">
        <v>208</v>
      </c>
      <c r="D6" t="s">
        <v>246</v>
      </c>
      <c r="E6" t="s">
        <v>301</v>
      </c>
      <c r="F6" t="s">
        <v>332</v>
      </c>
    </row>
    <row r="7" spans="2:6">
      <c r="B7" s="368">
        <v>22</v>
      </c>
      <c r="C7" s="3"/>
      <c r="D7" s="3">
        <v>6</v>
      </c>
      <c r="E7" s="3"/>
      <c r="F7" s="3">
        <v>6</v>
      </c>
    </row>
    <row r="8" spans="2:6">
      <c r="B8" s="369" t="s">
        <v>289</v>
      </c>
      <c r="C8" s="3"/>
      <c r="D8" s="3">
        <v>6</v>
      </c>
      <c r="E8" s="3"/>
      <c r="F8" s="3">
        <v>6</v>
      </c>
    </row>
    <row r="9" spans="2:6">
      <c r="B9" s="368">
        <v>23</v>
      </c>
      <c r="C9" s="3"/>
      <c r="D9" s="3">
        <v>12</v>
      </c>
      <c r="E9" s="3"/>
      <c r="F9" s="3">
        <v>12</v>
      </c>
    </row>
    <row r="10" spans="2:6">
      <c r="B10" s="369" t="s">
        <v>289</v>
      </c>
      <c r="C10" s="3"/>
      <c r="D10" s="3">
        <v>12</v>
      </c>
      <c r="E10" s="3"/>
      <c r="F10" s="3">
        <v>12</v>
      </c>
    </row>
    <row r="11" spans="2:6">
      <c r="B11" s="368">
        <v>24</v>
      </c>
      <c r="C11" s="3">
        <v>70</v>
      </c>
      <c r="D11" s="3">
        <v>107</v>
      </c>
      <c r="E11" s="3"/>
      <c r="F11" s="3">
        <v>177</v>
      </c>
    </row>
    <row r="12" spans="2:6">
      <c r="B12" s="369" t="s">
        <v>126</v>
      </c>
      <c r="C12" s="3">
        <v>5</v>
      </c>
      <c r="D12" s="3">
        <v>2</v>
      </c>
      <c r="E12" s="3"/>
      <c r="F12" s="3">
        <v>7</v>
      </c>
    </row>
    <row r="13" spans="2:6">
      <c r="B13" s="369" t="s">
        <v>3</v>
      </c>
      <c r="C13" s="3">
        <v>33</v>
      </c>
      <c r="D13" s="3">
        <v>50</v>
      </c>
      <c r="E13" s="3"/>
      <c r="F13" s="3">
        <v>83</v>
      </c>
    </row>
    <row r="14" spans="2:6">
      <c r="B14" s="369" t="s">
        <v>289</v>
      </c>
      <c r="C14" s="3"/>
      <c r="D14" s="3">
        <v>3</v>
      </c>
      <c r="E14" s="3"/>
      <c r="F14" s="3">
        <v>3</v>
      </c>
    </row>
    <row r="15" spans="2:6">
      <c r="B15" s="369" t="s">
        <v>2</v>
      </c>
      <c r="C15" s="3">
        <v>14</v>
      </c>
      <c r="D15" s="3">
        <v>13</v>
      </c>
      <c r="E15" s="3"/>
      <c r="F15" s="3">
        <v>27</v>
      </c>
    </row>
    <row r="16" spans="2:6">
      <c r="B16" s="369" t="s">
        <v>247</v>
      </c>
      <c r="C16" s="3"/>
      <c r="D16" s="3">
        <v>3</v>
      </c>
      <c r="E16" s="3"/>
      <c r="F16" s="3">
        <v>3</v>
      </c>
    </row>
    <row r="17" spans="2:6">
      <c r="B17" s="369" t="s">
        <v>1</v>
      </c>
      <c r="C17" s="3">
        <v>18</v>
      </c>
      <c r="D17" s="3">
        <v>36</v>
      </c>
      <c r="E17" s="3"/>
      <c r="F17" s="3">
        <v>54</v>
      </c>
    </row>
    <row r="18" spans="2:6">
      <c r="B18" s="368">
        <v>25</v>
      </c>
      <c r="C18" s="3">
        <v>67</v>
      </c>
      <c r="D18" s="3">
        <v>109</v>
      </c>
      <c r="E18" s="3">
        <v>15</v>
      </c>
      <c r="F18" s="3">
        <v>191</v>
      </c>
    </row>
    <row r="19" spans="2:6">
      <c r="B19" s="369" t="s">
        <v>126</v>
      </c>
      <c r="C19" s="3">
        <v>9</v>
      </c>
      <c r="D19" s="3">
        <v>8</v>
      </c>
      <c r="E19" s="3"/>
      <c r="F19" s="3">
        <v>17</v>
      </c>
    </row>
    <row r="20" spans="2:6">
      <c r="B20" s="369" t="s">
        <v>256</v>
      </c>
      <c r="C20" s="3"/>
      <c r="D20" s="3">
        <v>1</v>
      </c>
      <c r="E20" s="3"/>
      <c r="F20" s="3">
        <v>1</v>
      </c>
    </row>
    <row r="21" spans="2:6">
      <c r="B21" s="369" t="s">
        <v>289</v>
      </c>
      <c r="C21" s="3"/>
      <c r="D21" s="3">
        <v>10</v>
      </c>
      <c r="E21" s="3"/>
      <c r="F21" s="3">
        <v>10</v>
      </c>
    </row>
    <row r="22" spans="2:6">
      <c r="B22" s="369" t="s">
        <v>2</v>
      </c>
      <c r="C22" s="3">
        <v>19</v>
      </c>
      <c r="D22" s="3">
        <v>18</v>
      </c>
      <c r="E22" s="3"/>
      <c r="F22" s="3">
        <v>37</v>
      </c>
    </row>
    <row r="23" spans="2:6">
      <c r="B23" s="369" t="s">
        <v>247</v>
      </c>
      <c r="C23" s="3"/>
      <c r="D23" s="3">
        <v>3</v>
      </c>
      <c r="E23" s="3">
        <v>2</v>
      </c>
      <c r="F23" s="3">
        <v>5</v>
      </c>
    </row>
    <row r="24" spans="2:6">
      <c r="B24" s="369" t="s">
        <v>1</v>
      </c>
      <c r="C24" s="3">
        <v>39</v>
      </c>
      <c r="D24" s="3">
        <v>60</v>
      </c>
      <c r="E24" s="3">
        <v>5</v>
      </c>
      <c r="F24" s="3">
        <v>104</v>
      </c>
    </row>
    <row r="25" spans="2:6">
      <c r="B25" s="369" t="s">
        <v>140</v>
      </c>
      <c r="C25" s="3"/>
      <c r="D25" s="3">
        <v>9</v>
      </c>
      <c r="E25" s="3">
        <v>4</v>
      </c>
      <c r="F25" s="3">
        <v>13</v>
      </c>
    </row>
    <row r="26" spans="2:6">
      <c r="B26" s="369" t="s">
        <v>300</v>
      </c>
      <c r="C26" s="3"/>
      <c r="D26" s="3"/>
      <c r="E26" s="3">
        <v>4</v>
      </c>
      <c r="F26" s="3">
        <v>4</v>
      </c>
    </row>
    <row r="27" spans="2:6">
      <c r="B27" s="368">
        <v>26</v>
      </c>
      <c r="C27" s="3">
        <v>142</v>
      </c>
      <c r="D27" s="3">
        <v>88</v>
      </c>
      <c r="E27" s="3">
        <v>12</v>
      </c>
      <c r="F27" s="3">
        <v>242</v>
      </c>
    </row>
    <row r="28" spans="2:6">
      <c r="B28" s="369" t="s">
        <v>126</v>
      </c>
      <c r="C28" s="3">
        <v>19</v>
      </c>
      <c r="D28" s="3">
        <v>11</v>
      </c>
      <c r="E28" s="3"/>
      <c r="F28" s="3">
        <v>30</v>
      </c>
    </row>
    <row r="29" spans="2:6">
      <c r="B29" s="369" t="s">
        <v>256</v>
      </c>
      <c r="C29" s="3"/>
      <c r="D29" s="3">
        <v>2</v>
      </c>
      <c r="E29" s="3"/>
      <c r="F29" s="3">
        <v>2</v>
      </c>
    </row>
    <row r="30" spans="2:6">
      <c r="B30" s="369" t="s">
        <v>289</v>
      </c>
      <c r="C30" s="3"/>
      <c r="D30" s="3">
        <v>11</v>
      </c>
      <c r="E30" s="3"/>
      <c r="F30" s="3">
        <v>11</v>
      </c>
    </row>
    <row r="31" spans="2:6">
      <c r="B31" s="369" t="s">
        <v>2</v>
      </c>
      <c r="C31" s="3">
        <v>60</v>
      </c>
      <c r="D31" s="3">
        <v>16</v>
      </c>
      <c r="E31" s="3"/>
      <c r="F31" s="3">
        <v>76</v>
      </c>
    </row>
    <row r="32" spans="2:6">
      <c r="B32" s="369" t="s">
        <v>247</v>
      </c>
      <c r="C32" s="3"/>
      <c r="D32" s="3">
        <v>7</v>
      </c>
      <c r="E32" s="3"/>
      <c r="F32" s="3">
        <v>7</v>
      </c>
    </row>
    <row r="33" spans="2:6">
      <c r="B33" s="369" t="s">
        <v>1</v>
      </c>
      <c r="C33" s="3">
        <v>39</v>
      </c>
      <c r="D33" s="3">
        <v>32</v>
      </c>
      <c r="E33" s="3">
        <v>9</v>
      </c>
      <c r="F33" s="3">
        <v>80</v>
      </c>
    </row>
    <row r="34" spans="2:6">
      <c r="B34" s="369" t="s">
        <v>130</v>
      </c>
      <c r="C34" s="3">
        <v>4</v>
      </c>
      <c r="D34" s="3"/>
      <c r="E34" s="3"/>
      <c r="F34" s="3">
        <v>4</v>
      </c>
    </row>
    <row r="35" spans="2:6">
      <c r="B35" s="369" t="s">
        <v>140</v>
      </c>
      <c r="C35" s="3">
        <v>20</v>
      </c>
      <c r="D35" s="3">
        <v>9</v>
      </c>
      <c r="E35" s="3">
        <v>1</v>
      </c>
      <c r="F35" s="3">
        <v>30</v>
      </c>
    </row>
    <row r="36" spans="2:6">
      <c r="B36" s="369" t="s">
        <v>300</v>
      </c>
      <c r="C36" s="3"/>
      <c r="D36" s="3"/>
      <c r="E36" s="3">
        <v>2</v>
      </c>
      <c r="F36" s="3">
        <v>2</v>
      </c>
    </row>
    <row r="37" spans="2:6">
      <c r="B37" s="368">
        <v>27</v>
      </c>
      <c r="C37" s="3">
        <v>104</v>
      </c>
      <c r="D37" s="3">
        <v>30</v>
      </c>
      <c r="E37" s="3"/>
      <c r="F37" s="3">
        <v>134</v>
      </c>
    </row>
    <row r="38" spans="2:6">
      <c r="B38" s="369" t="s">
        <v>126</v>
      </c>
      <c r="C38" s="3">
        <v>26</v>
      </c>
      <c r="D38" s="3">
        <v>1</v>
      </c>
      <c r="E38" s="3"/>
      <c r="F38" s="3">
        <v>27</v>
      </c>
    </row>
    <row r="39" spans="2:6">
      <c r="B39" s="369" t="s">
        <v>256</v>
      </c>
      <c r="C39" s="3"/>
      <c r="D39" s="3">
        <v>1</v>
      </c>
      <c r="E39" s="3"/>
      <c r="F39" s="3">
        <v>1</v>
      </c>
    </row>
    <row r="40" spans="2:6">
      <c r="B40" s="369" t="s">
        <v>2</v>
      </c>
      <c r="C40" s="3"/>
      <c r="D40" s="3">
        <v>8</v>
      </c>
      <c r="E40" s="3"/>
      <c r="F40" s="3">
        <v>8</v>
      </c>
    </row>
    <row r="41" spans="2:6">
      <c r="B41" s="369" t="s">
        <v>1</v>
      </c>
      <c r="C41" s="3">
        <v>53</v>
      </c>
      <c r="D41" s="3">
        <v>11</v>
      </c>
      <c r="E41" s="3"/>
      <c r="F41" s="3">
        <v>64</v>
      </c>
    </row>
    <row r="42" spans="2:6">
      <c r="B42" s="369" t="s">
        <v>235</v>
      </c>
      <c r="C42" s="3">
        <v>25</v>
      </c>
      <c r="D42" s="3"/>
      <c r="E42" s="3"/>
      <c r="F42" s="3">
        <v>25</v>
      </c>
    </row>
    <row r="43" spans="2:6">
      <c r="B43" s="369" t="s">
        <v>130</v>
      </c>
      <c r="C43" s="3"/>
      <c r="D43" s="3">
        <v>2</v>
      </c>
      <c r="E43" s="3"/>
      <c r="F43" s="3">
        <v>2</v>
      </c>
    </row>
    <row r="44" spans="2:6">
      <c r="B44" s="369" t="s">
        <v>140</v>
      </c>
      <c r="C44" s="3"/>
      <c r="D44" s="3">
        <v>4</v>
      </c>
      <c r="E44" s="3"/>
      <c r="F44" s="3">
        <v>4</v>
      </c>
    </row>
    <row r="45" spans="2:6">
      <c r="B45" s="369" t="s">
        <v>263</v>
      </c>
      <c r="C45" s="3"/>
      <c r="D45" s="3">
        <v>3</v>
      </c>
      <c r="E45" s="3"/>
      <c r="F45" s="3">
        <v>3</v>
      </c>
    </row>
    <row r="46" spans="2:6">
      <c r="B46" s="368" t="s">
        <v>332</v>
      </c>
      <c r="C46" s="3">
        <v>383</v>
      </c>
      <c r="D46" s="3">
        <v>352</v>
      </c>
      <c r="E46" s="3">
        <v>27</v>
      </c>
      <c r="F46" s="3">
        <v>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6642-3D88-4646-8642-A834BBD3ECA8}">
  <dimension ref="A1:K763"/>
  <sheetViews>
    <sheetView workbookViewId="0">
      <selection activeCell="A2" sqref="A2"/>
    </sheetView>
  </sheetViews>
  <sheetFormatPr baseColWidth="10" defaultRowHeight="13.8"/>
  <cols>
    <col min="1" max="1" width="12.19921875" bestFit="1" customWidth="1"/>
    <col min="2" max="2" width="10.69921875" bestFit="1" customWidth="1"/>
    <col min="3" max="3" width="14.296875" style="364" customWidth="1"/>
    <col min="4" max="4" width="22.796875" bestFit="1" customWidth="1"/>
    <col min="5" max="5" width="17.5" bestFit="1" customWidth="1"/>
    <col min="6" max="6" width="81.19921875" bestFit="1" customWidth="1"/>
    <col min="7" max="7" width="9.5" style="3" bestFit="1" customWidth="1"/>
    <col min="8" max="8" width="19.59765625" style="365" bestFit="1" customWidth="1"/>
    <col min="9" max="9" width="16.296875" style="365" bestFit="1" customWidth="1"/>
    <col min="10" max="10" width="13.69921875" bestFit="1" customWidth="1"/>
    <col min="11" max="11" width="18.8984375" bestFit="1" customWidth="1"/>
  </cols>
  <sheetData>
    <row r="1" spans="1:11">
      <c r="A1" t="s">
        <v>197</v>
      </c>
      <c r="B1" t="s">
        <v>198</v>
      </c>
      <c r="C1" s="364" t="s">
        <v>199</v>
      </c>
      <c r="D1" t="s">
        <v>200</v>
      </c>
      <c r="E1" t="s">
        <v>201</v>
      </c>
      <c r="F1" t="s">
        <v>202</v>
      </c>
      <c r="G1" s="3" t="s">
        <v>203</v>
      </c>
      <c r="H1" s="365" t="s">
        <v>204</v>
      </c>
      <c r="I1" s="365" t="s">
        <v>205</v>
      </c>
      <c r="J1" t="s">
        <v>206</v>
      </c>
      <c r="K1" t="s">
        <v>207</v>
      </c>
    </row>
    <row r="2" spans="1:11">
      <c r="A2" t="str">
        <f>IF(LEFT(E2,1)="1","SOL",IF(LEFT(E2,1)="2","CO",IF(LEFT(E2,1)="3","ALM",IF(LEFT(E2,1)="4","FAC","TRX")))) &amp; "-" &amp; B2 &amp; "-" &amp; TEXT(COUNTIFS($E$2:$E2,E2,$B$2:$B2,B2),"000")</f>
        <v>SOL-26-001</v>
      </c>
      <c r="B2">
        <v>26</v>
      </c>
      <c r="C2" s="364">
        <v>38887</v>
      </c>
      <c r="D2" t="s">
        <v>140</v>
      </c>
      <c r="E2" t="s">
        <v>208</v>
      </c>
      <c r="F2" t="s">
        <v>108</v>
      </c>
      <c r="G2" s="3">
        <v>100</v>
      </c>
      <c r="H2" s="365">
        <v>27</v>
      </c>
      <c r="I2" s="365">
        <v>2700</v>
      </c>
      <c r="J2" t="s">
        <v>209</v>
      </c>
      <c r="K2">
        <v>27</v>
      </c>
    </row>
    <row r="3" spans="1:11">
      <c r="A3" t="str">
        <f>IF(LEFT(E3,1)="1","SOL",IF(LEFT(E3,1)="2","CO",IF(LEFT(E3,1)="3","ALM",IF(LEFT(E3,1)="4","FAC","TRX")))) &amp; "-" &amp; B3 &amp; "-" &amp; TEXT(COUNTIFS($E$2:$E3,E3,$B$2:$B3,B3),"000")</f>
        <v>SOL-26-002</v>
      </c>
      <c r="B3">
        <v>26</v>
      </c>
      <c r="C3" s="364">
        <v>38887</v>
      </c>
      <c r="D3" t="s">
        <v>140</v>
      </c>
      <c r="E3" t="s">
        <v>208</v>
      </c>
      <c r="F3" t="s">
        <v>210</v>
      </c>
      <c r="G3" s="3">
        <v>200</v>
      </c>
      <c r="H3" s="365">
        <v>27</v>
      </c>
      <c r="I3" s="365">
        <v>5400</v>
      </c>
      <c r="J3" t="s">
        <v>209</v>
      </c>
      <c r="K3">
        <v>27</v>
      </c>
    </row>
    <row r="4" spans="1:11">
      <c r="A4" t="str">
        <f>IF(LEFT(E4,1)="1","SOL",IF(LEFT(E4,1)="2","CO",IF(LEFT(E4,1)="3","ALM",IF(LEFT(E4,1)="4","FAC","TRX")))) &amp; "-" &amp; B4 &amp; "-" &amp; TEXT(COUNTIFS($E$2:$E4,E4,$B$2:$B4,B4),"000")</f>
        <v>SOL-26-003</v>
      </c>
      <c r="B4">
        <v>26</v>
      </c>
      <c r="C4" s="364">
        <v>38887</v>
      </c>
      <c r="D4" t="s">
        <v>140</v>
      </c>
      <c r="E4" t="s">
        <v>208</v>
      </c>
      <c r="F4" t="s">
        <v>133</v>
      </c>
      <c r="G4" s="3">
        <v>100</v>
      </c>
      <c r="H4" s="365">
        <v>27</v>
      </c>
      <c r="I4" s="365">
        <v>2700</v>
      </c>
      <c r="J4" t="s">
        <v>209</v>
      </c>
      <c r="K4">
        <v>27</v>
      </c>
    </row>
    <row r="5" spans="1:11">
      <c r="A5" t="str">
        <f>IF(LEFT(E5,1)="1","SOL",IF(LEFT(E5,1)="2","CO",IF(LEFT(E5,1)="3","ALM",IF(LEFT(E5,1)="4","FAC","TRX")))) &amp; "-" &amp; B5 &amp; "-" &amp; TEXT(COUNTIFS($E$2:$E5,E5,$B$2:$B5,B5),"000")</f>
        <v>SOL-26-004</v>
      </c>
      <c r="B5">
        <v>26</v>
      </c>
      <c r="C5" s="364">
        <v>38887</v>
      </c>
      <c r="D5" t="s">
        <v>140</v>
      </c>
      <c r="E5" t="s">
        <v>208</v>
      </c>
      <c r="F5" t="s">
        <v>211</v>
      </c>
      <c r="G5" s="3">
        <v>100</v>
      </c>
      <c r="H5" s="365">
        <v>27</v>
      </c>
      <c r="I5" s="365">
        <v>2700</v>
      </c>
      <c r="J5" t="s">
        <v>209</v>
      </c>
      <c r="K5">
        <v>27</v>
      </c>
    </row>
    <row r="6" spans="1:11">
      <c r="A6" t="str">
        <f>IF(LEFT(E6,1)="1","SOL",IF(LEFT(E6,1)="2","CO",IF(LEFT(E6,1)="3","ALM",IF(LEFT(E6,1)="4","FAC","TRX")))) &amp; "-" &amp; B6 &amp; "-" &amp; TEXT(COUNTIFS($E$2:$E6,E6,$B$2:$B6,B6),"000")</f>
        <v>SOL-26-005</v>
      </c>
      <c r="B6">
        <v>26</v>
      </c>
      <c r="C6" s="364">
        <v>38887</v>
      </c>
      <c r="D6" t="s">
        <v>2</v>
      </c>
      <c r="E6" t="s">
        <v>208</v>
      </c>
      <c r="F6" t="s">
        <v>60</v>
      </c>
      <c r="G6" s="3">
        <v>80</v>
      </c>
      <c r="H6" s="365">
        <v>27</v>
      </c>
      <c r="I6" s="365">
        <v>2160</v>
      </c>
      <c r="J6" t="s">
        <v>209</v>
      </c>
      <c r="K6">
        <v>27</v>
      </c>
    </row>
    <row r="7" spans="1:11">
      <c r="A7" t="str">
        <f>IF(LEFT(E7,1)="1","SOL",IF(LEFT(E7,1)="2","CO",IF(LEFT(E7,1)="3","ALM",IF(LEFT(E7,1)="4","FAC","TRX")))) &amp; "-" &amp; B7 &amp; "-" &amp; TEXT(COUNTIFS($E$2:$E7,E7,$B$2:$B7,B7),"000")</f>
        <v>SOL-26-006</v>
      </c>
      <c r="B7">
        <v>26</v>
      </c>
      <c r="C7" s="364">
        <v>38887</v>
      </c>
      <c r="D7" t="s">
        <v>2</v>
      </c>
      <c r="E7" t="s">
        <v>208</v>
      </c>
      <c r="F7" t="s">
        <v>100</v>
      </c>
      <c r="G7" s="3">
        <v>50</v>
      </c>
      <c r="H7" s="365">
        <v>27</v>
      </c>
      <c r="I7" s="365">
        <v>1350</v>
      </c>
      <c r="J7" t="s">
        <v>209</v>
      </c>
      <c r="K7">
        <v>27</v>
      </c>
    </row>
    <row r="8" spans="1:11">
      <c r="A8" t="str">
        <f>IF(LEFT(E8,1)="1","SOL",IF(LEFT(E8,1)="2","CO",IF(LEFT(E8,1)="3","ALM",IF(LEFT(E8,1)="4","FAC","TRX")))) &amp; "-" &amp; B8 &amp; "-" &amp; TEXT(COUNTIFS($E$2:$E8,E8,$B$2:$B8,B8),"000")</f>
        <v>SOL-26-007</v>
      </c>
      <c r="B8">
        <v>26</v>
      </c>
      <c r="C8" s="364">
        <v>38887</v>
      </c>
      <c r="D8" t="s">
        <v>2</v>
      </c>
      <c r="E8" t="s">
        <v>208</v>
      </c>
      <c r="F8" t="s">
        <v>102</v>
      </c>
      <c r="G8" s="3">
        <v>30</v>
      </c>
      <c r="H8" s="365">
        <v>27</v>
      </c>
      <c r="I8" s="365">
        <v>810</v>
      </c>
      <c r="J8" t="s">
        <v>209</v>
      </c>
      <c r="K8">
        <v>27</v>
      </c>
    </row>
    <row r="9" spans="1:11">
      <c r="A9" t="str">
        <f>IF(LEFT(E9,1)="1","SOL",IF(LEFT(E9,1)="2","CO",IF(LEFT(E9,1)="3","ALM",IF(LEFT(E9,1)="4","FAC","TRX")))) &amp; "-" &amp; B9 &amp; "-" &amp; TEXT(COUNTIFS($E$2:$E9,E9,$B$2:$B9,B9),"000")</f>
        <v>SOL-26-008</v>
      </c>
      <c r="B9">
        <v>26</v>
      </c>
      <c r="C9" s="364">
        <v>38887</v>
      </c>
      <c r="D9" t="s">
        <v>2</v>
      </c>
      <c r="E9" t="s">
        <v>208</v>
      </c>
      <c r="F9" t="s">
        <v>81</v>
      </c>
      <c r="G9" s="3">
        <v>50</v>
      </c>
      <c r="H9" s="365">
        <v>27</v>
      </c>
      <c r="I9" s="365">
        <v>1350</v>
      </c>
      <c r="J9" t="s">
        <v>209</v>
      </c>
      <c r="K9">
        <v>27</v>
      </c>
    </row>
    <row r="10" spans="1:11">
      <c r="A10" t="str">
        <f>IF(LEFT(E10,1)="1","SOL",IF(LEFT(E10,1)="2","CO",IF(LEFT(E10,1)="3","ALM",IF(LEFT(E10,1)="4","FAC","TRX")))) &amp; "-" &amp; B10 &amp; "-" &amp; TEXT(COUNTIFS($E$2:$E10,E10,$B$2:$B10,B10),"000")</f>
        <v>SOL-26-009</v>
      </c>
      <c r="B10">
        <v>26</v>
      </c>
      <c r="C10" s="364">
        <v>38887</v>
      </c>
      <c r="D10" t="s">
        <v>2</v>
      </c>
      <c r="E10" t="s">
        <v>208</v>
      </c>
      <c r="F10" t="s">
        <v>67</v>
      </c>
      <c r="G10" s="3">
        <v>50</v>
      </c>
      <c r="H10" s="365">
        <v>27</v>
      </c>
      <c r="I10" s="365">
        <v>1350</v>
      </c>
      <c r="J10" t="s">
        <v>209</v>
      </c>
      <c r="K10">
        <v>27</v>
      </c>
    </row>
    <row r="11" spans="1:11">
      <c r="A11" t="str">
        <f>IF(LEFT(E11,1)="1","SOL",IF(LEFT(E11,1)="2","CO",IF(LEFT(E11,1)="3","ALM",IF(LEFT(E11,1)="4","FAC","TRX")))) &amp; "-" &amp; B11 &amp; "-" &amp; TEXT(COUNTIFS($E$2:$E11,E11,$B$2:$B11,B11),"000")</f>
        <v>SOL-26-010</v>
      </c>
      <c r="B11">
        <v>26</v>
      </c>
      <c r="C11" s="364">
        <v>38887</v>
      </c>
      <c r="D11" t="s">
        <v>2</v>
      </c>
      <c r="E11" t="s">
        <v>208</v>
      </c>
      <c r="F11" t="s">
        <v>80</v>
      </c>
      <c r="G11" s="3">
        <v>200</v>
      </c>
      <c r="H11" s="365">
        <v>27</v>
      </c>
      <c r="I11" s="365">
        <v>5400</v>
      </c>
      <c r="J11" t="s">
        <v>209</v>
      </c>
      <c r="K11">
        <v>27</v>
      </c>
    </row>
    <row r="12" spans="1:11">
      <c r="A12" t="str">
        <f>IF(LEFT(E12,1)="1","SOL",IF(LEFT(E12,1)="2","CO",IF(LEFT(E12,1)="3","ALM",IF(LEFT(E12,1)="4","FAC","TRX")))) &amp; "-" &amp; B12 &amp; "-" &amp; TEXT(COUNTIFS($E$2:$E12,E12,$B$2:$B12,B12),"000")</f>
        <v>SOL-26-011</v>
      </c>
      <c r="B12">
        <v>26</v>
      </c>
      <c r="C12" s="364">
        <v>38887</v>
      </c>
      <c r="D12" t="s">
        <v>2</v>
      </c>
      <c r="E12" t="s">
        <v>208</v>
      </c>
      <c r="F12" t="s">
        <v>76</v>
      </c>
      <c r="G12" s="3">
        <v>130</v>
      </c>
      <c r="H12" s="365">
        <v>27</v>
      </c>
      <c r="I12" s="365">
        <v>3510</v>
      </c>
      <c r="J12" t="s">
        <v>209</v>
      </c>
      <c r="K12">
        <v>27</v>
      </c>
    </row>
    <row r="13" spans="1:11">
      <c r="A13" t="str">
        <f>IF(LEFT(E13,1)="1","SOL",IF(LEFT(E13,1)="2","CO",IF(LEFT(E13,1)="3","ALM",IF(LEFT(E13,1)="4","FAC","TRX")))) &amp; "-" &amp; B13 &amp; "-" &amp; TEXT(COUNTIFS($E$2:$E13,E13,$B$2:$B13,B13),"000")</f>
        <v>SOL-26-012</v>
      </c>
      <c r="B13">
        <v>26</v>
      </c>
      <c r="C13" s="364">
        <v>38887</v>
      </c>
      <c r="D13" t="s">
        <v>2</v>
      </c>
      <c r="E13" t="s">
        <v>208</v>
      </c>
      <c r="F13" t="s">
        <v>114</v>
      </c>
      <c r="G13" s="3">
        <v>20</v>
      </c>
      <c r="H13" s="365">
        <v>27</v>
      </c>
      <c r="I13" s="365">
        <v>540</v>
      </c>
      <c r="J13" t="s">
        <v>209</v>
      </c>
      <c r="K13">
        <v>27</v>
      </c>
    </row>
    <row r="14" spans="1:11">
      <c r="A14" t="str">
        <f>IF(LEFT(E14,1)="1","SOL",IF(LEFT(E14,1)="2","CO",IF(LEFT(E14,1)="3","ALM",IF(LEFT(E14,1)="4","FAC","TRX")))) &amp; "-" &amp; B14 &amp; "-" &amp; TEXT(COUNTIFS($E$2:$E14,E14,$B$2:$B14,B14),"000")</f>
        <v>SOL-26-013</v>
      </c>
      <c r="B14">
        <v>26</v>
      </c>
      <c r="C14" s="364">
        <v>38887</v>
      </c>
      <c r="D14" t="s">
        <v>2</v>
      </c>
      <c r="E14" t="s">
        <v>208</v>
      </c>
      <c r="F14" t="s">
        <v>112</v>
      </c>
      <c r="G14" s="3">
        <v>10</v>
      </c>
      <c r="H14" s="365">
        <v>27</v>
      </c>
      <c r="I14" s="365">
        <v>270</v>
      </c>
      <c r="J14" t="s">
        <v>209</v>
      </c>
      <c r="K14">
        <v>27</v>
      </c>
    </row>
    <row r="15" spans="1:11">
      <c r="A15" t="str">
        <f>IF(LEFT(E15,1)="1","SOL",IF(LEFT(E15,1)="2","CO",IF(LEFT(E15,1)="3","ALM",IF(LEFT(E15,1)="4","FAC","TRX")))) &amp; "-" &amp; B15 &amp; "-" &amp; TEXT(COUNTIFS($E$2:$E15,E15,$B$2:$B15,B15),"000")</f>
        <v>SOL-26-014</v>
      </c>
      <c r="B15">
        <v>26</v>
      </c>
      <c r="C15" s="364">
        <v>38887</v>
      </c>
      <c r="D15" t="s">
        <v>2</v>
      </c>
      <c r="E15" t="s">
        <v>208</v>
      </c>
      <c r="F15" t="s">
        <v>65</v>
      </c>
      <c r="G15" s="3">
        <v>80</v>
      </c>
      <c r="H15" s="365">
        <v>27</v>
      </c>
      <c r="I15" s="365">
        <v>2160</v>
      </c>
      <c r="J15" t="s">
        <v>209</v>
      </c>
      <c r="K15">
        <v>27</v>
      </c>
    </row>
    <row r="16" spans="1:11">
      <c r="A16" t="str">
        <f>IF(LEFT(E16,1)="1","SOL",IF(LEFT(E16,1)="2","CO",IF(LEFT(E16,1)="3","ALM",IF(LEFT(E16,1)="4","FAC","TRX")))) &amp; "-" &amp; B16 &amp; "-" &amp; TEXT(COUNTIFS($E$2:$E16,E16,$B$2:$B16,B16),"000")</f>
        <v>CO-22-001</v>
      </c>
      <c r="B16">
        <v>22</v>
      </c>
      <c r="C16" s="364">
        <v>46168</v>
      </c>
      <c r="D16" t="s">
        <v>289</v>
      </c>
      <c r="E16" t="s">
        <v>246</v>
      </c>
      <c r="F16" t="s">
        <v>290</v>
      </c>
      <c r="G16" s="3">
        <v>89</v>
      </c>
      <c r="H16" s="365">
        <v>27</v>
      </c>
      <c r="I16" s="365">
        <v>2403</v>
      </c>
      <c r="J16" t="s">
        <v>209</v>
      </c>
    </row>
    <row r="17" spans="1:10">
      <c r="A17" t="str">
        <f>IF(LEFT(E17,1)="1","SOL",IF(LEFT(E17,1)="2","CO",IF(LEFT(E17,1)="3","ALM",IF(LEFT(E17,1)="4","FAC","TRX")))) &amp; "-" &amp; B17 &amp; "-" &amp; TEXT(COUNTIFS($E$2:$E17,E17,$B$2:$B17,B17),"000")</f>
        <v>CO-22-002</v>
      </c>
      <c r="B17">
        <v>22</v>
      </c>
      <c r="C17" s="364">
        <v>46169</v>
      </c>
      <c r="D17" t="s">
        <v>289</v>
      </c>
      <c r="E17" t="s">
        <v>246</v>
      </c>
      <c r="F17" t="s">
        <v>290</v>
      </c>
      <c r="G17" s="3">
        <v>89</v>
      </c>
      <c r="H17" s="365">
        <v>27</v>
      </c>
      <c r="I17" s="365">
        <v>2403</v>
      </c>
      <c r="J17" t="s">
        <v>209</v>
      </c>
    </row>
    <row r="18" spans="1:10">
      <c r="A18" t="str">
        <f>IF(LEFT(E18,1)="1","SOL",IF(LEFT(E18,1)="2","CO",IF(LEFT(E18,1)="3","ALM",IF(LEFT(E18,1)="4","FAC","TRX")))) &amp; "-" &amp; B18 &amp; "-" &amp; TEXT(COUNTIFS($E$2:$E18,E18,$B$2:$B18,B18),"000")</f>
        <v>CO-22-003</v>
      </c>
      <c r="B18">
        <v>22</v>
      </c>
      <c r="C18" s="364">
        <v>46171</v>
      </c>
      <c r="D18" t="s">
        <v>289</v>
      </c>
      <c r="E18" t="s">
        <v>246</v>
      </c>
      <c r="F18" t="s">
        <v>290</v>
      </c>
      <c r="G18" s="3">
        <v>99</v>
      </c>
      <c r="H18" s="365">
        <v>27</v>
      </c>
      <c r="I18" s="365">
        <v>2673</v>
      </c>
      <c r="J18" t="s">
        <v>209</v>
      </c>
    </row>
    <row r="19" spans="1:10">
      <c r="A19" t="str">
        <f>IF(LEFT(E19,1)="1","SOL",IF(LEFT(E19,1)="2","CO",IF(LEFT(E19,1)="3","ALM",IF(LEFT(E19,1)="4","FAC","TRX")))) &amp; "-" &amp; B19 &amp; "-" &amp; TEXT(COUNTIFS($E$2:$E19,E19,$B$2:$B19,B19),"000")</f>
        <v>CO-22-004</v>
      </c>
      <c r="B19">
        <v>22</v>
      </c>
      <c r="C19" s="364">
        <v>46171</v>
      </c>
      <c r="D19" t="s">
        <v>289</v>
      </c>
      <c r="E19" t="s">
        <v>246</v>
      </c>
      <c r="F19" t="s">
        <v>291</v>
      </c>
      <c r="G19" s="3">
        <v>99</v>
      </c>
      <c r="H19" s="365">
        <v>27</v>
      </c>
      <c r="I19" s="365">
        <v>2673</v>
      </c>
      <c r="J19" t="s">
        <v>209</v>
      </c>
    </row>
    <row r="20" spans="1:10">
      <c r="A20" t="str">
        <f>IF(LEFT(E20,1)="1","SOL",IF(LEFT(E20,1)="2","CO",IF(LEFT(E20,1)="3","ALM",IF(LEFT(E20,1)="4","FAC","TRX")))) &amp; "-" &amp; B20 &amp; "-" &amp; TEXT(COUNTIFS($E$2:$E20,E20,$B$2:$B20,B20),"000")</f>
        <v>CO-22-005</v>
      </c>
      <c r="B20">
        <v>22</v>
      </c>
      <c r="C20" s="364">
        <v>46172</v>
      </c>
      <c r="D20" t="s">
        <v>289</v>
      </c>
      <c r="E20" t="s">
        <v>246</v>
      </c>
      <c r="F20" t="s">
        <v>290</v>
      </c>
      <c r="G20" s="3">
        <v>90</v>
      </c>
      <c r="H20" s="365">
        <v>27</v>
      </c>
      <c r="I20" s="365">
        <v>2430</v>
      </c>
      <c r="J20" t="s">
        <v>209</v>
      </c>
    </row>
    <row r="21" spans="1:10">
      <c r="A21" t="str">
        <f>IF(LEFT(E21,1)="1","SOL",IF(LEFT(E21,1)="2","CO",IF(LEFT(E21,1)="3","ALM",IF(LEFT(E21,1)="4","FAC","TRX")))) &amp; "-" &amp; B21 &amp; "-" &amp; TEXT(COUNTIFS($E$2:$E21,E21,$B$2:$B21,B21),"000")</f>
        <v>CO-22-006</v>
      </c>
      <c r="B21">
        <v>22</v>
      </c>
      <c r="C21" s="364">
        <v>46172</v>
      </c>
      <c r="D21" t="s">
        <v>289</v>
      </c>
      <c r="E21" t="s">
        <v>246</v>
      </c>
      <c r="F21" t="s">
        <v>291</v>
      </c>
      <c r="G21" s="3">
        <v>90</v>
      </c>
      <c r="H21" s="365">
        <v>27</v>
      </c>
      <c r="I21" s="365">
        <v>2430</v>
      </c>
      <c r="J21" t="s">
        <v>209</v>
      </c>
    </row>
    <row r="22" spans="1:10">
      <c r="A22" t="str">
        <f>IF(LEFT(E22,1)="1","SOL",IF(LEFT(E22,1)="2","CO",IF(LEFT(E22,1)="3","ALM",IF(LEFT(E22,1)="4","FAC","TRX")))) &amp; "-" &amp; B22 &amp; "-" &amp; TEXT(COUNTIFS($E$2:$E22,E22,$B$2:$B22,B22),"000")</f>
        <v>CO-23-001</v>
      </c>
      <c r="B22">
        <v>23</v>
      </c>
      <c r="C22" s="364">
        <v>46174</v>
      </c>
      <c r="D22" t="s">
        <v>289</v>
      </c>
      <c r="E22" t="s">
        <v>246</v>
      </c>
      <c r="F22" t="s">
        <v>292</v>
      </c>
      <c r="G22" s="3">
        <v>50</v>
      </c>
      <c r="H22" s="365">
        <v>27</v>
      </c>
      <c r="I22" s="365">
        <v>1350</v>
      </c>
      <c r="J22" t="s">
        <v>209</v>
      </c>
    </row>
    <row r="23" spans="1:10">
      <c r="A23" t="str">
        <f>IF(LEFT(E23,1)="1","SOL",IF(LEFT(E23,1)="2","CO",IF(LEFT(E23,1)="3","ALM",IF(LEFT(E23,1)="4","FAC","TRX")))) &amp; "-" &amp; B23 &amp; "-" &amp; TEXT(COUNTIFS($E$2:$E23,E23,$B$2:$B23,B23),"000")</f>
        <v>CO-23-002</v>
      </c>
      <c r="B23">
        <v>23</v>
      </c>
      <c r="C23" s="364">
        <v>46175</v>
      </c>
      <c r="D23" t="s">
        <v>289</v>
      </c>
      <c r="E23" t="s">
        <v>246</v>
      </c>
      <c r="F23" t="s">
        <v>290</v>
      </c>
      <c r="G23" s="3">
        <v>74</v>
      </c>
      <c r="H23" s="365">
        <v>27</v>
      </c>
      <c r="I23" s="365">
        <v>1998</v>
      </c>
      <c r="J23" t="s">
        <v>209</v>
      </c>
    </row>
    <row r="24" spans="1:10">
      <c r="A24" t="str">
        <f>IF(LEFT(E24,1)="1","SOL",IF(LEFT(E24,1)="2","CO",IF(LEFT(E24,1)="3","ALM",IF(LEFT(E24,1)="4","FAC","TRX")))) &amp; "-" &amp; B24 &amp; "-" &amp; TEXT(COUNTIFS($E$2:$E24,E24,$B$2:$B24,B24),"000")</f>
        <v>CO-23-003</v>
      </c>
      <c r="B24">
        <v>23</v>
      </c>
      <c r="C24" s="364">
        <v>46175</v>
      </c>
      <c r="D24" t="s">
        <v>289</v>
      </c>
      <c r="E24" t="s">
        <v>246</v>
      </c>
      <c r="F24" t="s">
        <v>291</v>
      </c>
      <c r="G24" s="3">
        <v>80</v>
      </c>
      <c r="H24" s="365">
        <v>27</v>
      </c>
      <c r="I24" s="365">
        <v>2160</v>
      </c>
      <c r="J24" t="s">
        <v>209</v>
      </c>
    </row>
    <row r="25" spans="1:10">
      <c r="A25" t="str">
        <f>IF(LEFT(E25,1)="1","SOL",IF(LEFT(E25,1)="2","CO",IF(LEFT(E25,1)="3","ALM",IF(LEFT(E25,1)="4","FAC","TRX")))) &amp; "-" &amp; B25 &amp; "-" &amp; TEXT(COUNTIFS($E$2:$E25,E25,$B$2:$B25,B25),"000")</f>
        <v>CO-23-004</v>
      </c>
      <c r="B25">
        <v>23</v>
      </c>
      <c r="C25" s="364">
        <v>46175</v>
      </c>
      <c r="D25" t="s">
        <v>289</v>
      </c>
      <c r="E25" t="s">
        <v>246</v>
      </c>
      <c r="F25" t="s">
        <v>293</v>
      </c>
      <c r="G25" s="3">
        <v>40</v>
      </c>
      <c r="H25" s="365">
        <v>27</v>
      </c>
      <c r="I25" s="365">
        <v>1080</v>
      </c>
      <c r="J25" t="s">
        <v>209</v>
      </c>
    </row>
    <row r="26" spans="1:10">
      <c r="A26" t="str">
        <f>IF(LEFT(E26,1)="1","SOL",IF(LEFT(E26,1)="2","CO",IF(LEFT(E26,1)="3","ALM",IF(LEFT(E26,1)="4","FAC","TRX")))) &amp; "-" &amp; B26 &amp; "-" &amp; TEXT(COUNTIFS($E$2:$E26,E26,$B$2:$B26,B26),"000")</f>
        <v>CO-23-005</v>
      </c>
      <c r="B26">
        <v>23</v>
      </c>
      <c r="C26" s="364">
        <v>46177</v>
      </c>
      <c r="D26" t="s">
        <v>289</v>
      </c>
      <c r="E26" t="s">
        <v>246</v>
      </c>
      <c r="F26" t="s">
        <v>290</v>
      </c>
      <c r="G26" s="3">
        <v>70</v>
      </c>
      <c r="H26" s="365">
        <v>27</v>
      </c>
      <c r="I26" s="365">
        <v>1890</v>
      </c>
      <c r="J26" t="s">
        <v>209</v>
      </c>
    </row>
    <row r="27" spans="1:10">
      <c r="A27" t="str">
        <f>IF(LEFT(E27,1)="1","SOL",IF(LEFT(E27,1)="2","CO",IF(LEFT(E27,1)="3","ALM",IF(LEFT(E27,1)="4","FAC","TRX")))) &amp; "-" &amp; B27 &amp; "-" &amp; TEXT(COUNTIFS($E$2:$E27,E27,$B$2:$B27,B27),"000")</f>
        <v>CO-23-006</v>
      </c>
      <c r="B27">
        <v>23</v>
      </c>
      <c r="C27" s="364">
        <v>46177</v>
      </c>
      <c r="D27" t="s">
        <v>289</v>
      </c>
      <c r="E27" t="s">
        <v>246</v>
      </c>
      <c r="F27" t="s">
        <v>294</v>
      </c>
      <c r="G27" s="3">
        <v>100</v>
      </c>
      <c r="H27" s="365">
        <v>27</v>
      </c>
      <c r="I27" s="365">
        <v>2700</v>
      </c>
      <c r="J27" t="s">
        <v>209</v>
      </c>
    </row>
    <row r="28" spans="1:10">
      <c r="A28" t="str">
        <f>IF(LEFT(E28,1)="1","SOL",IF(LEFT(E28,1)="2","CO",IF(LEFT(E28,1)="3","ALM",IF(LEFT(E28,1)="4","FAC","TRX")))) &amp; "-" &amp; B28 &amp; "-" &amp; TEXT(COUNTIFS($E$2:$E28,E28,$B$2:$B28,B28),"000")</f>
        <v>CO-23-007</v>
      </c>
      <c r="B28">
        <v>23</v>
      </c>
      <c r="C28" s="364">
        <v>46178</v>
      </c>
      <c r="D28" t="s">
        <v>289</v>
      </c>
      <c r="E28" t="s">
        <v>246</v>
      </c>
      <c r="F28" t="s">
        <v>290</v>
      </c>
      <c r="G28" s="3">
        <v>60</v>
      </c>
      <c r="H28" s="365">
        <v>27</v>
      </c>
      <c r="I28" s="365">
        <v>1620</v>
      </c>
      <c r="J28" t="s">
        <v>209</v>
      </c>
    </row>
    <row r="29" spans="1:10">
      <c r="A29" t="str">
        <f>IF(LEFT(E29,1)="1","SOL",IF(LEFT(E29,1)="2","CO",IF(LEFT(E29,1)="3","ALM",IF(LEFT(E29,1)="4","FAC","TRX")))) &amp; "-" &amp; B29 &amp; "-" &amp; TEXT(COUNTIFS($E$2:$E29,E29,$B$2:$B29,B29),"000")</f>
        <v>CO-23-008</v>
      </c>
      <c r="B29">
        <v>23</v>
      </c>
      <c r="C29" s="364">
        <v>46178</v>
      </c>
      <c r="D29" t="s">
        <v>289</v>
      </c>
      <c r="E29" t="s">
        <v>246</v>
      </c>
      <c r="F29" t="s">
        <v>291</v>
      </c>
      <c r="G29" s="3">
        <v>70</v>
      </c>
      <c r="H29" s="365">
        <v>27</v>
      </c>
      <c r="I29" s="365">
        <v>1890</v>
      </c>
      <c r="J29" t="s">
        <v>209</v>
      </c>
    </row>
    <row r="30" spans="1:10">
      <c r="A30" t="str">
        <f>IF(LEFT(E30,1)="1","SOL",IF(LEFT(E30,1)="2","CO",IF(LEFT(E30,1)="3","ALM",IF(LEFT(E30,1)="4","FAC","TRX")))) &amp; "-" &amp; B30 &amp; "-" &amp; TEXT(COUNTIFS($E$2:$E30,E30,$B$2:$B30,B30),"000")</f>
        <v>CO-23-009</v>
      </c>
      <c r="B30">
        <v>23</v>
      </c>
      <c r="C30" s="364">
        <v>46178</v>
      </c>
      <c r="D30" t="s">
        <v>289</v>
      </c>
      <c r="E30" t="s">
        <v>246</v>
      </c>
      <c r="F30" t="s">
        <v>293</v>
      </c>
      <c r="G30" s="3">
        <v>40</v>
      </c>
      <c r="H30" s="365">
        <v>27</v>
      </c>
      <c r="I30" s="365">
        <v>1080</v>
      </c>
      <c r="J30" t="s">
        <v>209</v>
      </c>
    </row>
    <row r="31" spans="1:10">
      <c r="A31" t="str">
        <f>IF(LEFT(E31,1)="1","SOL",IF(LEFT(E31,1)="2","CO",IF(LEFT(E31,1)="3","ALM",IF(LEFT(E31,1)="4","FAC","TRX")))) &amp; "-" &amp; B31 &amp; "-" &amp; TEXT(COUNTIFS($E$2:$E31,E31,$B$2:$B31,B31),"000")</f>
        <v>CO-23-010</v>
      </c>
      <c r="B31">
        <v>23</v>
      </c>
      <c r="C31" s="364">
        <v>46179</v>
      </c>
      <c r="D31" t="s">
        <v>289</v>
      </c>
      <c r="E31" t="s">
        <v>246</v>
      </c>
      <c r="F31" t="s">
        <v>290</v>
      </c>
      <c r="G31" s="3">
        <v>100</v>
      </c>
      <c r="H31" s="365">
        <v>27</v>
      </c>
      <c r="I31" s="365">
        <v>2700</v>
      </c>
      <c r="J31" t="s">
        <v>209</v>
      </c>
    </row>
    <row r="32" spans="1:10">
      <c r="A32" t="str">
        <f>IF(LEFT(E32,1)="1","SOL",IF(LEFT(E32,1)="2","CO",IF(LEFT(E32,1)="3","ALM",IF(LEFT(E32,1)="4","FAC","TRX")))) &amp; "-" &amp; B32 &amp; "-" &amp; TEXT(COUNTIFS($E$2:$E32,E32,$B$2:$B32,B32),"000")</f>
        <v>CO-23-011</v>
      </c>
      <c r="B32">
        <v>23</v>
      </c>
      <c r="C32" s="364">
        <v>46179</v>
      </c>
      <c r="D32" t="s">
        <v>289</v>
      </c>
      <c r="E32" t="s">
        <v>246</v>
      </c>
      <c r="F32" t="s">
        <v>291</v>
      </c>
      <c r="G32" s="3">
        <v>100</v>
      </c>
      <c r="H32" s="365">
        <v>27</v>
      </c>
      <c r="I32" s="365">
        <v>2700</v>
      </c>
      <c r="J32" t="s">
        <v>209</v>
      </c>
    </row>
    <row r="33" spans="1:11">
      <c r="A33" t="str">
        <f>IF(LEFT(E33,1)="1","SOL",IF(LEFT(E33,1)="2","CO",IF(LEFT(E33,1)="3","ALM",IF(LEFT(E33,1)="4","FAC","TRX")))) &amp; "-" &amp; B33 &amp; "-" &amp; TEXT(COUNTIFS($E$2:$E33,E33,$B$2:$B33,B33),"000")</f>
        <v>CO-23-012</v>
      </c>
      <c r="B33">
        <v>23</v>
      </c>
      <c r="C33" s="364">
        <v>46179</v>
      </c>
      <c r="D33" t="s">
        <v>289</v>
      </c>
      <c r="E33" t="s">
        <v>246</v>
      </c>
      <c r="F33" t="s">
        <v>292</v>
      </c>
      <c r="G33" s="3">
        <v>40</v>
      </c>
      <c r="H33" s="365">
        <v>27</v>
      </c>
      <c r="I33" s="365">
        <v>1080</v>
      </c>
      <c r="J33" t="s">
        <v>209</v>
      </c>
    </row>
    <row r="34" spans="1:11">
      <c r="A34" t="str">
        <f>IF(LEFT(E34,1)="1","SOL",IF(LEFT(E34,1)="2","CO",IF(LEFT(E34,1)="3","ALM",IF(LEFT(E34,1)="4","FAC","TRX")))) &amp; "-" &amp; B34 &amp; "-" &amp; TEXT(COUNTIFS($E$2:$E34,E34,$B$2:$B34,B34),"000")</f>
        <v>SOL-24-001</v>
      </c>
      <c r="B34">
        <v>24</v>
      </c>
      <c r="C34" s="364">
        <v>46181</v>
      </c>
      <c r="D34" t="s">
        <v>1</v>
      </c>
      <c r="E34" t="s">
        <v>208</v>
      </c>
      <c r="F34" t="s">
        <v>76</v>
      </c>
      <c r="G34" s="3">
        <v>200</v>
      </c>
      <c r="H34" s="365">
        <v>27</v>
      </c>
      <c r="I34" s="365">
        <v>5400</v>
      </c>
      <c r="J34" t="s">
        <v>209</v>
      </c>
      <c r="K34">
        <v>27</v>
      </c>
    </row>
    <row r="35" spans="1:11">
      <c r="A35" t="str">
        <f>IF(LEFT(E35,1)="1","SOL",IF(LEFT(E35,1)="2","CO",IF(LEFT(E35,1)="3","ALM",IF(LEFT(E35,1)="4","FAC","TRX")))) &amp; "-" &amp; B35 &amp; "-" &amp; TEXT(COUNTIFS($E$2:$E35,E35,$B$2:$B35,B35),"000")</f>
        <v>SOL-24-002</v>
      </c>
      <c r="B35">
        <v>24</v>
      </c>
      <c r="C35" s="364">
        <v>46181</v>
      </c>
      <c r="D35" t="s">
        <v>1</v>
      </c>
      <c r="E35" t="s">
        <v>208</v>
      </c>
      <c r="F35" t="s">
        <v>80</v>
      </c>
      <c r="G35" s="3">
        <v>300</v>
      </c>
      <c r="H35" s="365">
        <v>27</v>
      </c>
      <c r="I35" s="365">
        <v>8100</v>
      </c>
      <c r="J35" t="s">
        <v>209</v>
      </c>
      <c r="K35">
        <v>27</v>
      </c>
    </row>
    <row r="36" spans="1:11">
      <c r="A36" t="str">
        <f>IF(LEFT(E36,1)="1","SOL",IF(LEFT(E36,1)="2","CO",IF(LEFT(E36,1)="3","ALM",IF(LEFT(E36,1)="4","FAC","TRX")))) &amp; "-" &amp; B36 &amp; "-" &amp; TEXT(COUNTIFS($E$2:$E36,E36,$B$2:$B36,B36),"000")</f>
        <v>SOL-24-003</v>
      </c>
      <c r="B36">
        <v>24</v>
      </c>
      <c r="C36" s="364">
        <v>46181</v>
      </c>
      <c r="D36" t="s">
        <v>1</v>
      </c>
      <c r="E36" t="s">
        <v>208</v>
      </c>
      <c r="F36" t="s">
        <v>60</v>
      </c>
      <c r="G36" s="3">
        <v>30</v>
      </c>
      <c r="H36" s="365">
        <v>27</v>
      </c>
      <c r="I36" s="365">
        <v>810</v>
      </c>
      <c r="J36" t="s">
        <v>209</v>
      </c>
      <c r="K36">
        <v>27</v>
      </c>
    </row>
    <row r="37" spans="1:11">
      <c r="A37" t="str">
        <f>IF(LEFT(E37,1)="1","SOL",IF(LEFT(E37,1)="2","CO",IF(LEFT(E37,1)="3","ALM",IF(LEFT(E37,1)="4","FAC","TRX")))) &amp; "-" &amp; B37 &amp; "-" &amp; TEXT(COUNTIFS($E$2:$E37,E37,$B$2:$B37,B37),"000")</f>
        <v>SOL-24-004</v>
      </c>
      <c r="B37">
        <v>24</v>
      </c>
      <c r="C37" s="364">
        <v>46181</v>
      </c>
      <c r="D37" t="s">
        <v>1</v>
      </c>
      <c r="E37" t="s">
        <v>208</v>
      </c>
      <c r="F37" t="s">
        <v>81</v>
      </c>
      <c r="G37" s="3">
        <v>20</v>
      </c>
      <c r="H37" s="365">
        <v>27</v>
      </c>
      <c r="I37" s="365">
        <v>540</v>
      </c>
      <c r="J37" t="s">
        <v>209</v>
      </c>
      <c r="K37">
        <v>27</v>
      </c>
    </row>
    <row r="38" spans="1:11">
      <c r="A38" t="str">
        <f>IF(LEFT(E38,1)="1","SOL",IF(LEFT(E38,1)="2","CO",IF(LEFT(E38,1)="3","ALM",IF(LEFT(E38,1)="4","FAC","TRX")))) &amp; "-" &amp; B38 &amp; "-" &amp; TEXT(COUNTIFS($E$2:$E38,E38,$B$2:$B38,B38),"000")</f>
        <v>SOL-24-005</v>
      </c>
      <c r="B38">
        <v>24</v>
      </c>
      <c r="C38" s="364">
        <v>46181</v>
      </c>
      <c r="D38" t="s">
        <v>1</v>
      </c>
      <c r="E38" t="s">
        <v>208</v>
      </c>
      <c r="F38" t="s">
        <v>97</v>
      </c>
      <c r="G38" s="3">
        <v>30</v>
      </c>
      <c r="H38" s="365">
        <v>27</v>
      </c>
      <c r="I38" s="365">
        <v>810</v>
      </c>
      <c r="J38" t="s">
        <v>209</v>
      </c>
      <c r="K38">
        <v>27</v>
      </c>
    </row>
    <row r="39" spans="1:11">
      <c r="A39" t="str">
        <f>IF(LEFT(E39,1)="1","SOL",IF(LEFT(E39,1)="2","CO",IF(LEFT(E39,1)="3","ALM",IF(LEFT(E39,1)="4","FAC","TRX")))) &amp; "-" &amp; B39 &amp; "-" &amp; TEXT(COUNTIFS($E$2:$E39,E39,$B$2:$B39,B39),"000")</f>
        <v>SOL-24-006</v>
      </c>
      <c r="B39">
        <v>24</v>
      </c>
      <c r="C39" s="364">
        <v>46181</v>
      </c>
      <c r="D39" t="s">
        <v>1</v>
      </c>
      <c r="E39" t="s">
        <v>208</v>
      </c>
      <c r="F39" t="s">
        <v>51</v>
      </c>
      <c r="G39" s="3">
        <v>30</v>
      </c>
      <c r="H39" s="365">
        <v>27</v>
      </c>
      <c r="I39" s="365">
        <v>810</v>
      </c>
      <c r="J39" t="s">
        <v>209</v>
      </c>
      <c r="K39">
        <v>27</v>
      </c>
    </row>
    <row r="40" spans="1:11">
      <c r="A40" t="str">
        <f>IF(LEFT(E40,1)="1","SOL",IF(LEFT(E40,1)="2","CO",IF(LEFT(E40,1)="3","ALM",IF(LEFT(E40,1)="4","FAC","TRX")))) &amp; "-" &amp; B40 &amp; "-" &amp; TEXT(COUNTIFS($E$2:$E40,E40,$B$2:$B40,B40),"000")</f>
        <v>SOL-24-007</v>
      </c>
      <c r="B40">
        <v>24</v>
      </c>
      <c r="C40" s="364">
        <v>46181</v>
      </c>
      <c r="D40" t="s">
        <v>1</v>
      </c>
      <c r="E40" t="s">
        <v>208</v>
      </c>
      <c r="F40" t="s">
        <v>114</v>
      </c>
      <c r="G40" s="3">
        <v>30</v>
      </c>
      <c r="H40" s="365">
        <v>27</v>
      </c>
      <c r="I40" s="365">
        <v>810</v>
      </c>
      <c r="J40" t="s">
        <v>209</v>
      </c>
      <c r="K40">
        <v>27</v>
      </c>
    </row>
    <row r="41" spans="1:11">
      <c r="A41" t="str">
        <f>IF(LEFT(E41,1)="1","SOL",IF(LEFT(E41,1)="2","CO",IF(LEFT(E41,1)="3","ALM",IF(LEFT(E41,1)="4","FAC","TRX")))) &amp; "-" &amp; B41 &amp; "-" &amp; TEXT(COUNTIFS($E$2:$E41,E41,$B$2:$B41,B41),"000")</f>
        <v>SOL-24-008</v>
      </c>
      <c r="B41">
        <v>24</v>
      </c>
      <c r="C41" s="364">
        <v>46181</v>
      </c>
      <c r="D41" t="s">
        <v>2</v>
      </c>
      <c r="E41" t="s">
        <v>208</v>
      </c>
      <c r="F41" t="s">
        <v>60</v>
      </c>
      <c r="G41" s="3">
        <v>50</v>
      </c>
      <c r="H41" s="365">
        <v>27</v>
      </c>
      <c r="I41" s="365">
        <v>1350</v>
      </c>
      <c r="J41" t="s">
        <v>209</v>
      </c>
      <c r="K41">
        <v>27</v>
      </c>
    </row>
    <row r="42" spans="1:11">
      <c r="A42" t="str">
        <f>IF(LEFT(E42,1)="1","SOL",IF(LEFT(E42,1)="2","CO",IF(LEFT(E42,1)="3","ALM",IF(LEFT(E42,1)="4","FAC","TRX")))) &amp; "-" &amp; B42 &amp; "-" &amp; TEXT(COUNTIFS($E$2:$E42,E42,$B$2:$B42,B42),"000")</f>
        <v>SOL-24-009</v>
      </c>
      <c r="B42">
        <v>24</v>
      </c>
      <c r="C42" s="364">
        <v>46181</v>
      </c>
      <c r="D42" t="s">
        <v>2</v>
      </c>
      <c r="E42" t="s">
        <v>208</v>
      </c>
      <c r="F42" t="s">
        <v>97</v>
      </c>
      <c r="G42" s="3">
        <v>50</v>
      </c>
      <c r="H42" s="365">
        <v>27</v>
      </c>
      <c r="I42" s="365">
        <v>1350</v>
      </c>
      <c r="J42" t="s">
        <v>209</v>
      </c>
      <c r="K42">
        <v>27</v>
      </c>
    </row>
    <row r="43" spans="1:11">
      <c r="A43" t="str">
        <f>IF(LEFT(E43,1)="1","SOL",IF(LEFT(E43,1)="2","CO",IF(LEFT(E43,1)="3","ALM",IF(LEFT(E43,1)="4","FAC","TRX")))) &amp; "-" &amp; B43 &amp; "-" &amp; TEXT(COUNTIFS($E$2:$E43,E43,$B$2:$B43,B43),"000")</f>
        <v>SOL-24-010</v>
      </c>
      <c r="B43">
        <v>24</v>
      </c>
      <c r="C43" s="364">
        <v>46181</v>
      </c>
      <c r="D43" t="s">
        <v>2</v>
      </c>
      <c r="E43" t="s">
        <v>208</v>
      </c>
      <c r="F43" t="s">
        <v>65</v>
      </c>
      <c r="G43" s="3">
        <v>60</v>
      </c>
      <c r="H43" s="365">
        <v>27</v>
      </c>
      <c r="I43" s="365">
        <v>1620</v>
      </c>
      <c r="J43" t="s">
        <v>209</v>
      </c>
      <c r="K43">
        <v>27</v>
      </c>
    </row>
    <row r="44" spans="1:11">
      <c r="A44" t="str">
        <f>IF(LEFT(E44,1)="1","SOL",IF(LEFT(E44,1)="2","CO",IF(LEFT(E44,1)="3","ALM",IF(LEFT(E44,1)="4","FAC","TRX")))) &amp; "-" &amp; B44 &amp; "-" &amp; TEXT(COUNTIFS($E$2:$E44,E44,$B$2:$B44,B44),"000")</f>
        <v>SOL-24-011</v>
      </c>
      <c r="B44">
        <v>24</v>
      </c>
      <c r="C44" s="364">
        <v>46181</v>
      </c>
      <c r="D44" t="s">
        <v>3</v>
      </c>
      <c r="E44" t="s">
        <v>208</v>
      </c>
      <c r="F44" t="s">
        <v>87</v>
      </c>
      <c r="G44" s="3">
        <v>250</v>
      </c>
      <c r="H44" s="365">
        <v>27</v>
      </c>
      <c r="I44" s="365">
        <v>6750</v>
      </c>
      <c r="J44" t="s">
        <v>209</v>
      </c>
      <c r="K44">
        <v>27</v>
      </c>
    </row>
    <row r="45" spans="1:11">
      <c r="A45" t="str">
        <f>IF(LEFT(E45,1)="1","SOL",IF(LEFT(E45,1)="2","CO",IF(LEFT(E45,1)="3","ALM",IF(LEFT(E45,1)="4","FAC","TRX")))) &amp; "-" &amp; B45 &amp; "-" &amp; TEXT(COUNTIFS($E$2:$E45,E45,$B$2:$B45,B45),"000")</f>
        <v>SOL-24-012</v>
      </c>
      <c r="B45">
        <v>24</v>
      </c>
      <c r="C45" s="364">
        <v>46181</v>
      </c>
      <c r="D45" t="s">
        <v>3</v>
      </c>
      <c r="E45" t="s">
        <v>208</v>
      </c>
      <c r="F45" t="s">
        <v>89</v>
      </c>
      <c r="G45" s="3">
        <v>150</v>
      </c>
      <c r="H45" s="365">
        <v>27</v>
      </c>
      <c r="I45" s="365">
        <v>4050</v>
      </c>
      <c r="J45" t="s">
        <v>209</v>
      </c>
      <c r="K45">
        <v>27</v>
      </c>
    </row>
    <row r="46" spans="1:11">
      <c r="A46" t="str">
        <f>IF(LEFT(E46,1)="1","SOL",IF(LEFT(E46,1)="2","CO",IF(LEFT(E46,1)="3","ALM",IF(LEFT(E46,1)="4","FAC","TRX")))) &amp; "-" &amp; B46 &amp; "-" &amp; TEXT(COUNTIFS($E$2:$E46,E46,$B$2:$B46,B46),"000")</f>
        <v>SOL-24-013</v>
      </c>
      <c r="B46">
        <v>24</v>
      </c>
      <c r="C46" s="364">
        <v>46181</v>
      </c>
      <c r="D46" t="s">
        <v>3</v>
      </c>
      <c r="E46" t="s">
        <v>208</v>
      </c>
      <c r="F46" t="s">
        <v>91</v>
      </c>
      <c r="G46" s="3">
        <v>40</v>
      </c>
      <c r="H46" s="365">
        <v>27</v>
      </c>
      <c r="I46" s="365">
        <v>1080</v>
      </c>
      <c r="J46" t="s">
        <v>209</v>
      </c>
      <c r="K46">
        <v>27</v>
      </c>
    </row>
    <row r="47" spans="1:11">
      <c r="A47" t="str">
        <f>IF(LEFT(E47,1)="1","SOL",IF(LEFT(E47,1)="2","CO",IF(LEFT(E47,1)="3","ALM",IF(LEFT(E47,1)="4","FAC","TRX")))) &amp; "-" &amp; B47 &amp; "-" &amp; TEXT(COUNTIFS($E$2:$E47,E47,$B$2:$B47,B47),"000")</f>
        <v>SOL-24-014</v>
      </c>
      <c r="B47">
        <v>24</v>
      </c>
      <c r="C47" s="364">
        <v>46181</v>
      </c>
      <c r="D47" t="s">
        <v>3</v>
      </c>
      <c r="E47" t="s">
        <v>208</v>
      </c>
      <c r="F47" t="s">
        <v>93</v>
      </c>
      <c r="G47" s="3">
        <v>60</v>
      </c>
      <c r="H47" s="365">
        <v>27</v>
      </c>
      <c r="I47" s="365">
        <v>1620</v>
      </c>
      <c r="J47" t="s">
        <v>209</v>
      </c>
      <c r="K47">
        <v>27</v>
      </c>
    </row>
    <row r="48" spans="1:11">
      <c r="A48" t="str">
        <f>IF(LEFT(E48,1)="1","SOL",IF(LEFT(E48,1)="2","CO",IF(LEFT(E48,1)="3","ALM",IF(LEFT(E48,1)="4","FAC","TRX")))) &amp; "-" &amp; B48 &amp; "-" &amp; TEXT(COUNTIFS($E$2:$E48,E48,$B$2:$B48,B48),"000")</f>
        <v>SOL-24-015</v>
      </c>
      <c r="B48">
        <v>24</v>
      </c>
      <c r="C48" s="364">
        <v>46181</v>
      </c>
      <c r="D48" t="s">
        <v>3</v>
      </c>
      <c r="E48" t="s">
        <v>208</v>
      </c>
      <c r="F48" t="s">
        <v>95</v>
      </c>
      <c r="G48" s="3">
        <v>100</v>
      </c>
      <c r="H48" s="365">
        <v>27</v>
      </c>
      <c r="I48" s="365">
        <v>2700</v>
      </c>
      <c r="J48" t="s">
        <v>209</v>
      </c>
      <c r="K48">
        <v>27</v>
      </c>
    </row>
    <row r="49" spans="1:11">
      <c r="A49" t="str">
        <f>IF(LEFT(E49,1)="1","SOL",IF(LEFT(E49,1)="2","CO",IF(LEFT(E49,1)="3","ALM",IF(LEFT(E49,1)="4","FAC","TRX")))) &amp; "-" &amp; B49 &amp; "-" &amp; TEXT(COUNTIFS($E$2:$E49,E49,$B$2:$B49,B49),"000")</f>
        <v>SOL-24-016</v>
      </c>
      <c r="B49">
        <v>24</v>
      </c>
      <c r="C49" s="364">
        <v>46181</v>
      </c>
      <c r="D49" t="s">
        <v>3</v>
      </c>
      <c r="E49" t="s">
        <v>208</v>
      </c>
      <c r="F49" t="s">
        <v>98</v>
      </c>
      <c r="G49" s="3">
        <v>100</v>
      </c>
      <c r="H49" s="365">
        <v>27</v>
      </c>
      <c r="I49" s="365">
        <v>2700</v>
      </c>
      <c r="J49" t="s">
        <v>209</v>
      </c>
      <c r="K49">
        <v>27</v>
      </c>
    </row>
    <row r="50" spans="1:11">
      <c r="A50" t="str">
        <f>IF(LEFT(E50,1)="1","SOL",IF(LEFT(E50,1)="2","CO",IF(LEFT(E50,1)="3","ALM",IF(LEFT(E50,1)="4","FAC","TRX")))) &amp; "-" &amp; B50 &amp; "-" &amp; TEXT(COUNTIFS($E$2:$E50,E50,$B$2:$B50,B50),"000")</f>
        <v>SOL-24-017</v>
      </c>
      <c r="B50">
        <v>24</v>
      </c>
      <c r="C50" s="364">
        <v>46181</v>
      </c>
      <c r="D50" t="s">
        <v>3</v>
      </c>
      <c r="E50" t="s">
        <v>208</v>
      </c>
      <c r="F50" t="s">
        <v>114</v>
      </c>
      <c r="G50" s="3">
        <v>20</v>
      </c>
      <c r="H50" s="365">
        <v>27</v>
      </c>
      <c r="I50" s="365">
        <v>540</v>
      </c>
      <c r="J50" t="s">
        <v>209</v>
      </c>
      <c r="K50">
        <v>27</v>
      </c>
    </row>
    <row r="51" spans="1:11">
      <c r="A51" t="str">
        <f>IF(LEFT(E51,1)="1","SOL",IF(LEFT(E51,1)="2","CO",IF(LEFT(E51,1)="3","ALM",IF(LEFT(E51,1)="4","FAC","TRX")))) &amp; "-" &amp; B51 &amp; "-" &amp; TEXT(COUNTIFS($E$2:$E51,E51,$B$2:$B51,B51),"000")</f>
        <v>SOL-24-018</v>
      </c>
      <c r="B51">
        <v>24</v>
      </c>
      <c r="C51" s="364">
        <v>46181</v>
      </c>
      <c r="D51" t="s">
        <v>3</v>
      </c>
      <c r="E51" t="s">
        <v>208</v>
      </c>
      <c r="F51" t="s">
        <v>100</v>
      </c>
      <c r="G51" s="3">
        <v>50</v>
      </c>
      <c r="H51" s="365">
        <v>27</v>
      </c>
      <c r="I51" s="365">
        <v>1350</v>
      </c>
      <c r="J51" t="s">
        <v>209</v>
      </c>
      <c r="K51">
        <v>27</v>
      </c>
    </row>
    <row r="52" spans="1:11">
      <c r="A52" t="str">
        <f>IF(LEFT(E52,1)="1","SOL",IF(LEFT(E52,1)="2","CO",IF(LEFT(E52,1)="3","ALM",IF(LEFT(E52,1)="4","FAC","TRX")))) &amp; "-" &amp; B52 &amp; "-" &amp; TEXT(COUNTIFS($E$2:$E52,E52,$B$2:$B52,B52),"000")</f>
        <v>SOL-24-019</v>
      </c>
      <c r="B52">
        <v>24</v>
      </c>
      <c r="C52" s="364">
        <v>46181</v>
      </c>
      <c r="D52" t="s">
        <v>3</v>
      </c>
      <c r="E52" t="s">
        <v>208</v>
      </c>
      <c r="F52" t="s">
        <v>102</v>
      </c>
      <c r="G52" s="3">
        <v>50</v>
      </c>
      <c r="H52" s="365">
        <v>27</v>
      </c>
      <c r="I52" s="365">
        <v>1350</v>
      </c>
      <c r="J52" t="s">
        <v>209</v>
      </c>
      <c r="K52">
        <v>27</v>
      </c>
    </row>
    <row r="53" spans="1:11">
      <c r="A53" t="str">
        <f>IF(LEFT(E53,1)="1","SOL",IF(LEFT(E53,1)="2","CO",IF(LEFT(E53,1)="3","ALM",IF(LEFT(E53,1)="4","FAC","TRX")))) &amp; "-" &amp; B53 &amp; "-" &amp; TEXT(COUNTIFS($E$2:$E53,E53,$B$2:$B53,B53),"000")</f>
        <v>SOL-24-020</v>
      </c>
      <c r="B53">
        <v>24</v>
      </c>
      <c r="C53" s="364">
        <v>46181</v>
      </c>
      <c r="D53" t="s">
        <v>3</v>
      </c>
      <c r="E53" t="s">
        <v>208</v>
      </c>
      <c r="F53" t="s">
        <v>104</v>
      </c>
      <c r="G53" s="3">
        <v>50</v>
      </c>
      <c r="H53" s="365">
        <v>27</v>
      </c>
      <c r="I53" s="365">
        <v>1350</v>
      </c>
      <c r="J53" t="s">
        <v>209</v>
      </c>
      <c r="K53">
        <v>27</v>
      </c>
    </row>
    <row r="54" spans="1:11">
      <c r="A54" t="str">
        <f>IF(LEFT(E54,1)="1","SOL",IF(LEFT(E54,1)="2","CO",IF(LEFT(E54,1)="3","ALM",IF(LEFT(E54,1)="4","FAC","TRX")))) &amp; "-" &amp; B54 &amp; "-" &amp; TEXT(COUNTIFS($E$2:$E54,E54,$B$2:$B54,B54),"000")</f>
        <v>SOL-24-021</v>
      </c>
      <c r="B54">
        <v>24</v>
      </c>
      <c r="C54" s="364">
        <v>46181</v>
      </c>
      <c r="D54" t="s">
        <v>3</v>
      </c>
      <c r="E54" t="s">
        <v>208</v>
      </c>
      <c r="F54" t="s">
        <v>106</v>
      </c>
      <c r="G54" s="3">
        <v>20</v>
      </c>
      <c r="H54" s="365">
        <v>27</v>
      </c>
      <c r="I54" s="365">
        <v>540</v>
      </c>
      <c r="J54" t="s">
        <v>209</v>
      </c>
      <c r="K54">
        <v>27</v>
      </c>
    </row>
    <row r="55" spans="1:11">
      <c r="A55" t="str">
        <f>IF(LEFT(E55,1)="1","SOL",IF(LEFT(E55,1)="2","CO",IF(LEFT(E55,1)="3","ALM",IF(LEFT(E55,1)="4","FAC","TRX")))) &amp; "-" &amp; B55 &amp; "-" &amp; TEXT(COUNTIFS($E$2:$E55,E55,$B$2:$B55,B55),"000")</f>
        <v>SOL-24-022</v>
      </c>
      <c r="B55">
        <v>24</v>
      </c>
      <c r="C55" s="364">
        <v>46181</v>
      </c>
      <c r="D55" t="s">
        <v>3</v>
      </c>
      <c r="E55" t="s">
        <v>208</v>
      </c>
      <c r="F55" t="s">
        <v>108</v>
      </c>
      <c r="G55" s="3">
        <v>50</v>
      </c>
      <c r="H55" s="365">
        <v>27</v>
      </c>
      <c r="I55" s="365">
        <v>1350</v>
      </c>
      <c r="J55" t="s">
        <v>209</v>
      </c>
      <c r="K55">
        <v>27</v>
      </c>
    </row>
    <row r="56" spans="1:11">
      <c r="A56" t="str">
        <f>IF(LEFT(E56,1)="1","SOL",IF(LEFT(E56,1)="2","CO",IF(LEFT(E56,1)="3","ALM",IF(LEFT(E56,1)="4","FAC","TRX")))) &amp; "-" &amp; B56 &amp; "-" &amp; TEXT(COUNTIFS($E$2:$E56,E56,$B$2:$B56,B56),"000")</f>
        <v>SOL-24-023</v>
      </c>
      <c r="B56">
        <v>24</v>
      </c>
      <c r="C56" s="364">
        <v>46181</v>
      </c>
      <c r="D56" t="s">
        <v>3</v>
      </c>
      <c r="E56" t="s">
        <v>208</v>
      </c>
      <c r="F56" t="s">
        <v>110</v>
      </c>
      <c r="G56" s="3">
        <v>40</v>
      </c>
      <c r="H56" s="365">
        <v>27</v>
      </c>
      <c r="I56" s="365">
        <v>1080</v>
      </c>
      <c r="J56" t="s">
        <v>209</v>
      </c>
      <c r="K56">
        <v>27</v>
      </c>
    </row>
    <row r="57" spans="1:11">
      <c r="A57" t="str">
        <f>IF(LEFT(E57,1)="1","SOL",IF(LEFT(E57,1)="2","CO",IF(LEFT(E57,1)="3","ALM",IF(LEFT(E57,1)="4","FAC","TRX")))) &amp; "-" &amp; B57 &amp; "-" &amp; TEXT(COUNTIFS($E$2:$E57,E57,$B$2:$B57,B57),"000")</f>
        <v>SOL-24-024</v>
      </c>
      <c r="B57">
        <v>24</v>
      </c>
      <c r="C57" s="364">
        <v>46181</v>
      </c>
      <c r="D57" t="s">
        <v>3</v>
      </c>
      <c r="E57" t="s">
        <v>208</v>
      </c>
      <c r="F57" t="s">
        <v>112</v>
      </c>
      <c r="G57" s="3">
        <v>10</v>
      </c>
      <c r="H57" s="365">
        <v>27</v>
      </c>
      <c r="I57" s="365">
        <v>270</v>
      </c>
      <c r="J57" t="s">
        <v>209</v>
      </c>
      <c r="K57">
        <v>27</v>
      </c>
    </row>
    <row r="58" spans="1:11">
      <c r="A58" t="str">
        <f>IF(LEFT(E58,1)="1","SOL",IF(LEFT(E58,1)="2","CO",IF(LEFT(E58,1)="3","ALM",IF(LEFT(E58,1)="4","FAC","TRX")))) &amp; "-" &amp; B58 &amp; "-" &amp; TEXT(COUNTIFS($E$2:$E58,E58,$B$2:$B58,B58),"000")</f>
        <v>CO-24-001</v>
      </c>
      <c r="B58">
        <v>24</v>
      </c>
      <c r="C58" s="364">
        <v>46181</v>
      </c>
      <c r="D58" t="s">
        <v>1</v>
      </c>
      <c r="E58" t="s">
        <v>246</v>
      </c>
      <c r="F58" t="s">
        <v>97</v>
      </c>
      <c r="G58" s="3">
        <v>30</v>
      </c>
      <c r="H58" s="365">
        <v>27</v>
      </c>
      <c r="I58" s="365">
        <v>810</v>
      </c>
      <c r="J58" t="s">
        <v>209</v>
      </c>
    </row>
    <row r="59" spans="1:11">
      <c r="A59" t="str">
        <f>IF(LEFT(E59,1)="1","SOL",IF(LEFT(E59,1)="2","CO",IF(LEFT(E59,1)="3","ALM",IF(LEFT(E59,1)="4","FAC","TRX")))) &amp; "-" &amp; B59 &amp; "-" &amp; TEXT(COUNTIFS($E$2:$E59,E59,$B$2:$B59,B59),"000")</f>
        <v>CO-24-002</v>
      </c>
      <c r="B59">
        <v>24</v>
      </c>
      <c r="C59" s="364">
        <v>46181</v>
      </c>
      <c r="D59" t="s">
        <v>1</v>
      </c>
      <c r="E59" t="s">
        <v>246</v>
      </c>
      <c r="F59" t="s">
        <v>51</v>
      </c>
      <c r="G59" s="3">
        <v>32</v>
      </c>
      <c r="H59" s="365">
        <v>27</v>
      </c>
      <c r="I59" s="365">
        <v>864</v>
      </c>
      <c r="J59" t="s">
        <v>209</v>
      </c>
    </row>
    <row r="60" spans="1:11">
      <c r="A60" t="str">
        <f>IF(LEFT(E60,1)="1","SOL",IF(LEFT(E60,1)="2","CO",IF(LEFT(E60,1)="3","ALM",IF(LEFT(E60,1)="4","FAC","TRX")))) &amp; "-" &amp; B60 &amp; "-" &amp; TEXT(COUNTIFS($E$2:$E60,E60,$B$2:$B60,B60),"000")</f>
        <v>CO-24-003</v>
      </c>
      <c r="B60">
        <v>24</v>
      </c>
      <c r="C60" s="364">
        <v>46181</v>
      </c>
      <c r="D60" t="s">
        <v>1</v>
      </c>
      <c r="E60" t="s">
        <v>246</v>
      </c>
      <c r="F60" t="s">
        <v>80</v>
      </c>
      <c r="G60" s="3">
        <v>277</v>
      </c>
      <c r="H60" s="365">
        <v>27</v>
      </c>
      <c r="I60" s="365">
        <v>7479</v>
      </c>
      <c r="J60" t="s">
        <v>209</v>
      </c>
    </row>
    <row r="61" spans="1:11">
      <c r="A61" t="str">
        <f>IF(LEFT(E61,1)="1","SOL",IF(LEFT(E61,1)="2","CO",IF(LEFT(E61,1)="3","ALM",IF(LEFT(E61,1)="4","FAC","TRX")))) &amp; "-" &amp; B61 &amp; "-" &amp; TEXT(COUNTIFS($E$2:$E61,E61,$B$2:$B61,B61),"000")</f>
        <v>CO-24-004</v>
      </c>
      <c r="B61">
        <v>24</v>
      </c>
      <c r="C61" s="364">
        <v>46181</v>
      </c>
      <c r="D61" t="s">
        <v>1</v>
      </c>
      <c r="E61" t="s">
        <v>246</v>
      </c>
      <c r="F61" t="s">
        <v>60</v>
      </c>
      <c r="G61" s="3">
        <v>30</v>
      </c>
      <c r="H61" s="365">
        <v>27</v>
      </c>
      <c r="I61" s="365">
        <v>810</v>
      </c>
      <c r="J61" t="s">
        <v>209</v>
      </c>
    </row>
    <row r="62" spans="1:11">
      <c r="A62" t="str">
        <f>IF(LEFT(E62,1)="1","SOL",IF(LEFT(E62,1)="2","CO",IF(LEFT(E62,1)="3","ALM",IF(LEFT(E62,1)="4","FAC","TRX")))) &amp; "-" &amp; B62 &amp; "-" &amp; TEXT(COUNTIFS($E$2:$E62,E62,$B$2:$B62,B62),"000")</f>
        <v>CO-24-005</v>
      </c>
      <c r="B62">
        <v>24</v>
      </c>
      <c r="C62" s="364">
        <v>46181</v>
      </c>
      <c r="D62" t="s">
        <v>2</v>
      </c>
      <c r="E62" t="s">
        <v>246</v>
      </c>
      <c r="F62" t="s">
        <v>76</v>
      </c>
      <c r="G62" s="3">
        <v>97</v>
      </c>
      <c r="H62" s="365">
        <v>27</v>
      </c>
      <c r="I62" s="365">
        <v>2619</v>
      </c>
      <c r="J62" t="s">
        <v>209</v>
      </c>
    </row>
    <row r="63" spans="1:11">
      <c r="A63" t="str">
        <f>IF(LEFT(E63,1)="1","SOL",IF(LEFT(E63,1)="2","CO",IF(LEFT(E63,1)="3","ALM",IF(LEFT(E63,1)="4","FAC","TRX")))) &amp; "-" &amp; B63 &amp; "-" &amp; TEXT(COUNTIFS($E$2:$E63,E63,$B$2:$B63,B63),"000")</f>
        <v>CO-24-006</v>
      </c>
      <c r="B63">
        <v>24</v>
      </c>
      <c r="C63" s="364">
        <v>46181</v>
      </c>
      <c r="D63" t="s">
        <v>3</v>
      </c>
      <c r="E63" t="s">
        <v>246</v>
      </c>
      <c r="F63" t="s">
        <v>87</v>
      </c>
      <c r="G63" s="3">
        <v>198</v>
      </c>
      <c r="H63" s="365">
        <v>27</v>
      </c>
      <c r="I63" s="365">
        <v>5346</v>
      </c>
      <c r="J63" t="s">
        <v>209</v>
      </c>
    </row>
    <row r="64" spans="1:11">
      <c r="A64" t="str">
        <f>IF(LEFT(E64,1)="1","SOL",IF(LEFT(E64,1)="2","CO",IF(LEFT(E64,1)="3","ALM",IF(LEFT(E64,1)="4","FAC","TRX")))) &amp; "-" &amp; B64 &amp; "-" &amp; TEXT(COUNTIFS($E$2:$E64,E64,$B$2:$B64,B64),"000")</f>
        <v>CO-24-007</v>
      </c>
      <c r="B64">
        <v>24</v>
      </c>
      <c r="C64" s="364">
        <v>46181</v>
      </c>
      <c r="D64" t="s">
        <v>3</v>
      </c>
      <c r="E64" t="s">
        <v>246</v>
      </c>
      <c r="F64" t="s">
        <v>108</v>
      </c>
      <c r="G64" s="3">
        <v>10</v>
      </c>
      <c r="H64" s="365">
        <v>27</v>
      </c>
      <c r="I64" s="365">
        <v>270</v>
      </c>
      <c r="J64" t="s">
        <v>209</v>
      </c>
    </row>
    <row r="65" spans="1:10">
      <c r="A65" t="str">
        <f>IF(LEFT(E65,1)="1","SOL",IF(LEFT(E65,1)="2","CO",IF(LEFT(E65,1)="3","ALM",IF(LEFT(E65,1)="4","FAC","TRX")))) &amp; "-" &amp; B65 &amp; "-" &amp; TEXT(COUNTIFS($E$2:$E65,E65,$B$2:$B65,B65),"000")</f>
        <v>CO-24-008</v>
      </c>
      <c r="B65">
        <v>24</v>
      </c>
      <c r="C65" s="364">
        <v>46181</v>
      </c>
      <c r="D65" t="s">
        <v>3</v>
      </c>
      <c r="E65" t="s">
        <v>246</v>
      </c>
      <c r="F65" t="s">
        <v>102</v>
      </c>
      <c r="G65" s="3">
        <v>27</v>
      </c>
      <c r="H65" s="365">
        <v>27</v>
      </c>
      <c r="I65" s="365">
        <v>729</v>
      </c>
      <c r="J65" t="s">
        <v>209</v>
      </c>
    </row>
    <row r="66" spans="1:10">
      <c r="A66" t="str">
        <f>IF(LEFT(E66,1)="1","SOL",IF(LEFT(E66,1)="2","CO",IF(LEFT(E66,1)="3","ALM",IF(LEFT(E66,1)="4","FAC","TRX")))) &amp; "-" &amp; B66 &amp; "-" &amp; TEXT(COUNTIFS($E$2:$E66,E66,$B$2:$B66,B66),"000")</f>
        <v>CO-24-009</v>
      </c>
      <c r="B66">
        <v>24</v>
      </c>
      <c r="C66" s="364">
        <v>46181</v>
      </c>
      <c r="D66" t="s">
        <v>3</v>
      </c>
      <c r="E66" t="s">
        <v>246</v>
      </c>
      <c r="F66" t="s">
        <v>110</v>
      </c>
      <c r="G66" s="3">
        <v>30</v>
      </c>
      <c r="H66" s="365">
        <v>27</v>
      </c>
      <c r="I66" s="365">
        <v>810</v>
      </c>
      <c r="J66" t="s">
        <v>209</v>
      </c>
    </row>
    <row r="67" spans="1:10">
      <c r="A67" t="str">
        <f>IF(LEFT(E67,1)="1","SOL",IF(LEFT(E67,1)="2","CO",IF(LEFT(E67,1)="3","ALM",IF(LEFT(E67,1)="4","FAC","TRX")))) &amp; "-" &amp; B67 &amp; "-" &amp; TEXT(COUNTIFS($E$2:$E67,E67,$B$2:$B67,B67),"000")</f>
        <v>CO-24-010</v>
      </c>
      <c r="B67">
        <v>24</v>
      </c>
      <c r="C67" s="364">
        <v>46181</v>
      </c>
      <c r="D67" t="s">
        <v>3</v>
      </c>
      <c r="E67" t="s">
        <v>246</v>
      </c>
      <c r="F67" t="s">
        <v>93</v>
      </c>
      <c r="G67" s="3">
        <v>40</v>
      </c>
      <c r="H67" s="365">
        <v>27</v>
      </c>
      <c r="I67" s="365">
        <v>1080</v>
      </c>
      <c r="J67" t="s">
        <v>209</v>
      </c>
    </row>
    <row r="68" spans="1:10">
      <c r="A68" t="str">
        <f>IF(LEFT(E68,1)="1","SOL",IF(LEFT(E68,1)="2","CO",IF(LEFT(E68,1)="3","ALM",IF(LEFT(E68,1)="4","FAC","TRX")))) &amp; "-" &amp; B68 &amp; "-" &amp; TEXT(COUNTIFS($E$2:$E68,E68,$B$2:$B68,B68),"000")</f>
        <v>CO-24-011</v>
      </c>
      <c r="B68">
        <v>24</v>
      </c>
      <c r="C68" s="364">
        <v>46181</v>
      </c>
      <c r="D68" t="s">
        <v>3</v>
      </c>
      <c r="E68" t="s">
        <v>246</v>
      </c>
      <c r="F68" t="s">
        <v>98</v>
      </c>
      <c r="G68" s="3">
        <v>120</v>
      </c>
      <c r="H68" s="365">
        <v>27</v>
      </c>
      <c r="I68" s="365">
        <v>3240</v>
      </c>
      <c r="J68" t="s">
        <v>209</v>
      </c>
    </row>
    <row r="69" spans="1:10">
      <c r="A69" t="str">
        <f>IF(LEFT(E69,1)="1","SOL",IF(LEFT(E69,1)="2","CO",IF(LEFT(E69,1)="3","ALM",IF(LEFT(E69,1)="4","FAC","TRX")))) &amp; "-" &amp; B69 &amp; "-" &amp; TEXT(COUNTIFS($E$2:$E69,E69,$B$2:$B69,B69),"000")</f>
        <v>CO-24-012</v>
      </c>
      <c r="B69">
        <v>24</v>
      </c>
      <c r="C69" s="364">
        <v>46181</v>
      </c>
      <c r="D69" t="s">
        <v>3</v>
      </c>
      <c r="E69" t="s">
        <v>246</v>
      </c>
      <c r="F69" t="s">
        <v>104</v>
      </c>
      <c r="G69" s="3">
        <v>30</v>
      </c>
      <c r="H69" s="365">
        <v>27</v>
      </c>
      <c r="I69" s="365">
        <v>810</v>
      </c>
      <c r="J69" t="s">
        <v>209</v>
      </c>
    </row>
    <row r="70" spans="1:10">
      <c r="A70" t="str">
        <f>IF(LEFT(E70,1)="1","SOL",IF(LEFT(E70,1)="2","CO",IF(LEFT(E70,1)="3","ALM",IF(LEFT(E70,1)="4","FAC","TRX")))) &amp; "-" &amp; B70 &amp; "-" &amp; TEXT(COUNTIFS($E$2:$E70,E70,$B$2:$B70,B70),"000")</f>
        <v>CO-24-013</v>
      </c>
      <c r="B70">
        <v>24</v>
      </c>
      <c r="C70" s="364">
        <v>46181</v>
      </c>
      <c r="D70" t="s">
        <v>126</v>
      </c>
      <c r="E70" t="s">
        <v>246</v>
      </c>
      <c r="F70" t="s">
        <v>127</v>
      </c>
      <c r="G70" s="3">
        <v>100</v>
      </c>
      <c r="H70" s="365">
        <v>27</v>
      </c>
      <c r="I70" s="365">
        <v>2700</v>
      </c>
      <c r="J70" t="s">
        <v>209</v>
      </c>
    </row>
    <row r="71" spans="1:10">
      <c r="A71" t="str">
        <f>IF(LEFT(E71,1)="1","SOL",IF(LEFT(E71,1)="2","CO",IF(LEFT(E71,1)="3","ALM",IF(LEFT(E71,1)="4","FAC","TRX")))) &amp; "-" &amp; B71 &amp; "-" &amp; TEXT(COUNTIFS($E$2:$E71,E71,$B$2:$B71,B71),"000")</f>
        <v>CO-24-014</v>
      </c>
      <c r="B71">
        <v>24</v>
      </c>
      <c r="C71" s="364">
        <v>46181</v>
      </c>
      <c r="D71" t="s">
        <v>247</v>
      </c>
      <c r="E71" t="s">
        <v>246</v>
      </c>
      <c r="F71" t="s">
        <v>127</v>
      </c>
      <c r="G71" s="3">
        <v>200</v>
      </c>
      <c r="H71" s="365">
        <v>27</v>
      </c>
      <c r="I71" s="365">
        <v>5400</v>
      </c>
      <c r="J71" t="s">
        <v>209</v>
      </c>
    </row>
    <row r="72" spans="1:10">
      <c r="A72" t="str">
        <f>IF(LEFT(E72,1)="1","SOL",IF(LEFT(E72,1)="2","CO",IF(LEFT(E72,1)="3","ALM",IF(LEFT(E72,1)="4","FAC","TRX")))) &amp; "-" &amp; B72 &amp; "-" &amp; TEXT(COUNTIFS($E$2:$E72,E72,$B$2:$B72,B72),"000")</f>
        <v>CO-24-015</v>
      </c>
      <c r="B72">
        <v>24</v>
      </c>
      <c r="C72" s="364">
        <v>46181</v>
      </c>
      <c r="D72" t="s">
        <v>247</v>
      </c>
      <c r="E72" t="s">
        <v>246</v>
      </c>
      <c r="F72" t="s">
        <v>127</v>
      </c>
      <c r="G72" s="3">
        <v>209</v>
      </c>
      <c r="H72" s="365">
        <v>27</v>
      </c>
      <c r="I72" s="365">
        <v>5643</v>
      </c>
      <c r="J72" t="s">
        <v>209</v>
      </c>
    </row>
    <row r="73" spans="1:10">
      <c r="A73" t="str">
        <f>IF(LEFT(E73,1)="1","SOL",IF(LEFT(E73,1)="2","CO",IF(LEFT(E73,1)="3","ALM",IF(LEFT(E73,1)="4","FAC","TRX")))) &amp; "-" &amp; B73 &amp; "-" &amp; TEXT(COUNTIFS($E$2:$E73,E73,$B$2:$B73,B73),"000")</f>
        <v>CO-24-016</v>
      </c>
      <c r="B73">
        <v>24</v>
      </c>
      <c r="C73" s="364">
        <v>46181</v>
      </c>
      <c r="D73" t="s">
        <v>1</v>
      </c>
      <c r="E73" t="s">
        <v>246</v>
      </c>
      <c r="F73" t="s">
        <v>266</v>
      </c>
      <c r="G73" s="3">
        <v>30</v>
      </c>
      <c r="H73" s="365">
        <v>28.3</v>
      </c>
      <c r="I73" s="365">
        <v>849</v>
      </c>
      <c r="J73" t="s">
        <v>209</v>
      </c>
    </row>
    <row r="74" spans="1:10">
      <c r="A74" t="str">
        <f>IF(LEFT(E74,1)="1","SOL",IF(LEFT(E74,1)="2","CO",IF(LEFT(E74,1)="3","ALM",IF(LEFT(E74,1)="4","FAC","TRX")))) &amp; "-" &amp; B74 &amp; "-" &amp; TEXT(COUNTIFS($E$2:$E74,E74,$B$2:$B74,B74),"000")</f>
        <v>CO-24-017</v>
      </c>
      <c r="B74">
        <v>24</v>
      </c>
      <c r="C74" s="364">
        <v>46181</v>
      </c>
      <c r="D74" t="s">
        <v>1</v>
      </c>
      <c r="E74" t="s">
        <v>246</v>
      </c>
      <c r="F74" t="s">
        <v>267</v>
      </c>
      <c r="G74" s="3">
        <v>32</v>
      </c>
      <c r="H74" s="365">
        <v>28.3</v>
      </c>
      <c r="I74" s="365">
        <v>905.6</v>
      </c>
      <c r="J74" t="s">
        <v>209</v>
      </c>
    </row>
    <row r="75" spans="1:10">
      <c r="A75" t="str">
        <f>IF(LEFT(E75,1)="1","SOL",IF(LEFT(E75,1)="2","CO",IF(LEFT(E75,1)="3","ALM",IF(LEFT(E75,1)="4","FAC","TRX")))) &amp; "-" &amp; B75 &amp; "-" &amp; TEXT(COUNTIFS($E$2:$E75,E75,$B$2:$B75,B75),"000")</f>
        <v>CO-24-018</v>
      </c>
      <c r="B75">
        <v>24</v>
      </c>
      <c r="C75" s="364">
        <v>46181</v>
      </c>
      <c r="D75" t="s">
        <v>1</v>
      </c>
      <c r="E75" t="s">
        <v>246</v>
      </c>
      <c r="F75" t="s">
        <v>268</v>
      </c>
      <c r="G75" s="3">
        <v>277</v>
      </c>
      <c r="H75" s="365">
        <v>28.3</v>
      </c>
      <c r="I75" s="365">
        <v>7839.1</v>
      </c>
      <c r="J75" t="s">
        <v>209</v>
      </c>
    </row>
    <row r="76" spans="1:10">
      <c r="A76" t="str">
        <f>IF(LEFT(E76,1)="1","SOL",IF(LEFT(E76,1)="2","CO",IF(LEFT(E76,1)="3","ALM",IF(LEFT(E76,1)="4","FAC","TRX")))) &amp; "-" &amp; B76 &amp; "-" &amp; TEXT(COUNTIFS($E$2:$E76,E76,$B$2:$B76,B76),"000")</f>
        <v>CO-24-019</v>
      </c>
      <c r="B76">
        <v>24</v>
      </c>
      <c r="C76" s="364">
        <v>46181</v>
      </c>
      <c r="D76" t="s">
        <v>1</v>
      </c>
      <c r="E76" t="s">
        <v>246</v>
      </c>
      <c r="F76" t="s">
        <v>269</v>
      </c>
      <c r="G76" s="3">
        <v>30</v>
      </c>
      <c r="H76" s="365">
        <v>28.3</v>
      </c>
      <c r="I76" s="365">
        <v>849</v>
      </c>
      <c r="J76" t="s">
        <v>209</v>
      </c>
    </row>
    <row r="77" spans="1:10">
      <c r="A77" t="str">
        <f>IF(LEFT(E77,1)="1","SOL",IF(LEFT(E77,1)="2","CO",IF(LEFT(E77,1)="3","ALM",IF(LEFT(E77,1)="4","FAC","TRX")))) &amp; "-" &amp; B77 &amp; "-" &amp; TEXT(COUNTIFS($E$2:$E77,E77,$B$2:$B77,B77),"000")</f>
        <v>CO-24-020</v>
      </c>
      <c r="B77">
        <v>24</v>
      </c>
      <c r="C77" s="364">
        <v>46181</v>
      </c>
      <c r="D77" t="s">
        <v>2</v>
      </c>
      <c r="E77" t="s">
        <v>246</v>
      </c>
      <c r="F77" t="s">
        <v>270</v>
      </c>
      <c r="G77" s="3">
        <v>97</v>
      </c>
      <c r="H77" s="365">
        <v>28.3</v>
      </c>
      <c r="I77" s="365">
        <v>2745.1</v>
      </c>
      <c r="J77" t="s">
        <v>209</v>
      </c>
    </row>
    <row r="78" spans="1:10">
      <c r="A78" t="str">
        <f>IF(LEFT(E78,1)="1","SOL",IF(LEFT(E78,1)="2","CO",IF(LEFT(E78,1)="3","ALM",IF(LEFT(E78,1)="4","FAC","TRX")))) &amp; "-" &amp; B78 &amp; "-" &amp; TEXT(COUNTIFS($E$2:$E78,E78,$B$2:$B78,B78),"000")</f>
        <v>CO-24-021</v>
      </c>
      <c r="B78">
        <v>24</v>
      </c>
      <c r="C78" s="364">
        <v>46181</v>
      </c>
      <c r="D78" t="s">
        <v>3</v>
      </c>
      <c r="E78" t="s">
        <v>246</v>
      </c>
      <c r="F78" t="s">
        <v>271</v>
      </c>
      <c r="G78" s="3">
        <v>198</v>
      </c>
      <c r="H78" s="365">
        <v>28.3</v>
      </c>
      <c r="I78" s="365">
        <v>5603.4000000000005</v>
      </c>
      <c r="J78" t="s">
        <v>209</v>
      </c>
    </row>
    <row r="79" spans="1:10">
      <c r="A79" t="str">
        <f>IF(LEFT(E79,1)="1","SOL",IF(LEFT(E79,1)="2","CO",IF(LEFT(E79,1)="3","ALM",IF(LEFT(E79,1)="4","FAC","TRX")))) &amp; "-" &amp; B79 &amp; "-" &amp; TEXT(COUNTIFS($E$2:$E79,E79,$B$2:$B79,B79),"000")</f>
        <v>CO-24-022</v>
      </c>
      <c r="B79">
        <v>24</v>
      </c>
      <c r="C79" s="364">
        <v>46181</v>
      </c>
      <c r="D79" t="s">
        <v>3</v>
      </c>
      <c r="E79" t="s">
        <v>246</v>
      </c>
      <c r="F79" t="s">
        <v>272</v>
      </c>
      <c r="G79" s="3">
        <v>10</v>
      </c>
      <c r="H79" s="365">
        <v>28.3</v>
      </c>
      <c r="I79" s="365">
        <v>283</v>
      </c>
      <c r="J79" t="s">
        <v>209</v>
      </c>
    </row>
    <row r="80" spans="1:10">
      <c r="A80" t="str">
        <f>IF(LEFT(E80,1)="1","SOL",IF(LEFT(E80,1)="2","CO",IF(LEFT(E80,1)="3","ALM",IF(LEFT(E80,1)="4","FAC","TRX")))) &amp; "-" &amp; B80 &amp; "-" &amp; TEXT(COUNTIFS($E$2:$E80,E80,$B$2:$B80,B80),"000")</f>
        <v>CO-24-023</v>
      </c>
      <c r="B80">
        <v>24</v>
      </c>
      <c r="C80" s="364">
        <v>46181</v>
      </c>
      <c r="D80" t="s">
        <v>3</v>
      </c>
      <c r="E80" t="s">
        <v>246</v>
      </c>
      <c r="F80" t="s">
        <v>273</v>
      </c>
      <c r="G80" s="3">
        <v>27</v>
      </c>
      <c r="H80" s="365">
        <v>28.3</v>
      </c>
      <c r="I80" s="365">
        <v>764.1</v>
      </c>
      <c r="J80" t="s">
        <v>209</v>
      </c>
    </row>
    <row r="81" spans="1:11">
      <c r="A81" t="str">
        <f>IF(LEFT(E81,1)="1","SOL",IF(LEFT(E81,1)="2","CO",IF(LEFT(E81,1)="3","ALM",IF(LEFT(E81,1)="4","FAC","TRX")))) &amp; "-" &amp; B81 &amp; "-" &amp; TEXT(COUNTIFS($E$2:$E81,E81,$B$2:$B81,B81),"000")</f>
        <v>CO-24-024</v>
      </c>
      <c r="B81">
        <v>24</v>
      </c>
      <c r="C81" s="364">
        <v>46181</v>
      </c>
      <c r="D81" t="s">
        <v>3</v>
      </c>
      <c r="E81" t="s">
        <v>246</v>
      </c>
      <c r="F81" t="s">
        <v>274</v>
      </c>
      <c r="G81" s="3">
        <v>30</v>
      </c>
      <c r="H81" s="365">
        <v>28.3</v>
      </c>
      <c r="I81" s="365">
        <v>849</v>
      </c>
      <c r="J81" t="s">
        <v>209</v>
      </c>
    </row>
    <row r="82" spans="1:11">
      <c r="A82" t="str">
        <f>IF(LEFT(E82,1)="1","SOL",IF(LEFT(E82,1)="2","CO",IF(LEFT(E82,1)="3","ALM",IF(LEFT(E82,1)="4","FAC","TRX")))) &amp; "-" &amp; B82 &amp; "-" &amp; TEXT(COUNTIFS($E$2:$E82,E82,$B$2:$B82,B82),"000")</f>
        <v>CO-24-025</v>
      </c>
      <c r="B82">
        <v>24</v>
      </c>
      <c r="C82" s="364">
        <v>46181</v>
      </c>
      <c r="D82" t="s">
        <v>3</v>
      </c>
      <c r="E82" t="s">
        <v>246</v>
      </c>
      <c r="F82" t="s">
        <v>275</v>
      </c>
      <c r="G82" s="3">
        <v>40</v>
      </c>
      <c r="H82" s="365">
        <v>28.3</v>
      </c>
      <c r="I82" s="365">
        <v>1132</v>
      </c>
      <c r="J82" t="s">
        <v>209</v>
      </c>
    </row>
    <row r="83" spans="1:11">
      <c r="A83" t="str">
        <f>IF(LEFT(E83,1)="1","SOL",IF(LEFT(E83,1)="2","CO",IF(LEFT(E83,1)="3","ALM",IF(LEFT(E83,1)="4","FAC","TRX")))) &amp; "-" &amp; B83 &amp; "-" &amp; TEXT(COUNTIFS($E$2:$E83,E83,$B$2:$B83,B83),"000")</f>
        <v>CO-24-026</v>
      </c>
      <c r="B83">
        <v>24</v>
      </c>
      <c r="C83" s="364">
        <v>46181</v>
      </c>
      <c r="D83" t="s">
        <v>3</v>
      </c>
      <c r="E83" t="s">
        <v>246</v>
      </c>
      <c r="F83" t="s">
        <v>276</v>
      </c>
      <c r="G83" s="3">
        <v>120</v>
      </c>
      <c r="H83" s="365">
        <v>28.3</v>
      </c>
      <c r="I83" s="365">
        <v>3396</v>
      </c>
      <c r="J83" t="s">
        <v>209</v>
      </c>
    </row>
    <row r="84" spans="1:11">
      <c r="A84" t="str">
        <f>IF(LEFT(E84,1)="1","SOL",IF(LEFT(E84,1)="2","CO",IF(LEFT(E84,1)="3","ALM",IF(LEFT(E84,1)="4","FAC","TRX")))) &amp; "-" &amp; B84 &amp; "-" &amp; TEXT(COUNTIFS($E$2:$E84,E84,$B$2:$B84,B84),"000")</f>
        <v>CO-24-027</v>
      </c>
      <c r="B84">
        <v>24</v>
      </c>
      <c r="C84" s="364">
        <v>46181</v>
      </c>
      <c r="D84" t="s">
        <v>3</v>
      </c>
      <c r="E84" t="s">
        <v>246</v>
      </c>
      <c r="F84" t="s">
        <v>277</v>
      </c>
      <c r="G84" s="3">
        <v>30</v>
      </c>
      <c r="H84" s="365">
        <v>28.3</v>
      </c>
      <c r="I84" s="365">
        <v>849</v>
      </c>
      <c r="J84" t="s">
        <v>209</v>
      </c>
    </row>
    <row r="85" spans="1:11">
      <c r="A85" t="str">
        <f>IF(LEFT(E85,1)="1","SOL",IF(LEFT(E85,1)="2","CO",IF(LEFT(E85,1)="3","ALM",IF(LEFT(E85,1)="4","FAC","TRX")))) &amp; "-" &amp; B85 &amp; "-" &amp; TEXT(COUNTIFS($E$2:$E85,E85,$B$2:$B85,B85),"000")</f>
        <v>CO-24-028</v>
      </c>
      <c r="B85">
        <v>24</v>
      </c>
      <c r="C85" s="364">
        <v>46181</v>
      </c>
      <c r="D85" t="s">
        <v>289</v>
      </c>
      <c r="E85" t="s">
        <v>246</v>
      </c>
      <c r="F85" t="s">
        <v>290</v>
      </c>
      <c r="G85" s="3">
        <v>70</v>
      </c>
      <c r="H85" s="365">
        <v>27</v>
      </c>
      <c r="I85" s="365">
        <v>1890</v>
      </c>
      <c r="J85" t="s">
        <v>209</v>
      </c>
    </row>
    <row r="86" spans="1:11">
      <c r="A86" t="str">
        <f>IF(LEFT(E86,1)="1","SOL",IF(LEFT(E86,1)="2","CO",IF(LEFT(E86,1)="3","ALM",IF(LEFT(E86,1)="4","FAC","TRX")))) &amp; "-" &amp; B86 &amp; "-" &amp; TEXT(COUNTIFS($E$2:$E86,E86,$B$2:$B86,B86),"000")</f>
        <v>CO-24-029</v>
      </c>
      <c r="B86">
        <v>24</v>
      </c>
      <c r="C86" s="364">
        <v>46181</v>
      </c>
      <c r="D86" t="s">
        <v>289</v>
      </c>
      <c r="E86" t="s">
        <v>246</v>
      </c>
      <c r="F86" t="s">
        <v>293</v>
      </c>
      <c r="G86" s="3">
        <v>40</v>
      </c>
      <c r="H86" s="365">
        <v>27</v>
      </c>
      <c r="I86" s="365">
        <v>1080</v>
      </c>
      <c r="J86" t="s">
        <v>209</v>
      </c>
    </row>
    <row r="87" spans="1:11">
      <c r="A87" t="str">
        <f>IF(LEFT(E87,1)="1","SOL",IF(LEFT(E87,1)="2","CO",IF(LEFT(E87,1)="3","ALM",IF(LEFT(E87,1)="4","FAC","TRX")))) &amp; "-" &amp; B87 &amp; "-" &amp; TEXT(COUNTIFS($E$2:$E87,E87,$B$2:$B87,B87),"000")</f>
        <v>SOL-24-025</v>
      </c>
      <c r="B87">
        <v>24</v>
      </c>
      <c r="C87" s="364">
        <v>46182</v>
      </c>
      <c r="D87" t="s">
        <v>3</v>
      </c>
      <c r="E87" t="s">
        <v>208</v>
      </c>
      <c r="F87" t="s">
        <v>87</v>
      </c>
      <c r="G87" s="3">
        <v>250</v>
      </c>
      <c r="H87" s="365">
        <v>27</v>
      </c>
      <c r="I87" s="365">
        <v>6750</v>
      </c>
      <c r="J87" t="s">
        <v>209</v>
      </c>
      <c r="K87">
        <v>27</v>
      </c>
    </row>
    <row r="88" spans="1:11">
      <c r="A88" t="str">
        <f>IF(LEFT(E88,1)="1","SOL",IF(LEFT(E88,1)="2","CO",IF(LEFT(E88,1)="3","ALM",IF(LEFT(E88,1)="4","FAC","TRX")))) &amp; "-" &amp; B88 &amp; "-" &amp; TEXT(COUNTIFS($E$2:$E88,E88,$B$2:$B88,B88),"000")</f>
        <v>SOL-24-026</v>
      </c>
      <c r="B88">
        <v>24</v>
      </c>
      <c r="C88" s="364">
        <v>46182</v>
      </c>
      <c r="D88" t="s">
        <v>3</v>
      </c>
      <c r="E88" t="s">
        <v>208</v>
      </c>
      <c r="F88" t="s">
        <v>91</v>
      </c>
      <c r="G88" s="3">
        <v>40</v>
      </c>
      <c r="H88" s="365">
        <v>27</v>
      </c>
      <c r="I88" s="365">
        <v>1080</v>
      </c>
      <c r="J88" t="s">
        <v>209</v>
      </c>
      <c r="K88">
        <v>27</v>
      </c>
    </row>
    <row r="89" spans="1:11">
      <c r="A89" t="str">
        <f>IF(LEFT(E89,1)="1","SOL",IF(LEFT(E89,1)="2","CO",IF(LEFT(E89,1)="3","ALM",IF(LEFT(E89,1)="4","FAC","TRX")))) &amp; "-" &amp; B89 &amp; "-" &amp; TEXT(COUNTIFS($E$2:$E89,E89,$B$2:$B89,B89),"000")</f>
        <v>SOL-24-027</v>
      </c>
      <c r="B89">
        <v>24</v>
      </c>
      <c r="C89" s="364">
        <v>46182</v>
      </c>
      <c r="D89" t="s">
        <v>3</v>
      </c>
      <c r="E89" t="s">
        <v>208</v>
      </c>
      <c r="F89" t="s">
        <v>93</v>
      </c>
      <c r="G89" s="3">
        <v>60</v>
      </c>
      <c r="H89" s="365">
        <v>27</v>
      </c>
      <c r="I89" s="365">
        <v>1620</v>
      </c>
      <c r="J89" t="s">
        <v>209</v>
      </c>
      <c r="K89">
        <v>27</v>
      </c>
    </row>
    <row r="90" spans="1:11">
      <c r="A90" t="str">
        <f>IF(LEFT(E90,1)="1","SOL",IF(LEFT(E90,1)="2","CO",IF(LEFT(E90,1)="3","ALM",IF(LEFT(E90,1)="4","FAC","TRX")))) &amp; "-" &amp; B90 &amp; "-" &amp; TEXT(COUNTIFS($E$2:$E90,E90,$B$2:$B90,B90),"000")</f>
        <v>SOL-24-028</v>
      </c>
      <c r="B90">
        <v>24</v>
      </c>
      <c r="C90" s="364">
        <v>46182</v>
      </c>
      <c r="D90" t="s">
        <v>3</v>
      </c>
      <c r="E90" t="s">
        <v>208</v>
      </c>
      <c r="F90" t="s">
        <v>95</v>
      </c>
      <c r="G90" s="3">
        <v>100</v>
      </c>
      <c r="H90" s="365">
        <v>27</v>
      </c>
      <c r="I90" s="365">
        <v>2700</v>
      </c>
      <c r="J90" t="s">
        <v>209</v>
      </c>
      <c r="K90">
        <v>27</v>
      </c>
    </row>
    <row r="91" spans="1:11">
      <c r="A91" t="str">
        <f>IF(LEFT(E91,1)="1","SOL",IF(LEFT(E91,1)="2","CO",IF(LEFT(E91,1)="3","ALM",IF(LEFT(E91,1)="4","FAC","TRX")))) &amp; "-" &amp; B91 &amp; "-" &amp; TEXT(COUNTIFS($E$2:$E91,E91,$B$2:$B91,B91),"000")</f>
        <v>SOL-24-029</v>
      </c>
      <c r="B91">
        <v>24</v>
      </c>
      <c r="C91" s="364">
        <v>46182</v>
      </c>
      <c r="D91" t="s">
        <v>3</v>
      </c>
      <c r="E91" t="s">
        <v>208</v>
      </c>
      <c r="F91" t="s">
        <v>98</v>
      </c>
      <c r="G91" s="3">
        <v>100</v>
      </c>
      <c r="H91" s="365">
        <v>27</v>
      </c>
      <c r="I91" s="365">
        <v>2700</v>
      </c>
      <c r="J91" t="s">
        <v>209</v>
      </c>
      <c r="K91">
        <v>27</v>
      </c>
    </row>
    <row r="92" spans="1:11">
      <c r="A92" t="str">
        <f>IF(LEFT(E92,1)="1","SOL",IF(LEFT(E92,1)="2","CO",IF(LEFT(E92,1)="3","ALM",IF(LEFT(E92,1)="4","FAC","TRX")))) &amp; "-" &amp; B92 &amp; "-" &amp; TEXT(COUNTIFS($E$2:$E92,E92,$B$2:$B92,B92),"000")</f>
        <v>SOL-24-030</v>
      </c>
      <c r="B92">
        <v>24</v>
      </c>
      <c r="C92" s="364">
        <v>46182</v>
      </c>
      <c r="D92" t="s">
        <v>3</v>
      </c>
      <c r="E92" t="s">
        <v>208</v>
      </c>
      <c r="F92" t="s">
        <v>114</v>
      </c>
      <c r="G92" s="3">
        <v>20</v>
      </c>
      <c r="H92" s="365">
        <v>27</v>
      </c>
      <c r="I92" s="365">
        <v>540</v>
      </c>
      <c r="J92" t="s">
        <v>209</v>
      </c>
      <c r="K92">
        <v>27</v>
      </c>
    </row>
    <row r="93" spans="1:11">
      <c r="A93" t="str">
        <f>IF(LEFT(E93,1)="1","SOL",IF(LEFT(E93,1)="2","CO",IF(LEFT(E93,1)="3","ALM",IF(LEFT(E93,1)="4","FAC","TRX")))) &amp; "-" &amp; B93 &amp; "-" &amp; TEXT(COUNTIFS($E$2:$E93,E93,$B$2:$B93,B93),"000")</f>
        <v>SOL-24-031</v>
      </c>
      <c r="B93">
        <v>24</v>
      </c>
      <c r="C93" s="364">
        <v>46182</v>
      </c>
      <c r="D93" t="s">
        <v>3</v>
      </c>
      <c r="E93" t="s">
        <v>208</v>
      </c>
      <c r="F93" t="s">
        <v>100</v>
      </c>
      <c r="G93" s="3">
        <v>50</v>
      </c>
      <c r="H93" s="365">
        <v>27</v>
      </c>
      <c r="I93" s="365">
        <v>1350</v>
      </c>
      <c r="J93" t="s">
        <v>209</v>
      </c>
      <c r="K93">
        <v>27</v>
      </c>
    </row>
    <row r="94" spans="1:11">
      <c r="A94" t="str">
        <f>IF(LEFT(E94,1)="1","SOL",IF(LEFT(E94,1)="2","CO",IF(LEFT(E94,1)="3","ALM",IF(LEFT(E94,1)="4","FAC","TRX")))) &amp; "-" &amp; B94 &amp; "-" &amp; TEXT(COUNTIFS($E$2:$E94,E94,$B$2:$B94,B94),"000")</f>
        <v>SOL-24-032</v>
      </c>
      <c r="B94">
        <v>24</v>
      </c>
      <c r="C94" s="364">
        <v>46182</v>
      </c>
      <c r="D94" t="s">
        <v>3</v>
      </c>
      <c r="E94" t="s">
        <v>208</v>
      </c>
      <c r="F94" t="s">
        <v>102</v>
      </c>
      <c r="G94" s="3">
        <v>50</v>
      </c>
      <c r="H94" s="365">
        <v>27</v>
      </c>
      <c r="I94" s="365">
        <v>1350</v>
      </c>
      <c r="J94" t="s">
        <v>209</v>
      </c>
      <c r="K94">
        <v>27</v>
      </c>
    </row>
    <row r="95" spans="1:11">
      <c r="A95" t="str">
        <f>IF(LEFT(E95,1)="1","SOL",IF(LEFT(E95,1)="2","CO",IF(LEFT(E95,1)="3","ALM",IF(LEFT(E95,1)="4","FAC","TRX")))) &amp; "-" &amp; B95 &amp; "-" &amp; TEXT(COUNTIFS($E$2:$E95,E95,$B$2:$B95,B95),"000")</f>
        <v>SOL-24-033</v>
      </c>
      <c r="B95">
        <v>24</v>
      </c>
      <c r="C95" s="364">
        <v>46182</v>
      </c>
      <c r="D95" t="s">
        <v>3</v>
      </c>
      <c r="E95" t="s">
        <v>208</v>
      </c>
      <c r="F95" t="s">
        <v>104</v>
      </c>
      <c r="G95" s="3">
        <v>50</v>
      </c>
      <c r="H95" s="365">
        <v>27</v>
      </c>
      <c r="I95" s="365">
        <v>1350</v>
      </c>
      <c r="J95" t="s">
        <v>209</v>
      </c>
      <c r="K95">
        <v>27</v>
      </c>
    </row>
    <row r="96" spans="1:11">
      <c r="A96" t="str">
        <f>IF(LEFT(E96,1)="1","SOL",IF(LEFT(E96,1)="2","CO",IF(LEFT(E96,1)="3","ALM",IF(LEFT(E96,1)="4","FAC","TRX")))) &amp; "-" &amp; B96 &amp; "-" &amp; TEXT(COUNTIFS($E$2:$E96,E96,$B$2:$B96,B96),"000")</f>
        <v>SOL-24-034</v>
      </c>
      <c r="B96">
        <v>24</v>
      </c>
      <c r="C96" s="364">
        <v>46182</v>
      </c>
      <c r="D96" t="s">
        <v>3</v>
      </c>
      <c r="E96" t="s">
        <v>208</v>
      </c>
      <c r="F96" t="s">
        <v>108</v>
      </c>
      <c r="G96" s="3">
        <v>40</v>
      </c>
      <c r="H96" s="365">
        <v>27</v>
      </c>
      <c r="I96" s="365">
        <v>1080</v>
      </c>
      <c r="J96" t="s">
        <v>209</v>
      </c>
      <c r="K96">
        <v>27</v>
      </c>
    </row>
    <row r="97" spans="1:11">
      <c r="A97" t="str">
        <f>IF(LEFT(E97,1)="1","SOL",IF(LEFT(E97,1)="2","CO",IF(LEFT(E97,1)="3","ALM",IF(LEFT(E97,1)="4","FAC","TRX")))) &amp; "-" &amp; B97 &amp; "-" &amp; TEXT(COUNTIFS($E$2:$E97,E97,$B$2:$B97,B97),"000")</f>
        <v>SOL-24-035</v>
      </c>
      <c r="B97">
        <v>24</v>
      </c>
      <c r="C97" s="364">
        <v>46182</v>
      </c>
      <c r="D97" t="s">
        <v>3</v>
      </c>
      <c r="E97" t="s">
        <v>208</v>
      </c>
      <c r="F97" t="s">
        <v>110</v>
      </c>
      <c r="G97" s="3">
        <v>30</v>
      </c>
      <c r="H97" s="365">
        <v>27</v>
      </c>
      <c r="I97" s="365">
        <v>810</v>
      </c>
      <c r="J97" t="s">
        <v>209</v>
      </c>
      <c r="K97">
        <v>27</v>
      </c>
    </row>
    <row r="98" spans="1:11">
      <c r="A98" t="str">
        <f>IF(LEFT(E98,1)="1","SOL",IF(LEFT(E98,1)="2","CO",IF(LEFT(E98,1)="3","ALM",IF(LEFT(E98,1)="4","FAC","TRX")))) &amp; "-" &amp; B98 &amp; "-" &amp; TEXT(COUNTIFS($E$2:$E98,E98,$B$2:$B98,B98),"000")</f>
        <v>SOL-24-036</v>
      </c>
      <c r="B98">
        <v>24</v>
      </c>
      <c r="C98" s="364">
        <v>46182</v>
      </c>
      <c r="D98" t="s">
        <v>2</v>
      </c>
      <c r="E98" t="s">
        <v>208</v>
      </c>
      <c r="F98" t="s">
        <v>60</v>
      </c>
      <c r="G98" s="3">
        <v>50</v>
      </c>
      <c r="H98" s="365">
        <v>27</v>
      </c>
      <c r="I98" s="365">
        <v>1350</v>
      </c>
      <c r="J98" t="s">
        <v>209</v>
      </c>
      <c r="K98">
        <v>27</v>
      </c>
    </row>
    <row r="99" spans="1:11">
      <c r="A99" t="str">
        <f>IF(LEFT(E99,1)="1","SOL",IF(LEFT(E99,1)="2","CO",IF(LEFT(E99,1)="3","ALM",IF(LEFT(E99,1)="4","FAC","TRX")))) &amp; "-" &amp; B99 &amp; "-" &amp; TEXT(COUNTIFS($E$2:$E99,E99,$B$2:$B99,B99),"000")</f>
        <v>SOL-24-037</v>
      </c>
      <c r="B99">
        <v>24</v>
      </c>
      <c r="C99" s="364">
        <v>46182</v>
      </c>
      <c r="D99" t="s">
        <v>2</v>
      </c>
      <c r="E99" t="s">
        <v>208</v>
      </c>
      <c r="F99" t="s">
        <v>97</v>
      </c>
      <c r="G99" s="3">
        <v>50</v>
      </c>
      <c r="H99" s="365">
        <v>27</v>
      </c>
      <c r="I99" s="365">
        <v>1350</v>
      </c>
      <c r="J99" t="s">
        <v>209</v>
      </c>
      <c r="K99">
        <v>27</v>
      </c>
    </row>
    <row r="100" spans="1:11">
      <c r="A100" t="str">
        <f>IF(LEFT(E100,1)="1","SOL",IF(LEFT(E100,1)="2","CO",IF(LEFT(E100,1)="3","ALM",IF(LEFT(E100,1)="4","FAC","TRX")))) &amp; "-" &amp; B100 &amp; "-" &amp; TEXT(COUNTIFS($E$2:$E100,E100,$B$2:$B100,B100),"000")</f>
        <v>SOL-24-038</v>
      </c>
      <c r="B100">
        <v>24</v>
      </c>
      <c r="C100" s="364">
        <v>46182</v>
      </c>
      <c r="D100" t="s">
        <v>2</v>
      </c>
      <c r="E100" t="s">
        <v>208</v>
      </c>
      <c r="F100" t="s">
        <v>65</v>
      </c>
      <c r="G100" s="3">
        <v>60</v>
      </c>
      <c r="H100" s="365">
        <v>27</v>
      </c>
      <c r="I100" s="365">
        <v>1620</v>
      </c>
      <c r="J100" t="s">
        <v>209</v>
      </c>
      <c r="K100">
        <v>27</v>
      </c>
    </row>
    <row r="101" spans="1:11">
      <c r="A101" t="str">
        <f>IF(LEFT(E101,1)="1","SOL",IF(LEFT(E101,1)="2","CO",IF(LEFT(E101,1)="3","ALM",IF(LEFT(E101,1)="4","FAC","TRX")))) &amp; "-" &amp; B101 &amp; "-" &amp; TEXT(COUNTIFS($E$2:$E101,E101,$B$2:$B101,B101),"000")</f>
        <v>SOL-24-039</v>
      </c>
      <c r="B101">
        <v>24</v>
      </c>
      <c r="C101" s="364">
        <v>46182</v>
      </c>
      <c r="D101" t="s">
        <v>2</v>
      </c>
      <c r="E101" t="s">
        <v>208</v>
      </c>
      <c r="F101" t="s">
        <v>116</v>
      </c>
      <c r="G101" s="3">
        <v>50</v>
      </c>
      <c r="H101" s="365">
        <v>27</v>
      </c>
      <c r="I101" s="365">
        <v>1350</v>
      </c>
      <c r="J101" t="s">
        <v>209</v>
      </c>
      <c r="K101">
        <v>27</v>
      </c>
    </row>
    <row r="102" spans="1:11">
      <c r="A102" t="str">
        <f>IF(LEFT(E102,1)="1","SOL",IF(LEFT(E102,1)="2","CO",IF(LEFT(E102,1)="3","ALM",IF(LEFT(E102,1)="4","FAC","TRX")))) &amp; "-" &amp; B102 &amp; "-" &amp; TEXT(COUNTIFS($E$2:$E102,E102,$B$2:$B102,B102),"000")</f>
        <v>CO-24-030</v>
      </c>
      <c r="B102">
        <v>24</v>
      </c>
      <c r="C102" s="364">
        <v>46182</v>
      </c>
      <c r="D102" t="s">
        <v>3</v>
      </c>
      <c r="E102" t="s">
        <v>246</v>
      </c>
      <c r="F102" t="s">
        <v>91</v>
      </c>
      <c r="G102" s="3">
        <v>30</v>
      </c>
      <c r="H102" s="365">
        <v>27</v>
      </c>
      <c r="I102" s="365">
        <v>810</v>
      </c>
      <c r="J102" t="s">
        <v>209</v>
      </c>
    </row>
    <row r="103" spans="1:11">
      <c r="A103" t="str">
        <f>IF(LEFT(E103,1)="1","SOL",IF(LEFT(E103,1)="2","CO",IF(LEFT(E103,1)="3","ALM",IF(LEFT(E103,1)="4","FAC","TRX")))) &amp; "-" &amp; B103 &amp; "-" &amp; TEXT(COUNTIFS($E$2:$E103,E103,$B$2:$B103,B103),"000")</f>
        <v>CO-24-031</v>
      </c>
      <c r="B103">
        <v>24</v>
      </c>
      <c r="C103" s="364">
        <v>46182</v>
      </c>
      <c r="D103" t="s">
        <v>3</v>
      </c>
      <c r="E103" t="s">
        <v>246</v>
      </c>
      <c r="F103" t="s">
        <v>95</v>
      </c>
      <c r="G103" s="3">
        <v>100</v>
      </c>
      <c r="H103" s="365">
        <v>27</v>
      </c>
      <c r="I103" s="365">
        <v>2700</v>
      </c>
      <c r="J103" t="s">
        <v>209</v>
      </c>
    </row>
    <row r="104" spans="1:11">
      <c r="A104" t="str">
        <f>IF(LEFT(E104,1)="1","SOL",IF(LEFT(E104,1)="2","CO",IF(LEFT(E104,1)="3","ALM",IF(LEFT(E104,1)="4","FAC","TRX")))) &amp; "-" &amp; B104 &amp; "-" &amp; TEXT(COUNTIFS($E$2:$E104,E104,$B$2:$B104,B104),"000")</f>
        <v>CO-24-032</v>
      </c>
      <c r="B104">
        <v>24</v>
      </c>
      <c r="C104" s="364">
        <v>46182</v>
      </c>
      <c r="D104" t="s">
        <v>3</v>
      </c>
      <c r="E104" t="s">
        <v>246</v>
      </c>
      <c r="F104" t="s">
        <v>100</v>
      </c>
      <c r="G104" s="3">
        <v>30</v>
      </c>
      <c r="H104" s="365">
        <v>27</v>
      </c>
      <c r="I104" s="365">
        <v>810</v>
      </c>
      <c r="J104" t="s">
        <v>209</v>
      </c>
    </row>
    <row r="105" spans="1:11">
      <c r="A105" t="str">
        <f>IF(LEFT(E105,1)="1","SOL",IF(LEFT(E105,1)="2","CO",IF(LEFT(E105,1)="3","ALM",IF(LEFT(E105,1)="4","FAC","TRX")))) &amp; "-" &amp; B105 &amp; "-" &amp; TEXT(COUNTIFS($E$2:$E105,E105,$B$2:$B105,B105),"000")</f>
        <v>CO-24-033</v>
      </c>
      <c r="B105">
        <v>24</v>
      </c>
      <c r="C105" s="364">
        <v>46182</v>
      </c>
      <c r="D105" t="s">
        <v>3</v>
      </c>
      <c r="E105" t="s">
        <v>246</v>
      </c>
      <c r="F105" t="s">
        <v>87</v>
      </c>
      <c r="G105" s="3">
        <v>150</v>
      </c>
      <c r="H105" s="365">
        <v>27</v>
      </c>
      <c r="I105" s="365">
        <v>4050</v>
      </c>
      <c r="J105" t="s">
        <v>209</v>
      </c>
    </row>
    <row r="106" spans="1:11">
      <c r="A106" t="str">
        <f>IF(LEFT(E106,1)="1","SOL",IF(LEFT(E106,1)="2","CO",IF(LEFT(E106,1)="3","ALM",IF(LEFT(E106,1)="4","FAC","TRX")))) &amp; "-" &amp; B106 &amp; "-" &amp; TEXT(COUNTIFS($E$2:$E106,E106,$B$2:$B106,B106),"000")</f>
        <v>CO-24-034</v>
      </c>
      <c r="B106">
        <v>24</v>
      </c>
      <c r="C106" s="364">
        <v>46182</v>
      </c>
      <c r="D106" t="s">
        <v>3</v>
      </c>
      <c r="E106" t="s">
        <v>246</v>
      </c>
      <c r="F106" t="s">
        <v>104</v>
      </c>
      <c r="G106" s="3">
        <v>50</v>
      </c>
      <c r="H106" s="365">
        <v>27</v>
      </c>
      <c r="I106" s="365">
        <v>1350</v>
      </c>
      <c r="J106" t="s">
        <v>209</v>
      </c>
    </row>
    <row r="107" spans="1:11">
      <c r="A107" t="str">
        <f>IF(LEFT(E107,1)="1","SOL",IF(LEFT(E107,1)="2","CO",IF(LEFT(E107,1)="3","ALM",IF(LEFT(E107,1)="4","FAC","TRX")))) &amp; "-" &amp; B107 &amp; "-" &amp; TEXT(COUNTIFS($E$2:$E107,E107,$B$2:$B107,B107),"000")</f>
        <v>CO-24-035</v>
      </c>
      <c r="B107">
        <v>24</v>
      </c>
      <c r="C107" s="364">
        <v>46182</v>
      </c>
      <c r="D107" t="s">
        <v>3</v>
      </c>
      <c r="E107" t="s">
        <v>246</v>
      </c>
      <c r="F107" t="s">
        <v>98</v>
      </c>
      <c r="G107" s="3">
        <v>136</v>
      </c>
      <c r="H107" s="365">
        <v>27</v>
      </c>
      <c r="I107" s="365">
        <v>3672</v>
      </c>
      <c r="J107" t="s">
        <v>209</v>
      </c>
    </row>
    <row r="108" spans="1:11">
      <c r="A108" t="str">
        <f>IF(LEFT(E108,1)="1","SOL",IF(LEFT(E108,1)="2","CO",IF(LEFT(E108,1)="3","ALM",IF(LEFT(E108,1)="4","FAC","TRX")))) &amp; "-" &amp; B108 &amp; "-" &amp; TEXT(COUNTIFS($E$2:$E108,E108,$B$2:$B108,B108),"000")</f>
        <v>CO-24-036</v>
      </c>
      <c r="B108">
        <v>24</v>
      </c>
      <c r="C108" s="364">
        <v>46182</v>
      </c>
      <c r="D108" t="s">
        <v>3</v>
      </c>
      <c r="E108" t="s">
        <v>246</v>
      </c>
      <c r="F108" t="s">
        <v>100</v>
      </c>
      <c r="G108" s="3">
        <v>30</v>
      </c>
      <c r="H108" s="365">
        <v>27</v>
      </c>
      <c r="I108" s="365">
        <v>810</v>
      </c>
      <c r="J108" t="s">
        <v>209</v>
      </c>
    </row>
    <row r="109" spans="1:11">
      <c r="A109" t="str">
        <f>IF(LEFT(E109,1)="1","SOL",IF(LEFT(E109,1)="2","CO",IF(LEFT(E109,1)="3","ALM",IF(LEFT(E109,1)="4","FAC","TRX")))) &amp; "-" &amp; B109 &amp; "-" &amp; TEXT(COUNTIFS($E$2:$E109,E109,$B$2:$B109,B109),"000")</f>
        <v>CO-24-037</v>
      </c>
      <c r="B109">
        <v>24</v>
      </c>
      <c r="C109" s="364">
        <v>46182</v>
      </c>
      <c r="D109" t="s">
        <v>3</v>
      </c>
      <c r="E109" t="s">
        <v>246</v>
      </c>
      <c r="F109" t="s">
        <v>97</v>
      </c>
      <c r="G109" s="3">
        <v>30</v>
      </c>
      <c r="H109" s="365">
        <v>27</v>
      </c>
      <c r="I109" s="365">
        <v>810</v>
      </c>
      <c r="J109" t="s">
        <v>209</v>
      </c>
    </row>
    <row r="110" spans="1:11">
      <c r="A110" t="str">
        <f>IF(LEFT(E110,1)="1","SOL",IF(LEFT(E110,1)="2","CO",IF(LEFT(E110,1)="3","ALM",IF(LEFT(E110,1)="4","FAC","TRX")))) &amp; "-" &amp; B110 &amp; "-" &amp; TEXT(COUNTIFS($E$2:$E110,E110,$B$2:$B110,B110),"000")</f>
        <v>CO-24-038</v>
      </c>
      <c r="B110">
        <v>24</v>
      </c>
      <c r="C110" s="364">
        <v>46182</v>
      </c>
      <c r="D110" t="s">
        <v>3</v>
      </c>
      <c r="E110" t="s">
        <v>246</v>
      </c>
      <c r="F110" t="s">
        <v>95</v>
      </c>
      <c r="G110" s="3">
        <v>100</v>
      </c>
      <c r="H110" s="365">
        <v>27</v>
      </c>
      <c r="I110" s="365">
        <v>2700</v>
      </c>
      <c r="J110" t="s">
        <v>209</v>
      </c>
    </row>
    <row r="111" spans="1:11">
      <c r="A111" t="str">
        <f>IF(LEFT(E111,1)="1","SOL",IF(LEFT(E111,1)="2","CO",IF(LEFT(E111,1)="3","ALM",IF(LEFT(E111,1)="4","FAC","TRX")))) &amp; "-" &amp; B111 &amp; "-" &amp; TEXT(COUNTIFS($E$2:$E111,E111,$B$2:$B111,B111),"000")</f>
        <v>CO-24-039</v>
      </c>
      <c r="B111">
        <v>24</v>
      </c>
      <c r="C111" s="364">
        <v>46182</v>
      </c>
      <c r="D111" t="s">
        <v>3</v>
      </c>
      <c r="E111" t="s">
        <v>246</v>
      </c>
      <c r="F111" t="s">
        <v>93</v>
      </c>
      <c r="G111" s="3">
        <v>60</v>
      </c>
      <c r="H111" s="365">
        <v>27</v>
      </c>
      <c r="I111" s="365">
        <v>1620</v>
      </c>
      <c r="J111" t="s">
        <v>209</v>
      </c>
    </row>
    <row r="112" spans="1:11">
      <c r="A112" t="str">
        <f>IF(LEFT(E112,1)="1","SOL",IF(LEFT(E112,1)="2","CO",IF(LEFT(E112,1)="3","ALM",IF(LEFT(E112,1)="4","FAC","TRX")))) &amp; "-" &amp; B112 &amp; "-" &amp; TEXT(COUNTIFS($E$2:$E112,E112,$B$2:$B112,B112),"000")</f>
        <v>CO-24-040</v>
      </c>
      <c r="B112">
        <v>24</v>
      </c>
      <c r="C112" s="364">
        <v>46182</v>
      </c>
      <c r="D112" t="s">
        <v>3</v>
      </c>
      <c r="E112" t="s">
        <v>246</v>
      </c>
      <c r="F112" t="s">
        <v>110</v>
      </c>
      <c r="G112" s="3">
        <v>20</v>
      </c>
      <c r="H112" s="365">
        <v>27</v>
      </c>
      <c r="I112" s="365">
        <v>540</v>
      </c>
      <c r="J112" t="s">
        <v>209</v>
      </c>
    </row>
    <row r="113" spans="1:11">
      <c r="A113" t="str">
        <f>IF(LEFT(E113,1)="1","SOL",IF(LEFT(E113,1)="2","CO",IF(LEFT(E113,1)="3","ALM",IF(LEFT(E113,1)="4","FAC","TRX")))) &amp; "-" &amp; B113 &amp; "-" &amp; TEXT(COUNTIFS($E$2:$E113,E113,$B$2:$B113,B113),"000")</f>
        <v>CO-24-041</v>
      </c>
      <c r="B113">
        <v>24</v>
      </c>
      <c r="C113" s="364">
        <v>46182</v>
      </c>
      <c r="D113" t="s">
        <v>2</v>
      </c>
      <c r="E113" t="s">
        <v>246</v>
      </c>
      <c r="F113" t="s">
        <v>60</v>
      </c>
      <c r="G113" s="3">
        <v>70</v>
      </c>
      <c r="H113" s="365">
        <v>27</v>
      </c>
      <c r="I113" s="365">
        <v>1890</v>
      </c>
      <c r="J113" t="s">
        <v>209</v>
      </c>
    </row>
    <row r="114" spans="1:11">
      <c r="A114" t="str">
        <f>IF(LEFT(E114,1)="1","SOL",IF(LEFT(E114,1)="2","CO",IF(LEFT(E114,1)="3","ALM",IF(LEFT(E114,1)="4","FAC","TRX")))) &amp; "-" &amp; B114 &amp; "-" &amp; TEXT(COUNTIFS($E$2:$E114,E114,$B$2:$B114,B114),"000")</f>
        <v>CO-24-042</v>
      </c>
      <c r="B114">
        <v>24</v>
      </c>
      <c r="C114" s="364">
        <v>46182</v>
      </c>
      <c r="D114" t="s">
        <v>2</v>
      </c>
      <c r="E114" t="s">
        <v>246</v>
      </c>
      <c r="F114" t="s">
        <v>116</v>
      </c>
      <c r="G114" s="3">
        <v>50</v>
      </c>
      <c r="H114" s="365">
        <v>27</v>
      </c>
      <c r="I114" s="365">
        <v>1350</v>
      </c>
      <c r="J114" t="s">
        <v>209</v>
      </c>
    </row>
    <row r="115" spans="1:11">
      <c r="A115" t="str">
        <f>IF(LEFT(E115,1)="1","SOL",IF(LEFT(E115,1)="2","CO",IF(LEFT(E115,1)="3","ALM",IF(LEFT(E115,1)="4","FAC","TRX")))) &amp; "-" &amp; B115 &amp; "-" &amp; TEXT(COUNTIFS($E$2:$E115,E115,$B$2:$B115,B115),"000")</f>
        <v>CO-24-043</v>
      </c>
      <c r="B115">
        <v>24</v>
      </c>
      <c r="C115" s="364">
        <v>46182</v>
      </c>
      <c r="D115" t="s">
        <v>2</v>
      </c>
      <c r="E115" t="s">
        <v>246</v>
      </c>
      <c r="F115" t="s">
        <v>65</v>
      </c>
      <c r="G115" s="3">
        <v>60</v>
      </c>
      <c r="H115" s="365">
        <v>27</v>
      </c>
      <c r="I115" s="365">
        <v>1620</v>
      </c>
      <c r="J115" t="s">
        <v>209</v>
      </c>
    </row>
    <row r="116" spans="1:11">
      <c r="A116" t="str">
        <f>IF(LEFT(E116,1)="1","SOL",IF(LEFT(E116,1)="2","CO",IF(LEFT(E116,1)="3","ALM",IF(LEFT(E116,1)="4","FAC","TRX")))) &amp; "-" &amp; B116 &amp; "-" &amp; TEXT(COUNTIFS($E$2:$E116,E116,$B$2:$B116,B116),"000")</f>
        <v>CO-24-044</v>
      </c>
      <c r="B116">
        <v>24</v>
      </c>
      <c r="C116" s="364">
        <v>46182</v>
      </c>
      <c r="D116" t="s">
        <v>3</v>
      </c>
      <c r="E116" t="s">
        <v>246</v>
      </c>
      <c r="F116" t="s">
        <v>278</v>
      </c>
      <c r="G116" s="3">
        <v>30</v>
      </c>
      <c r="H116" s="365">
        <v>28.3</v>
      </c>
      <c r="I116" s="365">
        <v>849</v>
      </c>
      <c r="J116" t="s">
        <v>209</v>
      </c>
    </row>
    <row r="117" spans="1:11">
      <c r="A117" t="str">
        <f>IF(LEFT(E117,1)="1","SOL",IF(LEFT(E117,1)="2","CO",IF(LEFT(E117,1)="3","ALM",IF(LEFT(E117,1)="4","FAC","TRX")))) &amp; "-" &amp; B117 &amp; "-" &amp; TEXT(COUNTIFS($E$2:$E117,E117,$B$2:$B117,B117),"000")</f>
        <v>CO-24-045</v>
      </c>
      <c r="B117">
        <v>24</v>
      </c>
      <c r="C117" s="364">
        <v>46182</v>
      </c>
      <c r="D117" t="s">
        <v>3</v>
      </c>
      <c r="E117" t="s">
        <v>246</v>
      </c>
      <c r="F117" t="s">
        <v>279</v>
      </c>
      <c r="G117" s="3">
        <v>100</v>
      </c>
      <c r="H117" s="365">
        <v>28.3</v>
      </c>
      <c r="I117" s="365">
        <v>2830</v>
      </c>
      <c r="J117" t="s">
        <v>209</v>
      </c>
    </row>
    <row r="118" spans="1:11">
      <c r="A118" t="str">
        <f>IF(LEFT(E118,1)="1","SOL",IF(LEFT(E118,1)="2","CO",IF(LEFT(E118,1)="3","ALM",IF(LEFT(E118,1)="4","FAC","TRX")))) &amp; "-" &amp; B118 &amp; "-" &amp; TEXT(COUNTIFS($E$2:$E118,E118,$B$2:$B118,B118),"000")</f>
        <v>CO-24-046</v>
      </c>
      <c r="B118">
        <v>24</v>
      </c>
      <c r="C118" s="364">
        <v>46182</v>
      </c>
      <c r="D118" t="s">
        <v>3</v>
      </c>
      <c r="E118" t="s">
        <v>246</v>
      </c>
      <c r="F118" t="s">
        <v>280</v>
      </c>
      <c r="G118" s="3">
        <v>30</v>
      </c>
      <c r="H118" s="365">
        <v>28.3</v>
      </c>
      <c r="I118" s="365">
        <v>849</v>
      </c>
      <c r="J118" t="s">
        <v>209</v>
      </c>
    </row>
    <row r="119" spans="1:11">
      <c r="A119" t="str">
        <f>IF(LEFT(E119,1)="1","SOL",IF(LEFT(E119,1)="2","CO",IF(LEFT(E119,1)="3","ALM",IF(LEFT(E119,1)="4","FAC","TRX")))) &amp; "-" &amp; B119 &amp; "-" &amp; TEXT(COUNTIFS($E$2:$E119,E119,$B$2:$B119,B119),"000")</f>
        <v>CO-24-047</v>
      </c>
      <c r="B119">
        <v>24</v>
      </c>
      <c r="C119" s="364">
        <v>46182</v>
      </c>
      <c r="D119" t="s">
        <v>3</v>
      </c>
      <c r="E119" t="s">
        <v>246</v>
      </c>
      <c r="F119" t="s">
        <v>271</v>
      </c>
      <c r="G119" s="3">
        <v>150</v>
      </c>
      <c r="H119" s="365">
        <v>28.3</v>
      </c>
      <c r="I119" s="365">
        <v>4245</v>
      </c>
      <c r="J119" t="s">
        <v>209</v>
      </c>
    </row>
    <row r="120" spans="1:11">
      <c r="A120" t="str">
        <f>IF(LEFT(E120,1)="1","SOL",IF(LEFT(E120,1)="2","CO",IF(LEFT(E120,1)="3","ALM",IF(LEFT(E120,1)="4","FAC","TRX")))) &amp; "-" &amp; B120 &amp; "-" &amp; TEXT(COUNTIFS($E$2:$E120,E120,$B$2:$B120,B120),"000")</f>
        <v>CO-24-048</v>
      </c>
      <c r="B120">
        <v>24</v>
      </c>
      <c r="C120" s="364">
        <v>46182</v>
      </c>
      <c r="D120" t="s">
        <v>3</v>
      </c>
      <c r="E120" t="s">
        <v>246</v>
      </c>
      <c r="F120" t="s">
        <v>277</v>
      </c>
      <c r="G120" s="3">
        <v>50</v>
      </c>
      <c r="H120" s="365">
        <v>28.3</v>
      </c>
      <c r="I120" s="365">
        <v>1415</v>
      </c>
      <c r="J120" t="s">
        <v>209</v>
      </c>
    </row>
    <row r="121" spans="1:11">
      <c r="A121" t="str">
        <f>IF(LEFT(E121,1)="1","SOL",IF(LEFT(E121,1)="2","CO",IF(LEFT(E121,1)="3","ALM",IF(LEFT(E121,1)="4","FAC","TRX")))) &amp; "-" &amp; B121 &amp; "-" &amp; TEXT(COUNTIFS($E$2:$E121,E121,$B$2:$B121,B121),"000")</f>
        <v>CO-24-049</v>
      </c>
      <c r="B121">
        <v>24</v>
      </c>
      <c r="C121" s="364">
        <v>46182</v>
      </c>
      <c r="D121" t="s">
        <v>3</v>
      </c>
      <c r="E121" t="s">
        <v>246</v>
      </c>
      <c r="F121" t="s">
        <v>276</v>
      </c>
      <c r="G121" s="3">
        <v>136</v>
      </c>
      <c r="H121" s="365">
        <v>28.3</v>
      </c>
      <c r="I121" s="365">
        <v>3848.8</v>
      </c>
      <c r="J121" t="s">
        <v>209</v>
      </c>
    </row>
    <row r="122" spans="1:11">
      <c r="A122" t="str">
        <f>IF(LEFT(E122,1)="1","SOL",IF(LEFT(E122,1)="2","CO",IF(LEFT(E122,1)="3","ALM",IF(LEFT(E122,1)="4","FAC","TRX")))) &amp; "-" &amp; B122 &amp; "-" &amp; TEXT(COUNTIFS($E$2:$E122,E122,$B$2:$B122,B122),"000")</f>
        <v>CO-24-050</v>
      </c>
      <c r="B122">
        <v>24</v>
      </c>
      <c r="C122" s="364">
        <v>46182</v>
      </c>
      <c r="D122" t="s">
        <v>3</v>
      </c>
      <c r="E122" t="s">
        <v>246</v>
      </c>
      <c r="F122" t="s">
        <v>280</v>
      </c>
      <c r="G122" s="3">
        <v>30</v>
      </c>
      <c r="H122" s="365">
        <v>28.3</v>
      </c>
      <c r="I122" s="365">
        <v>849</v>
      </c>
      <c r="J122" t="s">
        <v>209</v>
      </c>
    </row>
    <row r="123" spans="1:11">
      <c r="A123" t="str">
        <f>IF(LEFT(E123,1)="1","SOL",IF(LEFT(E123,1)="2","CO",IF(LEFT(E123,1)="3","ALM",IF(LEFT(E123,1)="4","FAC","TRX")))) &amp; "-" &amp; B123 &amp; "-" &amp; TEXT(COUNTIFS($E$2:$E123,E123,$B$2:$B123,B123),"000")</f>
        <v>CO-24-051</v>
      </c>
      <c r="B123">
        <v>24</v>
      </c>
      <c r="C123" s="364">
        <v>46182</v>
      </c>
      <c r="D123" t="s">
        <v>3</v>
      </c>
      <c r="E123" t="s">
        <v>246</v>
      </c>
      <c r="F123" t="s">
        <v>266</v>
      </c>
      <c r="G123" s="3">
        <v>30</v>
      </c>
      <c r="H123" s="365">
        <v>28.3</v>
      </c>
      <c r="I123" s="365">
        <v>849</v>
      </c>
      <c r="J123" t="s">
        <v>209</v>
      </c>
    </row>
    <row r="124" spans="1:11">
      <c r="A124" t="str">
        <f>IF(LEFT(E124,1)="1","SOL",IF(LEFT(E124,1)="2","CO",IF(LEFT(E124,1)="3","ALM",IF(LEFT(E124,1)="4","FAC","TRX")))) &amp; "-" &amp; B124 &amp; "-" &amp; TEXT(COUNTIFS($E$2:$E124,E124,$B$2:$B124,B124),"000")</f>
        <v>CO-24-052</v>
      </c>
      <c r="B124">
        <v>24</v>
      </c>
      <c r="C124" s="364">
        <v>46182</v>
      </c>
      <c r="D124" t="s">
        <v>3</v>
      </c>
      <c r="E124" t="s">
        <v>246</v>
      </c>
      <c r="F124" t="s">
        <v>279</v>
      </c>
      <c r="G124" s="3">
        <v>100</v>
      </c>
      <c r="H124" s="365">
        <v>28.3</v>
      </c>
      <c r="I124" s="365">
        <v>2830</v>
      </c>
      <c r="J124" t="s">
        <v>209</v>
      </c>
    </row>
    <row r="125" spans="1:11">
      <c r="A125" t="str">
        <f>IF(LEFT(E125,1)="1","SOL",IF(LEFT(E125,1)="2","CO",IF(LEFT(E125,1)="3","ALM",IF(LEFT(E125,1)="4","FAC","TRX")))) &amp; "-" &amp; B125 &amp; "-" &amp; TEXT(COUNTIFS($E$2:$E125,E125,$B$2:$B125,B125),"000")</f>
        <v>CO-24-053</v>
      </c>
      <c r="B125">
        <v>24</v>
      </c>
      <c r="C125" s="364">
        <v>46182</v>
      </c>
      <c r="D125" t="s">
        <v>3</v>
      </c>
      <c r="E125" t="s">
        <v>246</v>
      </c>
      <c r="F125" t="s">
        <v>275</v>
      </c>
      <c r="G125" s="3">
        <v>60</v>
      </c>
      <c r="H125" s="365">
        <v>28.3</v>
      </c>
      <c r="I125" s="365">
        <v>1698</v>
      </c>
      <c r="J125" t="s">
        <v>209</v>
      </c>
    </row>
    <row r="126" spans="1:11">
      <c r="A126" t="str">
        <f>IF(LEFT(E126,1)="1","SOL",IF(LEFT(E126,1)="2","CO",IF(LEFT(E126,1)="3","ALM",IF(LEFT(E126,1)="4","FAC","TRX")))) &amp; "-" &amp; B126 &amp; "-" &amp; TEXT(COUNTIFS($E$2:$E126,E126,$B$2:$B126,B126),"000")</f>
        <v>CO-24-054</v>
      </c>
      <c r="B126">
        <v>24</v>
      </c>
      <c r="C126" s="364">
        <v>46182</v>
      </c>
      <c r="D126" t="s">
        <v>3</v>
      </c>
      <c r="E126" t="s">
        <v>246</v>
      </c>
      <c r="F126" t="s">
        <v>274</v>
      </c>
      <c r="G126" s="3">
        <v>20</v>
      </c>
      <c r="H126" s="365">
        <v>28.3</v>
      </c>
      <c r="I126" s="365">
        <v>566</v>
      </c>
      <c r="J126" t="s">
        <v>209</v>
      </c>
    </row>
    <row r="127" spans="1:11">
      <c r="A127" t="str">
        <f>IF(LEFT(E127,1)="1","SOL",IF(LEFT(E127,1)="2","CO",IF(LEFT(E127,1)="3","ALM",IF(LEFT(E127,1)="4","FAC","TRX")))) &amp; "-" &amp; B127 &amp; "-" &amp; TEXT(COUNTIFS($E$2:$E127,E127,$B$2:$B127,B127),"000")</f>
        <v>SOL-24-040</v>
      </c>
      <c r="B127">
        <v>24</v>
      </c>
      <c r="C127" s="364">
        <v>46183</v>
      </c>
      <c r="D127" t="s">
        <v>1</v>
      </c>
      <c r="E127" t="s">
        <v>208</v>
      </c>
      <c r="F127" t="s">
        <v>80</v>
      </c>
      <c r="G127" s="3">
        <v>250</v>
      </c>
      <c r="H127" s="365">
        <v>27</v>
      </c>
      <c r="I127" s="365">
        <v>6750</v>
      </c>
      <c r="J127" t="s">
        <v>209</v>
      </c>
      <c r="K127">
        <v>27</v>
      </c>
    </row>
    <row r="128" spans="1:11">
      <c r="A128" t="str">
        <f>IF(LEFT(E128,1)="1","SOL",IF(LEFT(E128,1)="2","CO",IF(LEFT(E128,1)="3","ALM",IF(LEFT(E128,1)="4","FAC","TRX")))) &amp; "-" &amp; B128 &amp; "-" &amp; TEXT(COUNTIFS($E$2:$E128,E128,$B$2:$B128,B128),"000")</f>
        <v>SOL-24-041</v>
      </c>
      <c r="B128">
        <v>24</v>
      </c>
      <c r="C128" s="364">
        <v>46183</v>
      </c>
      <c r="D128" t="s">
        <v>1</v>
      </c>
      <c r="E128" t="s">
        <v>208</v>
      </c>
      <c r="F128" t="s">
        <v>60</v>
      </c>
      <c r="G128" s="3">
        <v>30</v>
      </c>
      <c r="H128" s="365">
        <v>27</v>
      </c>
      <c r="I128" s="365">
        <v>810</v>
      </c>
      <c r="J128" t="s">
        <v>209</v>
      </c>
      <c r="K128">
        <v>27</v>
      </c>
    </row>
    <row r="129" spans="1:11">
      <c r="A129" t="str">
        <f>IF(LEFT(E129,1)="1","SOL",IF(LEFT(E129,1)="2","CO",IF(LEFT(E129,1)="3","ALM",IF(LEFT(E129,1)="4","FAC","TRX")))) &amp; "-" &amp; B129 &amp; "-" &amp; TEXT(COUNTIFS($E$2:$E129,E129,$B$2:$B129,B129),"000")</f>
        <v>SOL-24-042</v>
      </c>
      <c r="B129">
        <v>24</v>
      </c>
      <c r="C129" s="364">
        <v>46183</v>
      </c>
      <c r="D129" t="s">
        <v>1</v>
      </c>
      <c r="E129" t="s">
        <v>208</v>
      </c>
      <c r="F129" t="s">
        <v>81</v>
      </c>
      <c r="G129" s="3">
        <v>20</v>
      </c>
      <c r="H129" s="365">
        <v>27</v>
      </c>
      <c r="I129" s="365">
        <v>540</v>
      </c>
      <c r="J129" t="s">
        <v>209</v>
      </c>
      <c r="K129">
        <v>27</v>
      </c>
    </row>
    <row r="130" spans="1:11">
      <c r="A130" t="str">
        <f>IF(LEFT(E130,1)="1","SOL",IF(LEFT(E130,1)="2","CO",IF(LEFT(E130,1)="3","ALM",IF(LEFT(E130,1)="4","FAC","TRX")))) &amp; "-" &amp; B130 &amp; "-" &amp; TEXT(COUNTIFS($E$2:$E130,E130,$B$2:$B130,B130),"000")</f>
        <v>SOL-24-043</v>
      </c>
      <c r="B130">
        <v>24</v>
      </c>
      <c r="C130" s="364">
        <v>46183</v>
      </c>
      <c r="D130" t="s">
        <v>1</v>
      </c>
      <c r="E130" t="s">
        <v>208</v>
      </c>
      <c r="F130" t="s">
        <v>108</v>
      </c>
      <c r="G130" s="3">
        <v>20</v>
      </c>
      <c r="H130" s="365">
        <v>27</v>
      </c>
      <c r="I130" s="365">
        <v>540</v>
      </c>
      <c r="J130" t="s">
        <v>209</v>
      </c>
      <c r="K130">
        <v>27</v>
      </c>
    </row>
    <row r="131" spans="1:11">
      <c r="A131" t="str">
        <f>IF(LEFT(E131,1)="1","SOL",IF(LEFT(E131,1)="2","CO",IF(LEFT(E131,1)="3","ALM",IF(LEFT(E131,1)="4","FAC","TRX")))) &amp; "-" &amp; B131 &amp; "-" &amp; TEXT(COUNTIFS($E$2:$E131,E131,$B$2:$B131,B131),"000")</f>
        <v>CO-24-055</v>
      </c>
      <c r="B131">
        <v>24</v>
      </c>
      <c r="C131" s="364">
        <v>46183</v>
      </c>
      <c r="D131" t="s">
        <v>1</v>
      </c>
      <c r="E131" t="s">
        <v>246</v>
      </c>
      <c r="F131" t="s">
        <v>81</v>
      </c>
      <c r="G131" s="3">
        <v>20</v>
      </c>
      <c r="H131" s="365">
        <v>27</v>
      </c>
      <c r="I131" s="365">
        <v>540</v>
      </c>
      <c r="J131" t="s">
        <v>209</v>
      </c>
    </row>
    <row r="132" spans="1:11">
      <c r="A132" t="str">
        <f>IF(LEFT(E132,1)="1","SOL",IF(LEFT(E132,1)="2","CO",IF(LEFT(E132,1)="3","ALM",IF(LEFT(E132,1)="4","FAC","TRX")))) &amp; "-" &amp; B132 &amp; "-" &amp; TEXT(COUNTIFS($E$2:$E132,E132,$B$2:$B132,B132),"000")</f>
        <v>CO-24-056</v>
      </c>
      <c r="B132">
        <v>24</v>
      </c>
      <c r="C132" s="364">
        <v>46183</v>
      </c>
      <c r="D132" t="s">
        <v>1</v>
      </c>
      <c r="E132" t="s">
        <v>246</v>
      </c>
      <c r="F132" t="s">
        <v>80</v>
      </c>
      <c r="G132" s="3">
        <v>250</v>
      </c>
      <c r="H132" s="365">
        <v>27</v>
      </c>
      <c r="I132" s="365">
        <v>6750</v>
      </c>
      <c r="J132" t="s">
        <v>209</v>
      </c>
    </row>
    <row r="133" spans="1:11">
      <c r="A133" t="str">
        <f>IF(LEFT(E133,1)="1","SOL",IF(LEFT(E133,1)="2","CO",IF(LEFT(E133,1)="3","ALM",IF(LEFT(E133,1)="4","FAC","TRX")))) &amp; "-" &amp; B133 &amp; "-" &amp; TEXT(COUNTIFS($E$2:$E133,E133,$B$2:$B133,B133),"000")</f>
        <v>CO-24-057</v>
      </c>
      <c r="B133">
        <v>24</v>
      </c>
      <c r="C133" s="364">
        <v>46183</v>
      </c>
      <c r="D133" t="s">
        <v>1</v>
      </c>
      <c r="E133" t="s">
        <v>246</v>
      </c>
      <c r="F133" t="s">
        <v>60</v>
      </c>
      <c r="G133" s="3">
        <v>30</v>
      </c>
      <c r="H133" s="365">
        <v>27</v>
      </c>
      <c r="I133" s="365">
        <v>810</v>
      </c>
      <c r="J133" t="s">
        <v>209</v>
      </c>
    </row>
    <row r="134" spans="1:11">
      <c r="A134" t="str">
        <f>IF(LEFT(E134,1)="1","SOL",IF(LEFT(E134,1)="2","CO",IF(LEFT(E134,1)="3","ALM",IF(LEFT(E134,1)="4","FAC","TRX")))) &amp; "-" &amp; B134 &amp; "-" &amp; TEXT(COUNTIFS($E$2:$E134,E134,$B$2:$B134,B134),"000")</f>
        <v>CO-24-058</v>
      </c>
      <c r="B134">
        <v>24</v>
      </c>
      <c r="C134" s="364">
        <v>46183</v>
      </c>
      <c r="D134" t="s">
        <v>126</v>
      </c>
      <c r="E134" t="s">
        <v>246</v>
      </c>
      <c r="F134" t="s">
        <v>127</v>
      </c>
      <c r="G134" s="3">
        <v>100</v>
      </c>
      <c r="H134" s="365">
        <v>27</v>
      </c>
      <c r="I134" s="365">
        <v>2700</v>
      </c>
      <c r="J134" t="s">
        <v>209</v>
      </c>
    </row>
    <row r="135" spans="1:11">
      <c r="A135" t="str">
        <f>IF(LEFT(E135,1)="1","SOL",IF(LEFT(E135,1)="2","CO",IF(LEFT(E135,1)="3","ALM",IF(LEFT(E135,1)="4","FAC","TRX")))) &amp; "-" &amp; B135 &amp; "-" &amp; TEXT(COUNTIFS($E$2:$E135,E135,$B$2:$B135,B135),"000")</f>
        <v>CO-24-059</v>
      </c>
      <c r="B135">
        <v>24</v>
      </c>
      <c r="C135" s="364">
        <v>46183</v>
      </c>
      <c r="D135" t="s">
        <v>1</v>
      </c>
      <c r="E135" t="s">
        <v>246</v>
      </c>
      <c r="F135" t="s">
        <v>281</v>
      </c>
      <c r="G135" s="3">
        <v>20</v>
      </c>
      <c r="H135" s="365">
        <v>28.3</v>
      </c>
      <c r="I135" s="365">
        <v>566</v>
      </c>
      <c r="J135" t="s">
        <v>209</v>
      </c>
    </row>
    <row r="136" spans="1:11">
      <c r="A136" t="str">
        <f>IF(LEFT(E136,1)="1","SOL",IF(LEFT(E136,1)="2","CO",IF(LEFT(E136,1)="3","ALM",IF(LEFT(E136,1)="4","FAC","TRX")))) &amp; "-" &amp; B136 &amp; "-" &amp; TEXT(COUNTIFS($E$2:$E136,E136,$B$2:$B136,B136),"000")</f>
        <v>CO-24-060</v>
      </c>
      <c r="B136">
        <v>24</v>
      </c>
      <c r="C136" s="364">
        <v>46183</v>
      </c>
      <c r="D136" t="s">
        <v>1</v>
      </c>
      <c r="E136" t="s">
        <v>246</v>
      </c>
      <c r="F136" t="s">
        <v>268</v>
      </c>
      <c r="G136" s="3">
        <v>250</v>
      </c>
      <c r="H136" s="365">
        <v>28.3</v>
      </c>
      <c r="I136" s="365">
        <v>7075</v>
      </c>
      <c r="J136" t="s">
        <v>209</v>
      </c>
    </row>
    <row r="137" spans="1:11">
      <c r="A137" t="str">
        <f>IF(LEFT(E137,1)="1","SOL",IF(LEFT(E137,1)="2","CO",IF(LEFT(E137,1)="3","ALM",IF(LEFT(E137,1)="4","FAC","TRX")))) &amp; "-" &amp; B137 &amp; "-" &amp; TEXT(COUNTIFS($E$2:$E137,E137,$B$2:$B137,B137),"000")</f>
        <v>CO-24-061</v>
      </c>
      <c r="B137">
        <v>24</v>
      </c>
      <c r="C137" s="364">
        <v>46183</v>
      </c>
      <c r="D137" t="s">
        <v>1</v>
      </c>
      <c r="E137" t="s">
        <v>246</v>
      </c>
      <c r="F137" t="s">
        <v>269</v>
      </c>
      <c r="G137" s="3">
        <v>30</v>
      </c>
      <c r="H137" s="365">
        <v>28.3</v>
      </c>
      <c r="I137" s="365">
        <v>849</v>
      </c>
      <c r="J137" t="s">
        <v>209</v>
      </c>
    </row>
    <row r="138" spans="1:11">
      <c r="A138" t="str">
        <f>IF(LEFT(E138,1)="1","SOL",IF(LEFT(E138,1)="2","CO",IF(LEFT(E138,1)="3","ALM",IF(LEFT(E138,1)="4","FAC","TRX")))) &amp; "-" &amp; B138 &amp; "-" &amp; TEXT(COUNTIFS($E$2:$E138,E138,$B$2:$B138,B138),"000")</f>
        <v>SOL-24-044</v>
      </c>
      <c r="B138">
        <v>24</v>
      </c>
      <c r="C138" s="364">
        <v>46184</v>
      </c>
      <c r="D138" t="s">
        <v>2</v>
      </c>
      <c r="E138" t="s">
        <v>208</v>
      </c>
      <c r="F138" t="s">
        <v>65</v>
      </c>
      <c r="G138" s="3">
        <v>80</v>
      </c>
      <c r="H138" s="365">
        <v>27</v>
      </c>
      <c r="I138" s="365">
        <v>2160</v>
      </c>
      <c r="J138" t="s">
        <v>209</v>
      </c>
      <c r="K138">
        <v>27</v>
      </c>
    </row>
    <row r="139" spans="1:11">
      <c r="A139" t="str">
        <f>IF(LEFT(E139,1)="1","SOL",IF(LEFT(E139,1)="2","CO",IF(LEFT(E139,1)="3","ALM",IF(LEFT(E139,1)="4","FAC","TRX")))) &amp; "-" &amp; B139 &amp; "-" &amp; TEXT(COUNTIFS($E$2:$E139,E139,$B$2:$B139,B139),"000")</f>
        <v>SOL-24-045</v>
      </c>
      <c r="B139">
        <v>24</v>
      </c>
      <c r="C139" s="364">
        <v>46184</v>
      </c>
      <c r="D139" t="s">
        <v>2</v>
      </c>
      <c r="E139" t="s">
        <v>208</v>
      </c>
      <c r="F139" t="s">
        <v>106</v>
      </c>
      <c r="G139" s="3">
        <v>80</v>
      </c>
      <c r="H139" s="365">
        <v>27</v>
      </c>
      <c r="I139" s="365">
        <v>2160</v>
      </c>
      <c r="J139" t="s">
        <v>209</v>
      </c>
      <c r="K139">
        <v>27</v>
      </c>
    </row>
    <row r="140" spans="1:11">
      <c r="A140" t="str">
        <f>IF(LEFT(E140,1)="1","SOL",IF(LEFT(E140,1)="2","CO",IF(LEFT(E140,1)="3","ALM",IF(LEFT(E140,1)="4","FAC","TRX")))) &amp; "-" &amp; B140 &amp; "-" &amp; TEXT(COUNTIFS($E$2:$E140,E140,$B$2:$B140,B140),"000")</f>
        <v>SOL-24-046</v>
      </c>
      <c r="B140">
        <v>24</v>
      </c>
      <c r="C140" s="364">
        <v>46184</v>
      </c>
      <c r="D140" t="s">
        <v>2</v>
      </c>
      <c r="E140" t="s">
        <v>208</v>
      </c>
      <c r="F140" t="s">
        <v>60</v>
      </c>
      <c r="G140" s="3">
        <v>70</v>
      </c>
      <c r="H140" s="365">
        <v>27</v>
      </c>
      <c r="I140" s="365">
        <v>1890</v>
      </c>
      <c r="J140" t="s">
        <v>209</v>
      </c>
      <c r="K140">
        <v>27</v>
      </c>
    </row>
    <row r="141" spans="1:11">
      <c r="A141" t="str">
        <f>IF(LEFT(E141,1)="1","SOL",IF(LEFT(E141,1)="2","CO",IF(LEFT(E141,1)="3","ALM",IF(LEFT(E141,1)="4","FAC","TRX")))) &amp; "-" &amp; B141 &amp; "-" &amp; TEXT(COUNTIFS($E$2:$E141,E141,$B$2:$B141,B141),"000")</f>
        <v>SOL-24-047</v>
      </c>
      <c r="B141">
        <v>24</v>
      </c>
      <c r="C141" s="364">
        <v>46184</v>
      </c>
      <c r="D141" t="s">
        <v>2</v>
      </c>
      <c r="E141" t="s">
        <v>208</v>
      </c>
      <c r="F141" t="s">
        <v>116</v>
      </c>
      <c r="G141" s="3">
        <v>40</v>
      </c>
      <c r="H141" s="365">
        <v>27</v>
      </c>
      <c r="I141" s="365">
        <v>1080</v>
      </c>
      <c r="J141" t="s">
        <v>209</v>
      </c>
      <c r="K141">
        <v>27</v>
      </c>
    </row>
    <row r="142" spans="1:11">
      <c r="A142" t="str">
        <f>IF(LEFT(E142,1)="1","SOL",IF(LEFT(E142,1)="2","CO",IF(LEFT(E142,1)="3","ALM",IF(LEFT(E142,1)="4","FAC","TRX")))) &amp; "-" &amp; B142 &amp; "-" &amp; TEXT(COUNTIFS($E$2:$E142,E142,$B$2:$B142,B142),"000")</f>
        <v>SOL-24-048</v>
      </c>
      <c r="B142">
        <v>24</v>
      </c>
      <c r="C142" s="364">
        <v>46184</v>
      </c>
      <c r="D142" t="s">
        <v>2</v>
      </c>
      <c r="E142" t="s">
        <v>208</v>
      </c>
      <c r="F142" t="s">
        <v>76</v>
      </c>
      <c r="G142" s="3">
        <v>150</v>
      </c>
      <c r="H142" s="365">
        <v>27</v>
      </c>
      <c r="I142" s="365">
        <v>4050</v>
      </c>
      <c r="J142" t="s">
        <v>209</v>
      </c>
      <c r="K142">
        <v>27</v>
      </c>
    </row>
    <row r="143" spans="1:11">
      <c r="A143" t="str">
        <f>IF(LEFT(E143,1)="1","SOL",IF(LEFT(E143,1)="2","CO",IF(LEFT(E143,1)="3","ALM",IF(LEFT(E143,1)="4","FAC","TRX")))) &amp; "-" &amp; B143 &amp; "-" &amp; TEXT(COUNTIFS($E$2:$E143,E143,$B$2:$B143,B143),"000")</f>
        <v>SOL-24-049</v>
      </c>
      <c r="B143">
        <v>24</v>
      </c>
      <c r="C143" s="364">
        <v>46184</v>
      </c>
      <c r="D143" t="s">
        <v>2</v>
      </c>
      <c r="E143" t="s">
        <v>208</v>
      </c>
      <c r="F143" t="s">
        <v>114</v>
      </c>
      <c r="G143" s="3">
        <v>30</v>
      </c>
      <c r="H143" s="365">
        <v>27</v>
      </c>
      <c r="I143" s="365">
        <v>810</v>
      </c>
      <c r="J143" t="s">
        <v>209</v>
      </c>
      <c r="K143">
        <v>27</v>
      </c>
    </row>
    <row r="144" spans="1:11">
      <c r="A144" t="str">
        <f>IF(LEFT(E144,1)="1","SOL",IF(LEFT(E144,1)="2","CO",IF(LEFT(E144,1)="3","ALM",IF(LEFT(E144,1)="4","FAC","TRX")))) &amp; "-" &amp; B144 &amp; "-" &amp; TEXT(COUNTIFS($E$2:$E144,E144,$B$2:$B144,B144),"000")</f>
        <v>SOL-24-050</v>
      </c>
      <c r="B144">
        <v>24</v>
      </c>
      <c r="C144" s="364">
        <v>46184</v>
      </c>
      <c r="D144" t="s">
        <v>2</v>
      </c>
      <c r="E144" t="s">
        <v>208</v>
      </c>
      <c r="F144" t="s">
        <v>112</v>
      </c>
      <c r="G144" s="3">
        <v>10</v>
      </c>
      <c r="H144" s="365">
        <v>27</v>
      </c>
      <c r="I144" s="365">
        <v>270</v>
      </c>
      <c r="J144" t="s">
        <v>209</v>
      </c>
      <c r="K144">
        <v>27</v>
      </c>
    </row>
    <row r="145" spans="1:10">
      <c r="A145" t="str">
        <f>IF(LEFT(E145,1)="1","SOL",IF(LEFT(E145,1)="2","CO",IF(LEFT(E145,1)="3","ALM",IF(LEFT(E145,1)="4","FAC","TRX")))) &amp; "-" &amp; B145 &amp; "-" &amp; TEXT(COUNTIFS($E$2:$E145,E145,$B$2:$B145,B145),"000")</f>
        <v>CO-24-062</v>
      </c>
      <c r="B145">
        <v>24</v>
      </c>
      <c r="C145" s="364">
        <v>46184</v>
      </c>
      <c r="D145" t="s">
        <v>1</v>
      </c>
      <c r="E145" t="s">
        <v>246</v>
      </c>
      <c r="F145" t="s">
        <v>51</v>
      </c>
      <c r="G145" s="3">
        <v>30</v>
      </c>
      <c r="H145" s="365">
        <v>27</v>
      </c>
      <c r="I145" s="365">
        <v>810</v>
      </c>
      <c r="J145" t="s">
        <v>209</v>
      </c>
    </row>
    <row r="146" spans="1:10">
      <c r="A146" t="str">
        <f>IF(LEFT(E146,1)="1","SOL",IF(LEFT(E146,1)="2","CO",IF(LEFT(E146,1)="3","ALM",IF(LEFT(E146,1)="4","FAC","TRX")))) &amp; "-" &amp; B146 &amp; "-" &amp; TEXT(COUNTIFS($E$2:$E146,E146,$B$2:$B146,B146),"000")</f>
        <v>CO-24-063</v>
      </c>
      <c r="B146">
        <v>24</v>
      </c>
      <c r="C146" s="364">
        <v>46184</v>
      </c>
      <c r="D146" t="s">
        <v>1</v>
      </c>
      <c r="E146" t="s">
        <v>246</v>
      </c>
      <c r="F146" t="s">
        <v>97</v>
      </c>
      <c r="G146" s="3">
        <v>30</v>
      </c>
      <c r="H146" s="365">
        <v>27</v>
      </c>
      <c r="I146" s="365">
        <v>810</v>
      </c>
      <c r="J146" t="s">
        <v>209</v>
      </c>
    </row>
    <row r="147" spans="1:10">
      <c r="A147" t="str">
        <f>IF(LEFT(E147,1)="1","SOL",IF(LEFT(E147,1)="2","CO",IF(LEFT(E147,1)="3","ALM",IF(LEFT(E147,1)="4","FAC","TRX")))) &amp; "-" &amp; B147 &amp; "-" &amp; TEXT(COUNTIFS($E$2:$E147,E147,$B$2:$B147,B147),"000")</f>
        <v>CO-24-064</v>
      </c>
      <c r="B147">
        <v>24</v>
      </c>
      <c r="C147" s="364">
        <v>46184</v>
      </c>
      <c r="D147" t="s">
        <v>1</v>
      </c>
      <c r="E147" t="s">
        <v>246</v>
      </c>
      <c r="F147" t="s">
        <v>76</v>
      </c>
      <c r="G147" s="3">
        <v>136</v>
      </c>
      <c r="H147" s="365">
        <v>27</v>
      </c>
      <c r="I147" s="365">
        <v>3672</v>
      </c>
      <c r="J147" t="s">
        <v>209</v>
      </c>
    </row>
    <row r="148" spans="1:10">
      <c r="A148" t="str">
        <f>IF(LEFT(E148,1)="1","SOL",IF(LEFT(E148,1)="2","CO",IF(LEFT(E148,1)="3","ALM",IF(LEFT(E148,1)="4","FAC","TRX")))) &amp; "-" &amp; B148 &amp; "-" &amp; TEXT(COUNTIFS($E$2:$E148,E148,$B$2:$B148,B148),"000")</f>
        <v>CO-24-065</v>
      </c>
      <c r="B148">
        <v>24</v>
      </c>
      <c r="C148" s="364">
        <v>46184</v>
      </c>
      <c r="D148" t="s">
        <v>1</v>
      </c>
      <c r="E148" t="s">
        <v>246</v>
      </c>
      <c r="F148" t="s">
        <v>81</v>
      </c>
      <c r="G148" s="3">
        <v>20</v>
      </c>
      <c r="H148" s="365">
        <v>27</v>
      </c>
      <c r="I148" s="365">
        <v>540</v>
      </c>
      <c r="J148" t="s">
        <v>209</v>
      </c>
    </row>
    <row r="149" spans="1:10">
      <c r="A149" t="str">
        <f>IF(LEFT(E149,1)="1","SOL",IF(LEFT(E149,1)="2","CO",IF(LEFT(E149,1)="3","ALM",IF(LEFT(E149,1)="4","FAC","TRX")))) &amp; "-" &amp; B149 &amp; "-" &amp; TEXT(COUNTIFS($E$2:$E149,E149,$B$2:$B149,B149),"000")</f>
        <v>CO-24-066</v>
      </c>
      <c r="B149">
        <v>24</v>
      </c>
      <c r="C149" s="364">
        <v>46184</v>
      </c>
      <c r="D149" t="s">
        <v>1</v>
      </c>
      <c r="E149" t="s">
        <v>246</v>
      </c>
      <c r="F149" t="s">
        <v>60</v>
      </c>
      <c r="G149" s="3">
        <v>20</v>
      </c>
      <c r="H149" s="365">
        <v>27</v>
      </c>
      <c r="I149" s="365">
        <v>540</v>
      </c>
      <c r="J149" t="s">
        <v>209</v>
      </c>
    </row>
    <row r="150" spans="1:10">
      <c r="A150" t="str">
        <f>IF(LEFT(E150,1)="1","SOL",IF(LEFT(E150,1)="2","CO",IF(LEFT(E150,1)="3","ALM",IF(LEFT(E150,1)="4","FAC","TRX")))) &amp; "-" &amp; B150 &amp; "-" &amp; TEXT(COUNTIFS($E$2:$E150,E150,$B$2:$B150,B150),"000")</f>
        <v>CO-24-067</v>
      </c>
      <c r="B150">
        <v>24</v>
      </c>
      <c r="C150" s="364">
        <v>46184</v>
      </c>
      <c r="D150" t="s">
        <v>1</v>
      </c>
      <c r="E150" t="s">
        <v>246</v>
      </c>
      <c r="F150" t="s">
        <v>108</v>
      </c>
      <c r="G150" s="3">
        <v>20</v>
      </c>
      <c r="H150" s="365">
        <v>27</v>
      </c>
      <c r="I150" s="365">
        <v>540</v>
      </c>
      <c r="J150" t="s">
        <v>209</v>
      </c>
    </row>
    <row r="151" spans="1:10">
      <c r="A151" t="str">
        <f>IF(LEFT(E151,1)="1","SOL",IF(LEFT(E151,1)="2","CO",IF(LEFT(E151,1)="3","ALM",IF(LEFT(E151,1)="4","FAC","TRX")))) &amp; "-" &amp; B151 &amp; "-" &amp; TEXT(COUNTIFS($E$2:$E151,E151,$B$2:$B151,B151),"000")</f>
        <v>CO-24-068</v>
      </c>
      <c r="B151">
        <v>24</v>
      </c>
      <c r="C151" s="364">
        <v>46184</v>
      </c>
      <c r="D151" t="s">
        <v>247</v>
      </c>
      <c r="E151" t="s">
        <v>246</v>
      </c>
      <c r="F151" t="s">
        <v>133</v>
      </c>
      <c r="G151" s="3">
        <v>238</v>
      </c>
      <c r="H151" s="365">
        <v>27</v>
      </c>
      <c r="I151" s="365">
        <v>6426</v>
      </c>
      <c r="J151" t="s">
        <v>209</v>
      </c>
    </row>
    <row r="152" spans="1:10">
      <c r="A152" t="str">
        <f>IF(LEFT(E152,1)="1","SOL",IF(LEFT(E152,1)="2","CO",IF(LEFT(E152,1)="3","ALM",IF(LEFT(E152,1)="4","FAC","TRX")))) &amp; "-" &amp; B152 &amp; "-" &amp; TEXT(COUNTIFS($E$2:$E152,E152,$B$2:$B152,B152),"000")</f>
        <v>CO-24-069</v>
      </c>
      <c r="B152">
        <v>24</v>
      </c>
      <c r="C152" s="364">
        <v>46184</v>
      </c>
      <c r="D152" t="s">
        <v>2</v>
      </c>
      <c r="E152" t="s">
        <v>246</v>
      </c>
      <c r="F152" t="s">
        <v>65</v>
      </c>
      <c r="G152" s="3">
        <v>80</v>
      </c>
      <c r="H152" s="365">
        <v>27</v>
      </c>
      <c r="I152" s="365">
        <v>2160</v>
      </c>
      <c r="J152" t="s">
        <v>209</v>
      </c>
    </row>
    <row r="153" spans="1:10">
      <c r="A153" t="str">
        <f>IF(LEFT(E153,1)="1","SOL",IF(LEFT(E153,1)="2","CO",IF(LEFT(E153,1)="3","ALM",IF(LEFT(E153,1)="4","FAC","TRX")))) &amp; "-" &amp; B153 &amp; "-" &amp; TEXT(COUNTIFS($E$2:$E153,E153,$B$2:$B153,B153),"000")</f>
        <v>CO-24-070</v>
      </c>
      <c r="B153">
        <v>24</v>
      </c>
      <c r="C153" s="364">
        <v>46184</v>
      </c>
      <c r="D153" t="s">
        <v>2</v>
      </c>
      <c r="E153" t="s">
        <v>246</v>
      </c>
      <c r="F153" t="s">
        <v>110</v>
      </c>
      <c r="G153" s="3">
        <v>50</v>
      </c>
      <c r="H153" s="365">
        <v>27</v>
      </c>
      <c r="I153" s="365">
        <v>1350</v>
      </c>
      <c r="J153" t="s">
        <v>209</v>
      </c>
    </row>
    <row r="154" spans="1:10">
      <c r="A154" t="str">
        <f>IF(LEFT(E154,1)="1","SOL",IF(LEFT(E154,1)="2","CO",IF(LEFT(E154,1)="3","ALM",IF(LEFT(E154,1)="4","FAC","TRX")))) &amp; "-" &amp; B154 &amp; "-" &amp; TEXT(COUNTIFS($E$2:$E154,E154,$B$2:$B154,B154),"000")</f>
        <v>CO-24-071</v>
      </c>
      <c r="B154">
        <v>24</v>
      </c>
      <c r="C154" s="364">
        <v>46184</v>
      </c>
      <c r="D154" t="s">
        <v>2</v>
      </c>
      <c r="E154" t="s">
        <v>246</v>
      </c>
      <c r="F154" t="s">
        <v>60</v>
      </c>
      <c r="G154" s="3">
        <v>70</v>
      </c>
      <c r="H154" s="365">
        <v>27</v>
      </c>
      <c r="I154" s="365">
        <v>1890</v>
      </c>
      <c r="J154" t="s">
        <v>209</v>
      </c>
    </row>
    <row r="155" spans="1:10">
      <c r="A155" t="str">
        <f>IF(LEFT(E155,1)="1","SOL",IF(LEFT(E155,1)="2","CO",IF(LEFT(E155,1)="3","ALM",IF(LEFT(E155,1)="4","FAC","TRX")))) &amp; "-" &amp; B155 &amp; "-" &amp; TEXT(COUNTIFS($E$2:$E155,E155,$B$2:$B155,B155),"000")</f>
        <v>CO-24-072</v>
      </c>
      <c r="B155">
        <v>24</v>
      </c>
      <c r="C155" s="364">
        <v>46184</v>
      </c>
      <c r="D155" t="s">
        <v>2</v>
      </c>
      <c r="E155" t="s">
        <v>246</v>
      </c>
      <c r="F155" t="s">
        <v>106</v>
      </c>
      <c r="G155" s="3">
        <v>80</v>
      </c>
      <c r="H155" s="365">
        <v>27</v>
      </c>
      <c r="I155" s="365">
        <v>2160</v>
      </c>
      <c r="J155" t="s">
        <v>209</v>
      </c>
    </row>
    <row r="156" spans="1:10">
      <c r="A156" t="str">
        <f>IF(LEFT(E156,1)="1","SOL",IF(LEFT(E156,1)="2","CO",IF(LEFT(E156,1)="3","ALM",IF(LEFT(E156,1)="4","FAC","TRX")))) &amp; "-" &amp; B156 &amp; "-" &amp; TEXT(COUNTIFS($E$2:$E156,E156,$B$2:$B156,B156),"000")</f>
        <v>CO-24-073</v>
      </c>
      <c r="B156">
        <v>24</v>
      </c>
      <c r="C156" s="364">
        <v>46184</v>
      </c>
      <c r="D156" t="s">
        <v>2</v>
      </c>
      <c r="E156" t="s">
        <v>246</v>
      </c>
      <c r="F156" t="s">
        <v>76</v>
      </c>
      <c r="G156" s="3">
        <v>185</v>
      </c>
      <c r="H156" s="365">
        <v>27</v>
      </c>
      <c r="I156" s="365">
        <v>4995</v>
      </c>
      <c r="J156" t="s">
        <v>209</v>
      </c>
    </row>
    <row r="157" spans="1:10">
      <c r="A157" t="str">
        <f>IF(LEFT(E157,1)="1","SOL",IF(LEFT(E157,1)="2","CO",IF(LEFT(E157,1)="3","ALM",IF(LEFT(E157,1)="4","FAC","TRX")))) &amp; "-" &amp; B157 &amp; "-" &amp; TEXT(COUNTIFS($E$2:$E157,E157,$B$2:$B157,B157),"000")</f>
        <v>CO-24-074</v>
      </c>
      <c r="B157">
        <v>24</v>
      </c>
      <c r="C157" s="364">
        <v>46184</v>
      </c>
      <c r="D157" t="s">
        <v>2</v>
      </c>
      <c r="E157" t="s">
        <v>246</v>
      </c>
      <c r="F157" t="s">
        <v>116</v>
      </c>
      <c r="G157" s="3">
        <v>50</v>
      </c>
      <c r="H157" s="365">
        <v>27</v>
      </c>
      <c r="I157" s="365">
        <v>1350</v>
      </c>
      <c r="J157" t="s">
        <v>209</v>
      </c>
    </row>
    <row r="158" spans="1:10">
      <c r="A158" t="str">
        <f>IF(LEFT(E158,1)="1","SOL",IF(LEFT(E158,1)="2","CO",IF(LEFT(E158,1)="3","ALM",IF(LEFT(E158,1)="4","FAC","TRX")))) &amp; "-" &amp; B158 &amp; "-" &amp; TEXT(COUNTIFS($E$2:$E158,E158,$B$2:$B158,B158),"000")</f>
        <v>CO-24-075</v>
      </c>
      <c r="B158">
        <v>24</v>
      </c>
      <c r="C158" s="364">
        <v>46184</v>
      </c>
      <c r="D158" t="s">
        <v>2</v>
      </c>
      <c r="E158" t="s">
        <v>246</v>
      </c>
      <c r="F158" t="s">
        <v>116</v>
      </c>
      <c r="G158" s="3">
        <v>40</v>
      </c>
      <c r="H158" s="365">
        <v>27</v>
      </c>
      <c r="I158" s="365">
        <v>1080</v>
      </c>
      <c r="J158" t="s">
        <v>209</v>
      </c>
    </row>
    <row r="159" spans="1:10">
      <c r="A159" t="str">
        <f>IF(LEFT(E159,1)="1","SOL",IF(LEFT(E159,1)="2","CO",IF(LEFT(E159,1)="3","ALM",IF(LEFT(E159,1)="4","FAC","TRX")))) &amp; "-" &amp; B159 &amp; "-" &amp; TEXT(COUNTIFS($E$2:$E159,E159,$B$2:$B159,B159),"000")</f>
        <v>CO-24-076</v>
      </c>
      <c r="B159">
        <v>24</v>
      </c>
      <c r="C159" s="364">
        <v>46184</v>
      </c>
      <c r="D159" t="s">
        <v>2</v>
      </c>
      <c r="E159" t="s">
        <v>246</v>
      </c>
      <c r="F159" t="s">
        <v>97</v>
      </c>
      <c r="G159" s="3">
        <v>40</v>
      </c>
      <c r="H159" s="365">
        <v>27</v>
      </c>
      <c r="I159" s="365">
        <v>1080</v>
      </c>
      <c r="J159" t="s">
        <v>209</v>
      </c>
    </row>
    <row r="160" spans="1:10">
      <c r="A160" t="str">
        <f>IF(LEFT(E160,1)="1","SOL",IF(LEFT(E160,1)="2","CO",IF(LEFT(E160,1)="3","ALM",IF(LEFT(E160,1)="4","FAC","TRX")))) &amp; "-" &amp; B160 &amp; "-" &amp; TEXT(COUNTIFS($E$2:$E160,E160,$B$2:$B160,B160),"000")</f>
        <v>CO-24-077</v>
      </c>
      <c r="B160">
        <v>24</v>
      </c>
      <c r="C160" s="364">
        <v>46184</v>
      </c>
      <c r="D160" t="s">
        <v>1</v>
      </c>
      <c r="E160" t="s">
        <v>246</v>
      </c>
      <c r="F160" t="s">
        <v>267</v>
      </c>
      <c r="G160" s="3">
        <v>30</v>
      </c>
      <c r="H160" s="365">
        <v>28.3</v>
      </c>
      <c r="I160" s="365">
        <v>849</v>
      </c>
      <c r="J160" t="s">
        <v>209</v>
      </c>
    </row>
    <row r="161" spans="1:11">
      <c r="A161" t="str">
        <f>IF(LEFT(E161,1)="1","SOL",IF(LEFT(E161,1)="2","CO",IF(LEFT(E161,1)="3","ALM",IF(LEFT(E161,1)="4","FAC","TRX")))) &amp; "-" &amp; B161 &amp; "-" &amp; TEXT(COUNTIFS($E$2:$E161,E161,$B$2:$B161,B161),"000")</f>
        <v>CO-24-078</v>
      </c>
      <c r="B161">
        <v>24</v>
      </c>
      <c r="C161" s="364">
        <v>46184</v>
      </c>
      <c r="D161" t="s">
        <v>1</v>
      </c>
      <c r="E161" t="s">
        <v>246</v>
      </c>
      <c r="F161" t="s">
        <v>266</v>
      </c>
      <c r="G161" s="3">
        <v>30</v>
      </c>
      <c r="H161" s="365">
        <v>28.3</v>
      </c>
      <c r="I161" s="365">
        <v>849</v>
      </c>
      <c r="J161" t="s">
        <v>209</v>
      </c>
    </row>
    <row r="162" spans="1:11">
      <c r="A162" t="str">
        <f>IF(LEFT(E162,1)="1","SOL",IF(LEFT(E162,1)="2","CO",IF(LEFT(E162,1)="3","ALM",IF(LEFT(E162,1)="4","FAC","TRX")))) &amp; "-" &amp; B162 &amp; "-" &amp; TEXT(COUNTIFS($E$2:$E162,E162,$B$2:$B162,B162),"000")</f>
        <v>CO-24-079</v>
      </c>
      <c r="B162">
        <v>24</v>
      </c>
      <c r="C162" s="364">
        <v>46184</v>
      </c>
      <c r="D162" t="s">
        <v>1</v>
      </c>
      <c r="E162" t="s">
        <v>246</v>
      </c>
      <c r="F162" t="s">
        <v>270</v>
      </c>
      <c r="G162" s="3">
        <v>136</v>
      </c>
      <c r="H162" s="365">
        <v>28.3</v>
      </c>
      <c r="I162" s="365">
        <v>3848.8</v>
      </c>
      <c r="J162" t="s">
        <v>209</v>
      </c>
    </row>
    <row r="163" spans="1:11">
      <c r="A163" t="str">
        <f>IF(LEFT(E163,1)="1","SOL",IF(LEFT(E163,1)="2","CO",IF(LEFT(E163,1)="3","ALM",IF(LEFT(E163,1)="4","FAC","TRX")))) &amp; "-" &amp; B163 &amp; "-" &amp; TEXT(COUNTIFS($E$2:$E163,E163,$B$2:$B163,B163),"000")</f>
        <v>CO-24-080</v>
      </c>
      <c r="B163">
        <v>24</v>
      </c>
      <c r="C163" s="364">
        <v>46184</v>
      </c>
      <c r="D163" t="s">
        <v>1</v>
      </c>
      <c r="E163" t="s">
        <v>246</v>
      </c>
      <c r="F163" t="s">
        <v>281</v>
      </c>
      <c r="G163" s="3">
        <v>20</v>
      </c>
      <c r="H163" s="365">
        <v>28.3</v>
      </c>
      <c r="I163" s="365">
        <v>566</v>
      </c>
      <c r="J163" t="s">
        <v>209</v>
      </c>
    </row>
    <row r="164" spans="1:11">
      <c r="A164" t="str">
        <f>IF(LEFT(E164,1)="1","SOL",IF(LEFT(E164,1)="2","CO",IF(LEFT(E164,1)="3","ALM",IF(LEFT(E164,1)="4","FAC","TRX")))) &amp; "-" &amp; B164 &amp; "-" &amp; TEXT(COUNTIFS($E$2:$E164,E164,$B$2:$B164,B164),"000")</f>
        <v>CO-24-081</v>
      </c>
      <c r="B164">
        <v>24</v>
      </c>
      <c r="C164" s="364">
        <v>46184</v>
      </c>
      <c r="D164" t="s">
        <v>1</v>
      </c>
      <c r="E164" t="s">
        <v>246</v>
      </c>
      <c r="F164" t="s">
        <v>269</v>
      </c>
      <c r="G164" s="3">
        <v>20</v>
      </c>
      <c r="H164" s="365">
        <v>28.3</v>
      </c>
      <c r="I164" s="365">
        <v>566</v>
      </c>
      <c r="J164" t="s">
        <v>209</v>
      </c>
    </row>
    <row r="165" spans="1:11">
      <c r="A165" t="str">
        <f>IF(LEFT(E165,1)="1","SOL",IF(LEFT(E165,1)="2","CO",IF(LEFT(E165,1)="3","ALM",IF(LEFT(E165,1)="4","FAC","TRX")))) &amp; "-" &amp; B165 &amp; "-" &amp; TEXT(COUNTIFS($E$2:$E165,E165,$B$2:$B165,B165),"000")</f>
        <v>CO-24-082</v>
      </c>
      <c r="B165">
        <v>24</v>
      </c>
      <c r="C165" s="364">
        <v>46184</v>
      </c>
      <c r="D165" t="s">
        <v>1</v>
      </c>
      <c r="E165" t="s">
        <v>246</v>
      </c>
      <c r="F165" t="s">
        <v>272</v>
      </c>
      <c r="G165" s="3">
        <v>20</v>
      </c>
      <c r="H165" s="365">
        <v>28.3</v>
      </c>
      <c r="I165" s="365">
        <v>566</v>
      </c>
      <c r="J165" t="s">
        <v>209</v>
      </c>
    </row>
    <row r="166" spans="1:11">
      <c r="A166" t="str">
        <f>IF(LEFT(E166,1)="1","SOL",IF(LEFT(E166,1)="2","CO",IF(LEFT(E166,1)="3","ALM",IF(LEFT(E166,1)="4","FAC","TRX")))) &amp; "-" &amp; B166 &amp; "-" &amp; TEXT(COUNTIFS($E$2:$E166,E166,$B$2:$B166,B166),"000")</f>
        <v>CO-24-083</v>
      </c>
      <c r="B166">
        <v>24</v>
      </c>
      <c r="C166" s="364">
        <v>46184</v>
      </c>
      <c r="D166" t="s">
        <v>289</v>
      </c>
      <c r="E166" t="s">
        <v>246</v>
      </c>
      <c r="F166" t="s">
        <v>295</v>
      </c>
      <c r="G166" s="3">
        <v>70</v>
      </c>
      <c r="H166" s="365">
        <v>27</v>
      </c>
      <c r="I166" s="365">
        <v>1890</v>
      </c>
      <c r="J166" t="s">
        <v>209</v>
      </c>
    </row>
    <row r="167" spans="1:11">
      <c r="A167" t="str">
        <f>IF(LEFT(E167,1)="1","SOL",IF(LEFT(E167,1)="2","CO",IF(LEFT(E167,1)="3","ALM",IF(LEFT(E167,1)="4","FAC","TRX")))) &amp; "-" &amp; B167 &amp; "-" &amp; TEXT(COUNTIFS($E$2:$E167,E167,$B$2:$B167,B167),"000")</f>
        <v>SOL-24-051</v>
      </c>
      <c r="B167">
        <v>24</v>
      </c>
      <c r="C167" s="364">
        <v>46185</v>
      </c>
      <c r="D167" t="s">
        <v>1</v>
      </c>
      <c r="E167" t="s">
        <v>208</v>
      </c>
      <c r="F167" t="s">
        <v>80</v>
      </c>
      <c r="G167" s="3">
        <v>250</v>
      </c>
      <c r="H167" s="365">
        <v>27</v>
      </c>
      <c r="I167" s="365">
        <v>6750</v>
      </c>
      <c r="J167" t="s">
        <v>209</v>
      </c>
      <c r="K167">
        <v>27</v>
      </c>
    </row>
    <row r="168" spans="1:11">
      <c r="A168" t="str">
        <f>IF(LEFT(E168,1)="1","SOL",IF(LEFT(E168,1)="2","CO",IF(LEFT(E168,1)="3","ALM",IF(LEFT(E168,1)="4","FAC","TRX")))) &amp; "-" &amp; B168 &amp; "-" &amp; TEXT(COUNTIFS($E$2:$E168,E168,$B$2:$B168,B168),"000")</f>
        <v>SOL-24-052</v>
      </c>
      <c r="B168">
        <v>24</v>
      </c>
      <c r="C168" s="364">
        <v>46185</v>
      </c>
      <c r="D168" t="s">
        <v>1</v>
      </c>
      <c r="E168" t="s">
        <v>208</v>
      </c>
      <c r="F168" t="s">
        <v>76</v>
      </c>
      <c r="G168" s="3">
        <v>150</v>
      </c>
      <c r="H168" s="365">
        <v>27</v>
      </c>
      <c r="I168" s="365">
        <v>4050</v>
      </c>
      <c r="J168" t="s">
        <v>209</v>
      </c>
      <c r="K168">
        <v>27</v>
      </c>
    </row>
    <row r="169" spans="1:11">
      <c r="A169" t="str">
        <f>IF(LEFT(E169,1)="1","SOL",IF(LEFT(E169,1)="2","CO",IF(LEFT(E169,1)="3","ALM",IF(LEFT(E169,1)="4","FAC","TRX")))) &amp; "-" &amp; B169 &amp; "-" &amp; TEXT(COUNTIFS($E$2:$E169,E169,$B$2:$B169,B169),"000")</f>
        <v>SOL-24-053</v>
      </c>
      <c r="B169">
        <v>24</v>
      </c>
      <c r="C169" s="364">
        <v>46185</v>
      </c>
      <c r="D169" t="s">
        <v>1</v>
      </c>
      <c r="E169" t="s">
        <v>208</v>
      </c>
      <c r="F169" t="s">
        <v>51</v>
      </c>
      <c r="G169" s="3">
        <v>40</v>
      </c>
      <c r="H169" s="365">
        <v>27</v>
      </c>
      <c r="I169" s="365">
        <v>1080</v>
      </c>
      <c r="J169" t="s">
        <v>209</v>
      </c>
      <c r="K169">
        <v>27</v>
      </c>
    </row>
    <row r="170" spans="1:11">
      <c r="A170" t="str">
        <f>IF(LEFT(E170,1)="1","SOL",IF(LEFT(E170,1)="2","CO",IF(LEFT(E170,1)="3","ALM",IF(LEFT(E170,1)="4","FAC","TRX")))) &amp; "-" &amp; B170 &amp; "-" &amp; TEXT(COUNTIFS($E$2:$E170,E170,$B$2:$B170,B170),"000")</f>
        <v>SOL-24-054</v>
      </c>
      <c r="B170">
        <v>24</v>
      </c>
      <c r="C170" s="364">
        <v>46185</v>
      </c>
      <c r="D170" t="s">
        <v>1</v>
      </c>
      <c r="E170" t="s">
        <v>208</v>
      </c>
      <c r="F170" t="s">
        <v>97</v>
      </c>
      <c r="G170" s="3">
        <v>30</v>
      </c>
      <c r="H170" s="365">
        <v>27</v>
      </c>
      <c r="I170" s="365">
        <v>810</v>
      </c>
      <c r="J170" t="s">
        <v>209</v>
      </c>
      <c r="K170">
        <v>27</v>
      </c>
    </row>
    <row r="171" spans="1:11">
      <c r="A171" t="str">
        <f>IF(LEFT(E171,1)="1","SOL",IF(LEFT(E171,1)="2","CO",IF(LEFT(E171,1)="3","ALM",IF(LEFT(E171,1)="4","FAC","TRX")))) &amp; "-" &amp; B171 &amp; "-" &amp; TEXT(COUNTIFS($E$2:$E171,E171,$B$2:$B171,B171),"000")</f>
        <v>SOL-24-055</v>
      </c>
      <c r="B171">
        <v>24</v>
      </c>
      <c r="C171" s="364">
        <v>46185</v>
      </c>
      <c r="D171" t="s">
        <v>1</v>
      </c>
      <c r="E171" t="s">
        <v>208</v>
      </c>
      <c r="F171" t="s">
        <v>60</v>
      </c>
      <c r="G171" s="3">
        <v>30</v>
      </c>
      <c r="H171" s="365">
        <v>27</v>
      </c>
      <c r="I171" s="365">
        <v>810</v>
      </c>
      <c r="J171" t="s">
        <v>209</v>
      </c>
      <c r="K171">
        <v>27</v>
      </c>
    </row>
    <row r="172" spans="1:11">
      <c r="A172" t="str">
        <f>IF(LEFT(E172,1)="1","SOL",IF(LEFT(E172,1)="2","CO",IF(LEFT(E172,1)="3","ALM",IF(LEFT(E172,1)="4","FAC","TRX")))) &amp; "-" &amp; B172 &amp; "-" &amp; TEXT(COUNTIFS($E$2:$E172,E172,$B$2:$B172,B172),"000")</f>
        <v>SOL-24-056</v>
      </c>
      <c r="B172">
        <v>24</v>
      </c>
      <c r="C172" s="364">
        <v>46185</v>
      </c>
      <c r="D172" t="s">
        <v>1</v>
      </c>
      <c r="E172" t="s">
        <v>208</v>
      </c>
      <c r="F172" t="s">
        <v>81</v>
      </c>
      <c r="G172" s="3">
        <v>20</v>
      </c>
      <c r="H172" s="365">
        <v>27</v>
      </c>
      <c r="I172" s="365">
        <v>540</v>
      </c>
      <c r="J172" t="s">
        <v>209</v>
      </c>
      <c r="K172">
        <v>27</v>
      </c>
    </row>
    <row r="173" spans="1:11">
      <c r="A173" t="str">
        <f>IF(LEFT(E173,1)="1","SOL",IF(LEFT(E173,1)="2","CO",IF(LEFT(E173,1)="3","ALM",IF(LEFT(E173,1)="4","FAC","TRX")))) &amp; "-" &amp; B173 &amp; "-" &amp; TEXT(COUNTIFS($E$2:$E173,E173,$B$2:$B173,B173),"000")</f>
        <v>SOL-24-057</v>
      </c>
      <c r="B173">
        <v>24</v>
      </c>
      <c r="C173" s="364">
        <v>46185</v>
      </c>
      <c r="D173" t="s">
        <v>1</v>
      </c>
      <c r="E173" t="s">
        <v>208</v>
      </c>
      <c r="F173" t="s">
        <v>108</v>
      </c>
      <c r="G173" s="3">
        <v>20</v>
      </c>
      <c r="H173" s="365">
        <v>27</v>
      </c>
      <c r="I173" s="365">
        <v>540</v>
      </c>
      <c r="J173" t="s">
        <v>209</v>
      </c>
      <c r="K173">
        <v>27</v>
      </c>
    </row>
    <row r="174" spans="1:11">
      <c r="A174" t="str">
        <f>IF(LEFT(E174,1)="1","SOL",IF(LEFT(E174,1)="2","CO",IF(LEFT(E174,1)="3","ALM",IF(LEFT(E174,1)="4","FAC","TRX")))) &amp; "-" &amp; B174 &amp; "-" &amp; TEXT(COUNTIFS($E$2:$E174,E174,$B$2:$B174,B174),"000")</f>
        <v>SOL-24-058</v>
      </c>
      <c r="B174">
        <v>24</v>
      </c>
      <c r="C174" s="364">
        <v>46185</v>
      </c>
      <c r="D174" t="s">
        <v>3</v>
      </c>
      <c r="E174" t="s">
        <v>208</v>
      </c>
      <c r="F174" t="s">
        <v>87</v>
      </c>
      <c r="G174" s="3">
        <v>250</v>
      </c>
      <c r="H174" s="365">
        <v>27</v>
      </c>
      <c r="I174" s="365">
        <v>6750</v>
      </c>
      <c r="J174" t="s">
        <v>209</v>
      </c>
      <c r="K174">
        <v>27</v>
      </c>
    </row>
    <row r="175" spans="1:11">
      <c r="A175" t="str">
        <f>IF(LEFT(E175,1)="1","SOL",IF(LEFT(E175,1)="2","CO",IF(LEFT(E175,1)="3","ALM",IF(LEFT(E175,1)="4","FAC","TRX")))) &amp; "-" &amp; B175 &amp; "-" &amp; TEXT(COUNTIFS($E$2:$E175,E175,$B$2:$B175,B175),"000")</f>
        <v>SOL-24-059</v>
      </c>
      <c r="B175">
        <v>24</v>
      </c>
      <c r="C175" s="364">
        <v>46185</v>
      </c>
      <c r="D175" t="s">
        <v>3</v>
      </c>
      <c r="E175" t="s">
        <v>208</v>
      </c>
      <c r="F175" t="s">
        <v>91</v>
      </c>
      <c r="G175" s="3">
        <v>40</v>
      </c>
      <c r="H175" s="365">
        <v>27</v>
      </c>
      <c r="I175" s="365">
        <v>1080</v>
      </c>
      <c r="J175" t="s">
        <v>209</v>
      </c>
      <c r="K175">
        <v>27</v>
      </c>
    </row>
    <row r="176" spans="1:11">
      <c r="A176" t="str">
        <f>IF(LEFT(E176,1)="1","SOL",IF(LEFT(E176,1)="2","CO",IF(LEFT(E176,1)="3","ALM",IF(LEFT(E176,1)="4","FAC","TRX")))) &amp; "-" &amp; B176 &amp; "-" &amp; TEXT(COUNTIFS($E$2:$E176,E176,$B$2:$B176,B176),"000")</f>
        <v>SOL-24-060</v>
      </c>
      <c r="B176">
        <v>24</v>
      </c>
      <c r="C176" s="364">
        <v>46185</v>
      </c>
      <c r="D176" t="s">
        <v>3</v>
      </c>
      <c r="E176" t="s">
        <v>208</v>
      </c>
      <c r="F176" t="s">
        <v>93</v>
      </c>
      <c r="G176" s="3">
        <v>60</v>
      </c>
      <c r="H176" s="365">
        <v>27</v>
      </c>
      <c r="I176" s="365">
        <v>1620</v>
      </c>
      <c r="J176" t="s">
        <v>209</v>
      </c>
      <c r="K176">
        <v>27</v>
      </c>
    </row>
    <row r="177" spans="1:11">
      <c r="A177" t="str">
        <f>IF(LEFT(E177,1)="1","SOL",IF(LEFT(E177,1)="2","CO",IF(LEFT(E177,1)="3","ALM",IF(LEFT(E177,1)="4","FAC","TRX")))) &amp; "-" &amp; B177 &amp; "-" &amp; TEXT(COUNTIFS($E$2:$E177,E177,$B$2:$B177,B177),"000")</f>
        <v>SOL-24-061</v>
      </c>
      <c r="B177">
        <v>24</v>
      </c>
      <c r="C177" s="364">
        <v>46185</v>
      </c>
      <c r="D177" t="s">
        <v>3</v>
      </c>
      <c r="E177" t="s">
        <v>208</v>
      </c>
      <c r="F177" t="s">
        <v>98</v>
      </c>
      <c r="G177" s="3">
        <v>100</v>
      </c>
      <c r="H177" s="365">
        <v>27</v>
      </c>
      <c r="I177" s="365">
        <v>2700</v>
      </c>
      <c r="J177" t="s">
        <v>209</v>
      </c>
      <c r="K177">
        <v>27</v>
      </c>
    </row>
    <row r="178" spans="1:11">
      <c r="A178" t="str">
        <f>IF(LEFT(E178,1)="1","SOL",IF(LEFT(E178,1)="2","CO",IF(LEFT(E178,1)="3","ALM",IF(LEFT(E178,1)="4","FAC","TRX")))) &amp; "-" &amp; B178 &amp; "-" &amp; TEXT(COUNTIFS($E$2:$E178,E178,$B$2:$B178,B178),"000")</f>
        <v>SOL-24-062</v>
      </c>
      <c r="B178">
        <v>24</v>
      </c>
      <c r="C178" s="364">
        <v>46185</v>
      </c>
      <c r="D178" t="s">
        <v>3</v>
      </c>
      <c r="E178" t="s">
        <v>208</v>
      </c>
      <c r="F178" t="s">
        <v>114</v>
      </c>
      <c r="G178" s="3">
        <v>20</v>
      </c>
      <c r="H178" s="365">
        <v>27</v>
      </c>
      <c r="I178" s="365">
        <v>540</v>
      </c>
      <c r="J178" t="s">
        <v>209</v>
      </c>
      <c r="K178">
        <v>27</v>
      </c>
    </row>
    <row r="179" spans="1:11">
      <c r="A179" t="str">
        <f>IF(LEFT(E179,1)="1","SOL",IF(LEFT(E179,1)="2","CO",IF(LEFT(E179,1)="3","ALM",IF(LEFT(E179,1)="4","FAC","TRX")))) &amp; "-" &amp; B179 &amp; "-" &amp; TEXT(COUNTIFS($E$2:$E179,E179,$B$2:$B179,B179),"000")</f>
        <v>SOL-24-063</v>
      </c>
      <c r="B179">
        <v>24</v>
      </c>
      <c r="C179" s="364">
        <v>46185</v>
      </c>
      <c r="D179" t="s">
        <v>3</v>
      </c>
      <c r="E179" t="s">
        <v>208</v>
      </c>
      <c r="F179" t="s">
        <v>100</v>
      </c>
      <c r="G179" s="3">
        <v>50</v>
      </c>
      <c r="H179" s="365">
        <v>27</v>
      </c>
      <c r="I179" s="365">
        <v>1350</v>
      </c>
      <c r="J179" t="s">
        <v>209</v>
      </c>
      <c r="K179">
        <v>27</v>
      </c>
    </row>
    <row r="180" spans="1:11">
      <c r="A180" t="str">
        <f>IF(LEFT(E180,1)="1","SOL",IF(LEFT(E180,1)="2","CO",IF(LEFT(E180,1)="3","ALM",IF(LEFT(E180,1)="4","FAC","TRX")))) &amp; "-" &amp; B180 &amp; "-" &amp; TEXT(COUNTIFS($E$2:$E180,E180,$B$2:$B180,B180),"000")</f>
        <v>SOL-24-064</v>
      </c>
      <c r="B180">
        <v>24</v>
      </c>
      <c r="C180" s="364">
        <v>46185</v>
      </c>
      <c r="D180" t="s">
        <v>3</v>
      </c>
      <c r="E180" t="s">
        <v>208</v>
      </c>
      <c r="F180" t="s">
        <v>102</v>
      </c>
      <c r="G180" s="3">
        <v>50</v>
      </c>
      <c r="H180" s="365">
        <v>27</v>
      </c>
      <c r="I180" s="365">
        <v>1350</v>
      </c>
      <c r="J180" t="s">
        <v>209</v>
      </c>
      <c r="K180">
        <v>27</v>
      </c>
    </row>
    <row r="181" spans="1:11">
      <c r="A181" t="str">
        <f>IF(LEFT(E181,1)="1","SOL",IF(LEFT(E181,1)="2","CO",IF(LEFT(E181,1)="3","ALM",IF(LEFT(E181,1)="4","FAC","TRX")))) &amp; "-" &amp; B181 &amp; "-" &amp; TEXT(COUNTIFS($E$2:$E181,E181,$B$2:$B181,B181),"000")</f>
        <v>SOL-24-065</v>
      </c>
      <c r="B181">
        <v>24</v>
      </c>
      <c r="C181" s="364">
        <v>46185</v>
      </c>
      <c r="D181" t="s">
        <v>3</v>
      </c>
      <c r="E181" t="s">
        <v>208</v>
      </c>
      <c r="F181" t="s">
        <v>104</v>
      </c>
      <c r="G181" s="3">
        <v>50</v>
      </c>
      <c r="H181" s="365">
        <v>27</v>
      </c>
      <c r="I181" s="365">
        <v>1350</v>
      </c>
      <c r="J181" t="s">
        <v>209</v>
      </c>
      <c r="K181">
        <v>27</v>
      </c>
    </row>
    <row r="182" spans="1:11">
      <c r="A182" t="str">
        <f>IF(LEFT(E182,1)="1","SOL",IF(LEFT(E182,1)="2","CO",IF(LEFT(E182,1)="3","ALM",IF(LEFT(E182,1)="4","FAC","TRX")))) &amp; "-" &amp; B182 &amp; "-" &amp; TEXT(COUNTIFS($E$2:$E182,E182,$B$2:$B182,B182),"000")</f>
        <v>CO-24-084</v>
      </c>
      <c r="B182">
        <v>24</v>
      </c>
      <c r="C182" s="364">
        <v>46185</v>
      </c>
      <c r="D182" t="s">
        <v>3</v>
      </c>
      <c r="E182" t="s">
        <v>246</v>
      </c>
      <c r="F182" t="s">
        <v>100</v>
      </c>
      <c r="G182" s="3">
        <v>32</v>
      </c>
      <c r="H182" s="365">
        <v>27</v>
      </c>
      <c r="I182" s="365">
        <v>864</v>
      </c>
      <c r="J182" t="s">
        <v>209</v>
      </c>
    </row>
    <row r="183" spans="1:11">
      <c r="A183" t="str">
        <f>IF(LEFT(E183,1)="1","SOL",IF(LEFT(E183,1)="2","CO",IF(LEFT(E183,1)="3","ALM",IF(LEFT(E183,1)="4","FAC","TRX")))) &amp; "-" &amp; B183 &amp; "-" &amp; TEXT(COUNTIFS($E$2:$E183,E183,$B$2:$B183,B183),"000")</f>
        <v>CO-24-085</v>
      </c>
      <c r="B183">
        <v>24</v>
      </c>
      <c r="C183" s="364">
        <v>46185</v>
      </c>
      <c r="D183" t="s">
        <v>3</v>
      </c>
      <c r="E183" t="s">
        <v>246</v>
      </c>
      <c r="F183" t="s">
        <v>102</v>
      </c>
      <c r="G183" s="3">
        <v>30</v>
      </c>
      <c r="H183" s="365">
        <v>27</v>
      </c>
      <c r="I183" s="365">
        <v>810</v>
      </c>
      <c r="J183" t="s">
        <v>209</v>
      </c>
    </row>
    <row r="184" spans="1:11">
      <c r="A184" t="str">
        <f>IF(LEFT(E184,1)="1","SOL",IF(LEFT(E184,1)="2","CO",IF(LEFT(E184,1)="3","ALM",IF(LEFT(E184,1)="4","FAC","TRX")))) &amp; "-" &amp; B184 &amp; "-" &amp; TEXT(COUNTIFS($E$2:$E184,E184,$B$2:$B184,B184),"000")</f>
        <v>CO-24-086</v>
      </c>
      <c r="B184">
        <v>24</v>
      </c>
      <c r="C184" s="364">
        <v>46185</v>
      </c>
      <c r="D184" t="s">
        <v>3</v>
      </c>
      <c r="E184" t="s">
        <v>246</v>
      </c>
      <c r="F184" t="s">
        <v>91</v>
      </c>
      <c r="G184" s="3">
        <v>30</v>
      </c>
      <c r="H184" s="365">
        <v>27</v>
      </c>
      <c r="I184" s="365">
        <v>810</v>
      </c>
      <c r="J184" t="s">
        <v>209</v>
      </c>
    </row>
    <row r="185" spans="1:11">
      <c r="A185" t="str">
        <f>IF(LEFT(E185,1)="1","SOL",IF(LEFT(E185,1)="2","CO",IF(LEFT(E185,1)="3","ALM",IF(LEFT(E185,1)="4","FAC","TRX")))) &amp; "-" &amp; B185 &amp; "-" &amp; TEXT(COUNTIFS($E$2:$E185,E185,$B$2:$B185,B185),"000")</f>
        <v>CO-24-087</v>
      </c>
      <c r="B185">
        <v>24</v>
      </c>
      <c r="C185" s="364">
        <v>46185</v>
      </c>
      <c r="D185" t="s">
        <v>3</v>
      </c>
      <c r="E185" t="s">
        <v>246</v>
      </c>
      <c r="F185" t="s">
        <v>93</v>
      </c>
      <c r="G185" s="3">
        <v>50</v>
      </c>
      <c r="H185" s="365">
        <v>27</v>
      </c>
      <c r="I185" s="365">
        <v>1350</v>
      </c>
      <c r="J185" t="s">
        <v>209</v>
      </c>
    </row>
    <row r="186" spans="1:11">
      <c r="A186" t="str">
        <f>IF(LEFT(E186,1)="1","SOL",IF(LEFT(E186,1)="2","CO",IF(LEFT(E186,1)="3","ALM",IF(LEFT(E186,1)="4","FAC","TRX")))) &amp; "-" &amp; B186 &amp; "-" &amp; TEXT(COUNTIFS($E$2:$E186,E186,$B$2:$B186,B186),"000")</f>
        <v>CO-24-088</v>
      </c>
      <c r="B186">
        <v>24</v>
      </c>
      <c r="C186" s="364">
        <v>46185</v>
      </c>
      <c r="D186" t="s">
        <v>3</v>
      </c>
      <c r="E186" t="s">
        <v>246</v>
      </c>
      <c r="F186" t="s">
        <v>98</v>
      </c>
      <c r="G186" s="3">
        <v>120</v>
      </c>
      <c r="H186" s="365">
        <v>27</v>
      </c>
      <c r="I186" s="365">
        <v>3240</v>
      </c>
      <c r="J186" t="s">
        <v>209</v>
      </c>
    </row>
    <row r="187" spans="1:11">
      <c r="A187" t="str">
        <f>IF(LEFT(E187,1)="1","SOL",IF(LEFT(E187,1)="2","CO",IF(LEFT(E187,1)="3","ALM",IF(LEFT(E187,1)="4","FAC","TRX")))) &amp; "-" &amp; B187 &amp; "-" &amp; TEXT(COUNTIFS($E$2:$E187,E187,$B$2:$B187,B187),"000")</f>
        <v>CO-24-089</v>
      </c>
      <c r="B187">
        <v>24</v>
      </c>
      <c r="C187" s="364">
        <v>46185</v>
      </c>
      <c r="D187" t="s">
        <v>3</v>
      </c>
      <c r="E187" t="s">
        <v>246</v>
      </c>
      <c r="F187" t="s">
        <v>104</v>
      </c>
      <c r="G187" s="3">
        <v>40</v>
      </c>
      <c r="H187" s="365">
        <v>27</v>
      </c>
      <c r="I187" s="365">
        <v>1080</v>
      </c>
      <c r="J187" t="s">
        <v>209</v>
      </c>
    </row>
    <row r="188" spans="1:11">
      <c r="A188" t="str">
        <f>IF(LEFT(E188,1)="1","SOL",IF(LEFT(E188,1)="2","CO",IF(LEFT(E188,1)="3","ALM",IF(LEFT(E188,1)="4","FAC","TRX")))) &amp; "-" &amp; B188 &amp; "-" &amp; TEXT(COUNTIFS($E$2:$E188,E188,$B$2:$B188,B188),"000")</f>
        <v>CO-24-090</v>
      </c>
      <c r="B188">
        <v>24</v>
      </c>
      <c r="C188" s="364">
        <v>46185</v>
      </c>
      <c r="D188" t="s">
        <v>3</v>
      </c>
      <c r="E188" t="s">
        <v>246</v>
      </c>
      <c r="F188" t="s">
        <v>87</v>
      </c>
      <c r="G188" s="3">
        <v>200</v>
      </c>
      <c r="H188" s="365">
        <v>27</v>
      </c>
      <c r="I188" s="365">
        <v>5400</v>
      </c>
      <c r="J188" t="s">
        <v>209</v>
      </c>
    </row>
    <row r="189" spans="1:11">
      <c r="A189" t="str">
        <f>IF(LEFT(E189,1)="1","SOL",IF(LEFT(E189,1)="2","CO",IF(LEFT(E189,1)="3","ALM",IF(LEFT(E189,1)="4","FAC","TRX")))) &amp; "-" &amp; B189 &amp; "-" &amp; TEXT(COUNTIFS($E$2:$E189,E189,$B$2:$B189,B189),"000")</f>
        <v>CO-24-091</v>
      </c>
      <c r="B189">
        <v>24</v>
      </c>
      <c r="C189" s="364">
        <v>46185</v>
      </c>
      <c r="D189" t="s">
        <v>1</v>
      </c>
      <c r="E189" t="s">
        <v>246</v>
      </c>
      <c r="F189" t="s">
        <v>81</v>
      </c>
      <c r="G189" s="3">
        <v>20</v>
      </c>
      <c r="H189" s="365">
        <v>27</v>
      </c>
      <c r="I189" s="365">
        <v>540</v>
      </c>
      <c r="J189" t="s">
        <v>209</v>
      </c>
    </row>
    <row r="190" spans="1:11">
      <c r="A190" t="str">
        <f>IF(LEFT(E190,1)="1","SOL",IF(LEFT(E190,1)="2","CO",IF(LEFT(E190,1)="3","ALM",IF(LEFT(E190,1)="4","FAC","TRX")))) &amp; "-" &amp; B190 &amp; "-" &amp; TEXT(COUNTIFS($E$2:$E190,E190,$B$2:$B190,B190),"000")</f>
        <v>CO-24-092</v>
      </c>
      <c r="B190">
        <v>24</v>
      </c>
      <c r="C190" s="364">
        <v>46185</v>
      </c>
      <c r="D190" t="s">
        <v>1</v>
      </c>
      <c r="E190" t="s">
        <v>246</v>
      </c>
      <c r="F190" t="s">
        <v>97</v>
      </c>
      <c r="G190" s="3">
        <v>30</v>
      </c>
      <c r="H190" s="365">
        <v>27</v>
      </c>
      <c r="I190" s="365">
        <v>810</v>
      </c>
      <c r="J190" t="s">
        <v>209</v>
      </c>
    </row>
    <row r="191" spans="1:11">
      <c r="A191" t="str">
        <f>IF(LEFT(E191,1)="1","SOL",IF(LEFT(E191,1)="2","CO",IF(LEFT(E191,1)="3","ALM",IF(LEFT(E191,1)="4","FAC","TRX")))) &amp; "-" &amp; B191 &amp; "-" &amp; TEXT(COUNTIFS($E$2:$E191,E191,$B$2:$B191,B191),"000")</f>
        <v>CO-24-093</v>
      </c>
      <c r="B191">
        <v>24</v>
      </c>
      <c r="C191" s="364">
        <v>46185</v>
      </c>
      <c r="D191" t="s">
        <v>1</v>
      </c>
      <c r="E191" t="s">
        <v>246</v>
      </c>
      <c r="F191" t="s">
        <v>108</v>
      </c>
      <c r="G191" s="3">
        <v>20</v>
      </c>
      <c r="H191" s="365">
        <v>27</v>
      </c>
      <c r="I191" s="365">
        <v>540</v>
      </c>
      <c r="J191" t="s">
        <v>209</v>
      </c>
    </row>
    <row r="192" spans="1:11">
      <c r="A192" t="str">
        <f>IF(LEFT(E192,1)="1","SOL",IF(LEFT(E192,1)="2","CO",IF(LEFT(E192,1)="3","ALM",IF(LEFT(E192,1)="4","FAC","TRX")))) &amp; "-" &amp; B192 &amp; "-" &amp; TEXT(COUNTIFS($E$2:$E192,E192,$B$2:$B192,B192),"000")</f>
        <v>CO-24-094</v>
      </c>
      <c r="B192">
        <v>24</v>
      </c>
      <c r="C192" s="364">
        <v>46185</v>
      </c>
      <c r="D192" t="s">
        <v>1</v>
      </c>
      <c r="E192" t="s">
        <v>246</v>
      </c>
      <c r="F192" t="s">
        <v>51</v>
      </c>
      <c r="G192" s="3">
        <v>40</v>
      </c>
      <c r="H192" s="365">
        <v>27</v>
      </c>
      <c r="I192" s="365">
        <v>1080</v>
      </c>
      <c r="J192" t="s">
        <v>209</v>
      </c>
    </row>
    <row r="193" spans="1:11">
      <c r="A193" t="str">
        <f>IF(LEFT(E193,1)="1","SOL",IF(LEFT(E193,1)="2","CO",IF(LEFT(E193,1)="3","ALM",IF(LEFT(E193,1)="4","FAC","TRX")))) &amp; "-" &amp; B193 &amp; "-" &amp; TEXT(COUNTIFS($E$2:$E193,E193,$B$2:$B193,B193),"000")</f>
        <v>CO-24-095</v>
      </c>
      <c r="B193">
        <v>24</v>
      </c>
      <c r="C193" s="364">
        <v>46185</v>
      </c>
      <c r="D193" t="s">
        <v>1</v>
      </c>
      <c r="E193" t="s">
        <v>246</v>
      </c>
      <c r="F193" t="s">
        <v>80</v>
      </c>
      <c r="G193" s="3">
        <v>250</v>
      </c>
      <c r="H193" s="365">
        <v>27</v>
      </c>
      <c r="I193" s="365">
        <v>6750</v>
      </c>
      <c r="J193" t="s">
        <v>209</v>
      </c>
    </row>
    <row r="194" spans="1:11">
      <c r="A194" t="str">
        <f>IF(LEFT(E194,1)="1","SOL",IF(LEFT(E194,1)="2","CO",IF(LEFT(E194,1)="3","ALM",IF(LEFT(E194,1)="4","FAC","TRX")))) &amp; "-" &amp; B194 &amp; "-" &amp; TEXT(COUNTIFS($E$2:$E194,E194,$B$2:$B194,B194),"000")</f>
        <v>CO-24-096</v>
      </c>
      <c r="B194">
        <v>24</v>
      </c>
      <c r="C194" s="364">
        <v>46185</v>
      </c>
      <c r="D194" t="s">
        <v>3</v>
      </c>
      <c r="E194" t="s">
        <v>246</v>
      </c>
      <c r="F194" t="s">
        <v>280</v>
      </c>
      <c r="G194" s="3">
        <v>32</v>
      </c>
      <c r="H194" s="365">
        <v>28.3</v>
      </c>
      <c r="I194" s="365">
        <v>905.6</v>
      </c>
      <c r="J194" t="s">
        <v>209</v>
      </c>
    </row>
    <row r="195" spans="1:11">
      <c r="A195" t="str">
        <f>IF(LEFT(E195,1)="1","SOL",IF(LEFT(E195,1)="2","CO",IF(LEFT(E195,1)="3","ALM",IF(LEFT(E195,1)="4","FAC","TRX")))) &amp; "-" &amp; B195 &amp; "-" &amp; TEXT(COUNTIFS($E$2:$E195,E195,$B$2:$B195,B195),"000")</f>
        <v>CO-24-097</v>
      </c>
      <c r="B195">
        <v>24</v>
      </c>
      <c r="C195" s="364">
        <v>46185</v>
      </c>
      <c r="D195" t="s">
        <v>3</v>
      </c>
      <c r="E195" t="s">
        <v>246</v>
      </c>
      <c r="F195" t="s">
        <v>273</v>
      </c>
      <c r="G195" s="3">
        <v>30</v>
      </c>
      <c r="H195" s="365">
        <v>28.3</v>
      </c>
      <c r="I195" s="365">
        <v>849</v>
      </c>
      <c r="J195" t="s">
        <v>209</v>
      </c>
    </row>
    <row r="196" spans="1:11">
      <c r="A196" t="str">
        <f>IF(LEFT(E196,1)="1","SOL",IF(LEFT(E196,1)="2","CO",IF(LEFT(E196,1)="3","ALM",IF(LEFT(E196,1)="4","FAC","TRX")))) &amp; "-" &amp; B196 &amp; "-" &amp; TEXT(COUNTIFS($E$2:$E196,E196,$B$2:$B196,B196),"000")</f>
        <v>CO-24-098</v>
      </c>
      <c r="B196">
        <v>24</v>
      </c>
      <c r="C196" s="364">
        <v>46185</v>
      </c>
      <c r="D196" t="s">
        <v>3</v>
      </c>
      <c r="E196" t="s">
        <v>246</v>
      </c>
      <c r="F196" t="s">
        <v>278</v>
      </c>
      <c r="G196" s="3">
        <v>30</v>
      </c>
      <c r="H196" s="365">
        <v>28.3</v>
      </c>
      <c r="I196" s="365">
        <v>849</v>
      </c>
      <c r="J196" t="s">
        <v>209</v>
      </c>
    </row>
    <row r="197" spans="1:11">
      <c r="A197" t="str">
        <f>IF(LEFT(E197,1)="1","SOL",IF(LEFT(E197,1)="2","CO",IF(LEFT(E197,1)="3","ALM",IF(LEFT(E197,1)="4","FAC","TRX")))) &amp; "-" &amp; B197 &amp; "-" &amp; TEXT(COUNTIFS($E$2:$E197,E197,$B$2:$B197,B197),"000")</f>
        <v>CO-24-099</v>
      </c>
      <c r="B197">
        <v>24</v>
      </c>
      <c r="C197" s="364">
        <v>46185</v>
      </c>
      <c r="D197" t="s">
        <v>3</v>
      </c>
      <c r="E197" t="s">
        <v>246</v>
      </c>
      <c r="F197" t="s">
        <v>275</v>
      </c>
      <c r="G197" s="3">
        <v>50</v>
      </c>
      <c r="H197" s="365">
        <v>28.3</v>
      </c>
      <c r="I197" s="365">
        <v>1415</v>
      </c>
      <c r="J197" t="s">
        <v>209</v>
      </c>
    </row>
    <row r="198" spans="1:11">
      <c r="A198" t="str">
        <f>IF(LEFT(E198,1)="1","SOL",IF(LEFT(E198,1)="2","CO",IF(LEFT(E198,1)="3","ALM",IF(LEFT(E198,1)="4","FAC","TRX")))) &amp; "-" &amp; B198 &amp; "-" &amp; TEXT(COUNTIFS($E$2:$E198,E198,$B$2:$B198,B198),"000")</f>
        <v>CO-24-100</v>
      </c>
      <c r="B198">
        <v>24</v>
      </c>
      <c r="C198" s="364">
        <v>46185</v>
      </c>
      <c r="D198" t="s">
        <v>3</v>
      </c>
      <c r="E198" t="s">
        <v>246</v>
      </c>
      <c r="F198" t="s">
        <v>276</v>
      </c>
      <c r="G198" s="3">
        <v>120</v>
      </c>
      <c r="H198" s="365">
        <v>28.3</v>
      </c>
      <c r="I198" s="365">
        <v>3396</v>
      </c>
      <c r="J198" t="s">
        <v>209</v>
      </c>
    </row>
    <row r="199" spans="1:11">
      <c r="A199" t="str">
        <f>IF(LEFT(E199,1)="1","SOL",IF(LEFT(E199,1)="2","CO",IF(LEFT(E199,1)="3","ALM",IF(LEFT(E199,1)="4","FAC","TRX")))) &amp; "-" &amp; B199 &amp; "-" &amp; TEXT(COUNTIFS($E$2:$E199,E199,$B$2:$B199,B199),"000")</f>
        <v>CO-24-101</v>
      </c>
      <c r="B199">
        <v>24</v>
      </c>
      <c r="C199" s="364">
        <v>46185</v>
      </c>
      <c r="D199" t="s">
        <v>3</v>
      </c>
      <c r="E199" t="s">
        <v>246</v>
      </c>
      <c r="F199" t="s">
        <v>277</v>
      </c>
      <c r="G199" s="3">
        <v>40</v>
      </c>
      <c r="H199" s="365">
        <v>28.3</v>
      </c>
      <c r="I199" s="365">
        <v>1132</v>
      </c>
      <c r="J199" t="s">
        <v>209</v>
      </c>
    </row>
    <row r="200" spans="1:11">
      <c r="A200" t="str">
        <f>IF(LEFT(E200,1)="1","SOL",IF(LEFT(E200,1)="2","CO",IF(LEFT(E200,1)="3","ALM",IF(LEFT(E200,1)="4","FAC","TRX")))) &amp; "-" &amp; B200 &amp; "-" &amp; TEXT(COUNTIFS($E$2:$E200,E200,$B$2:$B200,B200),"000")</f>
        <v>CO-24-102</v>
      </c>
      <c r="B200">
        <v>24</v>
      </c>
      <c r="C200" s="364">
        <v>46185</v>
      </c>
      <c r="D200" t="s">
        <v>3</v>
      </c>
      <c r="E200" t="s">
        <v>246</v>
      </c>
      <c r="F200" t="s">
        <v>271</v>
      </c>
      <c r="G200" s="3">
        <v>200</v>
      </c>
      <c r="H200" s="365">
        <v>28.3</v>
      </c>
      <c r="I200" s="365">
        <v>5660</v>
      </c>
      <c r="J200" t="s">
        <v>209</v>
      </c>
    </row>
    <row r="201" spans="1:11">
      <c r="A201" t="str">
        <f>IF(LEFT(E201,1)="1","SOL",IF(LEFT(E201,1)="2","CO",IF(LEFT(E201,1)="3","ALM",IF(LEFT(E201,1)="4","FAC","TRX")))) &amp; "-" &amp; B201 &amp; "-" &amp; TEXT(COUNTIFS($E$2:$E201,E201,$B$2:$B201,B201),"000")</f>
        <v>CO-24-103</v>
      </c>
      <c r="B201">
        <v>24</v>
      </c>
      <c r="C201" s="364">
        <v>46185</v>
      </c>
      <c r="D201" t="s">
        <v>1</v>
      </c>
      <c r="E201" t="s">
        <v>246</v>
      </c>
      <c r="F201" t="s">
        <v>281</v>
      </c>
      <c r="G201" s="3">
        <v>20</v>
      </c>
      <c r="H201" s="365">
        <v>28.3</v>
      </c>
      <c r="I201" s="365">
        <v>566</v>
      </c>
      <c r="J201" t="s">
        <v>209</v>
      </c>
    </row>
    <row r="202" spans="1:11">
      <c r="A202" t="str">
        <f>IF(LEFT(E202,1)="1","SOL",IF(LEFT(E202,1)="2","CO",IF(LEFT(E202,1)="3","ALM",IF(LEFT(E202,1)="4","FAC","TRX")))) &amp; "-" &amp; B202 &amp; "-" &amp; TEXT(COUNTIFS($E$2:$E202,E202,$B$2:$B202,B202),"000")</f>
        <v>CO-24-104</v>
      </c>
      <c r="B202">
        <v>24</v>
      </c>
      <c r="C202" s="364">
        <v>46185</v>
      </c>
      <c r="D202" t="s">
        <v>1</v>
      </c>
      <c r="E202" t="s">
        <v>246</v>
      </c>
      <c r="F202" t="s">
        <v>266</v>
      </c>
      <c r="G202" s="3">
        <v>30</v>
      </c>
      <c r="H202" s="365">
        <v>28.3</v>
      </c>
      <c r="I202" s="365">
        <v>849</v>
      </c>
      <c r="J202" t="s">
        <v>209</v>
      </c>
    </row>
    <row r="203" spans="1:11">
      <c r="A203" t="str">
        <f>IF(LEFT(E203,1)="1","SOL",IF(LEFT(E203,1)="2","CO",IF(LEFT(E203,1)="3","ALM",IF(LEFT(E203,1)="4","FAC","TRX")))) &amp; "-" &amp; B203 &amp; "-" &amp; TEXT(COUNTIFS($E$2:$E203,E203,$B$2:$B203,B203),"000")</f>
        <v>CO-24-105</v>
      </c>
      <c r="B203">
        <v>24</v>
      </c>
      <c r="C203" s="364">
        <v>46185</v>
      </c>
      <c r="D203" t="s">
        <v>1</v>
      </c>
      <c r="E203" t="s">
        <v>246</v>
      </c>
      <c r="F203" t="s">
        <v>272</v>
      </c>
      <c r="G203" s="3">
        <v>20</v>
      </c>
      <c r="H203" s="365">
        <v>28.3</v>
      </c>
      <c r="I203" s="365">
        <v>566</v>
      </c>
      <c r="J203" t="s">
        <v>209</v>
      </c>
    </row>
    <row r="204" spans="1:11">
      <c r="A204" t="str">
        <f>IF(LEFT(E204,1)="1","SOL",IF(LEFT(E204,1)="2","CO",IF(LEFT(E204,1)="3","ALM",IF(LEFT(E204,1)="4","FAC","TRX")))) &amp; "-" &amp; B204 &amp; "-" &amp; TEXT(COUNTIFS($E$2:$E204,E204,$B$2:$B204,B204),"000")</f>
        <v>CO-24-106</v>
      </c>
      <c r="B204">
        <v>24</v>
      </c>
      <c r="C204" s="364">
        <v>46185</v>
      </c>
      <c r="D204" t="s">
        <v>1</v>
      </c>
      <c r="E204" t="s">
        <v>246</v>
      </c>
      <c r="F204" t="s">
        <v>267</v>
      </c>
      <c r="G204" s="3">
        <v>40</v>
      </c>
      <c r="H204" s="365">
        <v>28.3</v>
      </c>
      <c r="I204" s="365">
        <v>1132</v>
      </c>
      <c r="J204" t="s">
        <v>209</v>
      </c>
    </row>
    <row r="205" spans="1:11">
      <c r="A205" t="str">
        <f>IF(LEFT(E205,1)="1","SOL",IF(LEFT(E205,1)="2","CO",IF(LEFT(E205,1)="3","ALM",IF(LEFT(E205,1)="4","FAC","TRX")))) &amp; "-" &amp; B205 &amp; "-" &amp; TEXT(COUNTIFS($E$2:$E205,E205,$B$2:$B205,B205),"000")</f>
        <v>CO-24-107</v>
      </c>
      <c r="B205">
        <v>24</v>
      </c>
      <c r="C205" s="364">
        <v>46185</v>
      </c>
      <c r="D205" t="s">
        <v>1</v>
      </c>
      <c r="E205" t="s">
        <v>246</v>
      </c>
      <c r="F205" t="s">
        <v>268</v>
      </c>
      <c r="G205" s="3">
        <v>250</v>
      </c>
      <c r="H205" s="365">
        <v>28.3</v>
      </c>
      <c r="I205" s="365">
        <v>7075</v>
      </c>
      <c r="J205" t="s">
        <v>209</v>
      </c>
    </row>
    <row r="206" spans="1:11">
      <c r="A206" t="str">
        <f>IF(LEFT(E206,1)="1","SOL",IF(LEFT(E206,1)="2","CO",IF(LEFT(E206,1)="3","ALM",IF(LEFT(E206,1)="4","FAC","TRX")))) &amp; "-" &amp; B206 &amp; "-" &amp; TEXT(COUNTIFS($E$2:$E206,E206,$B$2:$B206,B206),"000")</f>
        <v>SOL-25-001</v>
      </c>
      <c r="B206">
        <v>25</v>
      </c>
      <c r="C206" s="364">
        <v>46188</v>
      </c>
      <c r="D206" t="s">
        <v>1</v>
      </c>
      <c r="E206" t="s">
        <v>208</v>
      </c>
      <c r="F206" t="s">
        <v>87</v>
      </c>
      <c r="G206" s="3">
        <v>250</v>
      </c>
      <c r="H206" s="365">
        <v>27</v>
      </c>
      <c r="I206" s="365">
        <v>6750</v>
      </c>
      <c r="J206" t="s">
        <v>209</v>
      </c>
      <c r="K206">
        <v>27</v>
      </c>
    </row>
    <row r="207" spans="1:11">
      <c r="A207" t="str">
        <f>IF(LEFT(E207,1)="1","SOL",IF(LEFT(E207,1)="2","CO",IF(LEFT(E207,1)="3","ALM",IF(LEFT(E207,1)="4","FAC","TRX")))) &amp; "-" &amp; B207 &amp; "-" &amp; TEXT(COUNTIFS($E$2:$E207,E207,$B$2:$B207,B207),"000")</f>
        <v>SOL-25-002</v>
      </c>
      <c r="B207">
        <v>25</v>
      </c>
      <c r="C207" s="364">
        <v>46188</v>
      </c>
      <c r="D207" t="s">
        <v>1</v>
      </c>
      <c r="E207" t="s">
        <v>208</v>
      </c>
      <c r="F207" t="s">
        <v>98</v>
      </c>
      <c r="G207" s="3">
        <v>100</v>
      </c>
      <c r="H207" s="365">
        <v>27</v>
      </c>
      <c r="I207" s="365">
        <v>2700</v>
      </c>
      <c r="J207" t="s">
        <v>209</v>
      </c>
      <c r="K207">
        <v>27</v>
      </c>
    </row>
    <row r="208" spans="1:11">
      <c r="A208" t="str">
        <f>IF(LEFT(E208,1)="1","SOL",IF(LEFT(E208,1)="2","CO",IF(LEFT(E208,1)="3","ALM",IF(LEFT(E208,1)="4","FAC","TRX")))) &amp; "-" &amp; B208 &amp; "-" &amp; TEXT(COUNTIFS($E$2:$E208,E208,$B$2:$B208,B208),"000")</f>
        <v>SOL-25-003</v>
      </c>
      <c r="B208">
        <v>25</v>
      </c>
      <c r="C208" s="364">
        <v>46188</v>
      </c>
      <c r="D208" t="s">
        <v>1</v>
      </c>
      <c r="E208" t="s">
        <v>208</v>
      </c>
      <c r="F208" t="s">
        <v>100</v>
      </c>
      <c r="G208" s="3">
        <v>50</v>
      </c>
      <c r="H208" s="365">
        <v>27</v>
      </c>
      <c r="I208" s="365">
        <v>1350</v>
      </c>
      <c r="J208" t="s">
        <v>209</v>
      </c>
      <c r="K208">
        <v>27</v>
      </c>
    </row>
    <row r="209" spans="1:11">
      <c r="A209" t="str">
        <f>IF(LEFT(E209,1)="1","SOL",IF(LEFT(E209,1)="2","CO",IF(LEFT(E209,1)="3","ALM",IF(LEFT(E209,1)="4","FAC","TRX")))) &amp; "-" &amp; B209 &amp; "-" &amp; TEXT(COUNTIFS($E$2:$E209,E209,$B$2:$B209,B209),"000")</f>
        <v>SOL-25-004</v>
      </c>
      <c r="B209">
        <v>25</v>
      </c>
      <c r="C209" s="364">
        <v>46188</v>
      </c>
      <c r="D209" t="s">
        <v>1</v>
      </c>
      <c r="E209" t="s">
        <v>208</v>
      </c>
      <c r="F209" t="s">
        <v>114</v>
      </c>
      <c r="G209" s="3">
        <v>20</v>
      </c>
      <c r="H209" s="365">
        <v>27</v>
      </c>
      <c r="I209" s="365">
        <v>540</v>
      </c>
      <c r="J209" t="s">
        <v>209</v>
      </c>
      <c r="K209">
        <v>27</v>
      </c>
    </row>
    <row r="210" spans="1:11">
      <c r="A210" t="str">
        <f>IF(LEFT(E210,1)="1","SOL",IF(LEFT(E210,1)="2","CO",IF(LEFT(E210,1)="3","ALM",IF(LEFT(E210,1)="4","FAC","TRX")))) &amp; "-" &amp; B210 &amp; "-" &amp; TEXT(COUNTIFS($E$2:$E210,E210,$B$2:$B210,B210),"000")</f>
        <v>SOL-25-005</v>
      </c>
      <c r="B210">
        <v>25</v>
      </c>
      <c r="C210" s="364">
        <v>46188</v>
      </c>
      <c r="D210" t="s">
        <v>1</v>
      </c>
      <c r="E210" t="s">
        <v>208</v>
      </c>
      <c r="F210" t="s">
        <v>102</v>
      </c>
      <c r="G210" s="3">
        <v>50</v>
      </c>
      <c r="H210" s="365">
        <v>27</v>
      </c>
      <c r="I210" s="365">
        <v>1350</v>
      </c>
      <c r="J210" t="s">
        <v>209</v>
      </c>
      <c r="K210">
        <v>27</v>
      </c>
    </row>
    <row r="211" spans="1:11">
      <c r="A211" t="str">
        <f>IF(LEFT(E211,1)="1","SOL",IF(LEFT(E211,1)="2","CO",IF(LEFT(E211,1)="3","ALM",IF(LEFT(E211,1)="4","FAC","TRX")))) &amp; "-" &amp; B211 &amp; "-" &amp; TEXT(COUNTIFS($E$2:$E211,E211,$B$2:$B211,B211),"000")</f>
        <v>SOL-25-006</v>
      </c>
      <c r="B211">
        <v>25</v>
      </c>
      <c r="C211" s="364">
        <v>46188</v>
      </c>
      <c r="D211" t="s">
        <v>1</v>
      </c>
      <c r="E211" t="s">
        <v>208</v>
      </c>
      <c r="F211" t="s">
        <v>91</v>
      </c>
      <c r="G211" s="3">
        <v>40</v>
      </c>
      <c r="H211" s="365">
        <v>27</v>
      </c>
      <c r="I211" s="365">
        <v>1080</v>
      </c>
      <c r="J211" t="s">
        <v>209</v>
      </c>
      <c r="K211">
        <v>27</v>
      </c>
    </row>
    <row r="212" spans="1:11">
      <c r="A212" t="str">
        <f>IF(LEFT(E212,1)="1","SOL",IF(LEFT(E212,1)="2","CO",IF(LEFT(E212,1)="3","ALM",IF(LEFT(E212,1)="4","FAC","TRX")))) &amp; "-" &amp; B212 &amp; "-" &amp; TEXT(COUNTIFS($E$2:$E212,E212,$B$2:$B212,B212),"000")</f>
        <v>SOL-25-007</v>
      </c>
      <c r="B212">
        <v>25</v>
      </c>
      <c r="C212" s="364">
        <v>46188</v>
      </c>
      <c r="D212" t="s">
        <v>1</v>
      </c>
      <c r="E212" t="s">
        <v>208</v>
      </c>
      <c r="F212" t="s">
        <v>60</v>
      </c>
      <c r="G212" s="3">
        <v>60</v>
      </c>
      <c r="H212" s="365">
        <v>27</v>
      </c>
      <c r="I212" s="365">
        <v>1620</v>
      </c>
      <c r="J212" t="s">
        <v>209</v>
      </c>
      <c r="K212">
        <v>27</v>
      </c>
    </row>
    <row r="213" spans="1:11">
      <c r="A213" t="str">
        <f>IF(LEFT(E213,1)="1","SOL",IF(LEFT(E213,1)="2","CO",IF(LEFT(E213,1)="3","ALM",IF(LEFT(E213,1)="4","FAC","TRX")))) &amp; "-" &amp; B213 &amp; "-" &amp; TEXT(COUNTIFS($E$2:$E213,E213,$B$2:$B213,B213),"000")</f>
        <v>SOL-25-008</v>
      </c>
      <c r="B213">
        <v>25</v>
      </c>
      <c r="C213" s="364">
        <v>46188</v>
      </c>
      <c r="D213" t="s">
        <v>1</v>
      </c>
      <c r="E213" t="s">
        <v>208</v>
      </c>
      <c r="F213" t="s">
        <v>104</v>
      </c>
      <c r="G213" s="3">
        <v>50</v>
      </c>
      <c r="H213" s="365">
        <v>27</v>
      </c>
      <c r="I213" s="365">
        <v>1350</v>
      </c>
      <c r="J213" t="s">
        <v>209</v>
      </c>
      <c r="K213">
        <v>27</v>
      </c>
    </row>
    <row r="214" spans="1:11">
      <c r="A214" t="str">
        <f>IF(LEFT(E214,1)="1","SOL",IF(LEFT(E214,1)="2","CO",IF(LEFT(E214,1)="3","ALM",IF(LEFT(E214,1)="4","FAC","TRX")))) &amp; "-" &amp; B214 &amp; "-" &amp; TEXT(COUNTIFS($E$2:$E214,E214,$B$2:$B214,B214),"000")</f>
        <v>SOL-25-009</v>
      </c>
      <c r="B214">
        <v>25</v>
      </c>
      <c r="C214" s="364">
        <v>46188</v>
      </c>
      <c r="D214" t="s">
        <v>2</v>
      </c>
      <c r="E214" t="s">
        <v>208</v>
      </c>
      <c r="F214" t="s">
        <v>76</v>
      </c>
      <c r="G214" s="3">
        <v>90</v>
      </c>
      <c r="H214" s="365">
        <v>27</v>
      </c>
      <c r="I214" s="365">
        <v>2430</v>
      </c>
      <c r="J214" t="s">
        <v>209</v>
      </c>
      <c r="K214">
        <v>27</v>
      </c>
    </row>
    <row r="215" spans="1:11">
      <c r="A215" t="str">
        <f>IF(LEFT(E215,1)="1","SOL",IF(LEFT(E215,1)="2","CO",IF(LEFT(E215,1)="3","ALM",IF(LEFT(E215,1)="4","FAC","TRX")))) &amp; "-" &amp; B215 &amp; "-" &amp; TEXT(COUNTIFS($E$2:$E215,E215,$B$2:$B215,B215),"000")</f>
        <v>SOL-25-010</v>
      </c>
      <c r="B215">
        <v>25</v>
      </c>
      <c r="C215" s="364">
        <v>46188</v>
      </c>
      <c r="D215" t="s">
        <v>2</v>
      </c>
      <c r="E215" t="s">
        <v>208</v>
      </c>
      <c r="F215" t="s">
        <v>97</v>
      </c>
      <c r="G215" s="3">
        <v>40</v>
      </c>
      <c r="H215" s="365">
        <v>27</v>
      </c>
      <c r="I215" s="365">
        <v>1080</v>
      </c>
      <c r="J215" t="s">
        <v>209</v>
      </c>
      <c r="K215">
        <v>27</v>
      </c>
    </row>
    <row r="216" spans="1:11">
      <c r="A216" t="str">
        <f>IF(LEFT(E216,1)="1","SOL",IF(LEFT(E216,1)="2","CO",IF(LEFT(E216,1)="3","ALM",IF(LEFT(E216,1)="4","FAC","TRX")))) &amp; "-" &amp; B216 &amp; "-" &amp; TEXT(COUNTIFS($E$2:$E216,E216,$B$2:$B216,B216),"000")</f>
        <v>SOL-25-011</v>
      </c>
      <c r="B216">
        <v>25</v>
      </c>
      <c r="C216" s="364">
        <v>46188</v>
      </c>
      <c r="D216" t="s">
        <v>2</v>
      </c>
      <c r="E216" t="s">
        <v>208</v>
      </c>
      <c r="F216" t="s">
        <v>81</v>
      </c>
      <c r="G216" s="3">
        <v>40</v>
      </c>
      <c r="H216" s="365">
        <v>27</v>
      </c>
      <c r="I216" s="365">
        <v>1080</v>
      </c>
      <c r="J216" t="s">
        <v>209</v>
      </c>
      <c r="K216">
        <v>27</v>
      </c>
    </row>
    <row r="217" spans="1:11">
      <c r="A217" t="str">
        <f>IF(LEFT(E217,1)="1","SOL",IF(LEFT(E217,1)="2","CO",IF(LEFT(E217,1)="3","ALM",IF(LEFT(E217,1)="4","FAC","TRX")))) &amp; "-" &amp; B217 &amp; "-" &amp; TEXT(COUNTIFS($E$2:$E217,E217,$B$2:$B217,B217),"000")</f>
        <v>CO-25-001</v>
      </c>
      <c r="B217">
        <v>25</v>
      </c>
      <c r="C217" s="364">
        <v>46188</v>
      </c>
      <c r="D217" t="s">
        <v>1</v>
      </c>
      <c r="E217" t="s">
        <v>246</v>
      </c>
      <c r="F217" t="s">
        <v>248</v>
      </c>
      <c r="G217" s="3">
        <v>200</v>
      </c>
      <c r="H217" s="365">
        <v>27</v>
      </c>
      <c r="I217" s="365">
        <v>5400</v>
      </c>
      <c r="J217" t="s">
        <v>209</v>
      </c>
    </row>
    <row r="218" spans="1:11">
      <c r="A218" t="str">
        <f>IF(LEFT(E218,1)="1","SOL",IF(LEFT(E218,1)="2","CO",IF(LEFT(E218,1)="3","ALM",IF(LEFT(E218,1)="4","FAC","TRX")))) &amp; "-" &amp; B218 &amp; "-" &amp; TEXT(COUNTIFS($E$2:$E218,E218,$B$2:$B218,B218),"000")</f>
        <v>CO-25-002</v>
      </c>
      <c r="B218">
        <v>25</v>
      </c>
      <c r="C218" s="364">
        <v>46188</v>
      </c>
      <c r="D218" t="s">
        <v>1</v>
      </c>
      <c r="E218" t="s">
        <v>246</v>
      </c>
      <c r="F218" t="s">
        <v>249</v>
      </c>
      <c r="G218" s="3">
        <v>40</v>
      </c>
      <c r="H218" s="365">
        <v>27</v>
      </c>
      <c r="I218" s="365">
        <v>1080</v>
      </c>
      <c r="J218" t="s">
        <v>209</v>
      </c>
    </row>
    <row r="219" spans="1:11">
      <c r="A219" t="str">
        <f>IF(LEFT(E219,1)="1","SOL",IF(LEFT(E219,1)="2","CO",IF(LEFT(E219,1)="3","ALM",IF(LEFT(E219,1)="4","FAC","TRX")))) &amp; "-" &amp; B219 &amp; "-" &amp; TEXT(COUNTIFS($E$2:$E219,E219,$B$2:$B219,B219),"000")</f>
        <v>CO-25-003</v>
      </c>
      <c r="B219">
        <v>25</v>
      </c>
      <c r="C219" s="364">
        <v>46188</v>
      </c>
      <c r="D219" t="s">
        <v>1</v>
      </c>
      <c r="E219" t="s">
        <v>246</v>
      </c>
      <c r="F219" t="s">
        <v>226</v>
      </c>
      <c r="G219" s="3">
        <v>30</v>
      </c>
      <c r="H219" s="365">
        <v>27</v>
      </c>
      <c r="I219" s="365">
        <v>810</v>
      </c>
      <c r="J219" t="s">
        <v>209</v>
      </c>
    </row>
    <row r="220" spans="1:11">
      <c r="A220" t="str">
        <f>IF(LEFT(E220,1)="1","SOL",IF(LEFT(E220,1)="2","CO",IF(LEFT(E220,1)="3","ALM",IF(LEFT(E220,1)="4","FAC","TRX")))) &amp; "-" &amp; B220 &amp; "-" &amp; TEXT(COUNTIFS($E$2:$E220,E220,$B$2:$B220,B220),"000")</f>
        <v>CO-25-004</v>
      </c>
      <c r="B220">
        <v>25</v>
      </c>
      <c r="C220" s="364">
        <v>46188</v>
      </c>
      <c r="D220" t="s">
        <v>1</v>
      </c>
      <c r="E220" t="s">
        <v>246</v>
      </c>
      <c r="F220" t="s">
        <v>227</v>
      </c>
      <c r="G220" s="3">
        <v>50</v>
      </c>
      <c r="H220" s="365">
        <v>27</v>
      </c>
      <c r="I220" s="365">
        <v>1350</v>
      </c>
      <c r="J220" t="s">
        <v>209</v>
      </c>
    </row>
    <row r="221" spans="1:11">
      <c r="A221" t="str">
        <f>IF(LEFT(E221,1)="1","SOL",IF(LEFT(E221,1)="2","CO",IF(LEFT(E221,1)="3","ALM",IF(LEFT(E221,1)="4","FAC","TRX")))) &amp; "-" &amp; B221 &amp; "-" &amp; TEXT(COUNTIFS($E$2:$E221,E221,$B$2:$B221,B221),"000")</f>
        <v>CO-25-005</v>
      </c>
      <c r="B221">
        <v>25</v>
      </c>
      <c r="C221" s="364">
        <v>46188</v>
      </c>
      <c r="D221" t="s">
        <v>2</v>
      </c>
      <c r="E221" t="s">
        <v>246</v>
      </c>
      <c r="F221" t="s">
        <v>250</v>
      </c>
      <c r="G221" s="3">
        <v>73</v>
      </c>
      <c r="H221" s="365">
        <v>27</v>
      </c>
      <c r="I221" s="365">
        <v>1971</v>
      </c>
      <c r="J221" t="s">
        <v>209</v>
      </c>
    </row>
    <row r="222" spans="1:11">
      <c r="A222" t="str">
        <f>IF(LEFT(E222,1)="1","SOL",IF(LEFT(E222,1)="2","CO",IF(LEFT(E222,1)="3","ALM",IF(LEFT(E222,1)="4","FAC","TRX")))) &amp; "-" &amp; B222 &amp; "-" &amp; TEXT(COUNTIFS($E$2:$E222,E222,$B$2:$B222,B222),"000")</f>
        <v>CO-25-006</v>
      </c>
      <c r="B222">
        <v>25</v>
      </c>
      <c r="C222" s="364">
        <v>46188</v>
      </c>
      <c r="D222" t="s">
        <v>1</v>
      </c>
      <c r="E222" t="s">
        <v>246</v>
      </c>
      <c r="F222" t="s">
        <v>251</v>
      </c>
      <c r="G222" s="3">
        <v>99</v>
      </c>
      <c r="H222" s="365">
        <v>27</v>
      </c>
      <c r="I222" s="365">
        <v>2673</v>
      </c>
      <c r="J222" t="s">
        <v>209</v>
      </c>
    </row>
    <row r="223" spans="1:11">
      <c r="A223" t="str">
        <f>IF(LEFT(E223,1)="1","SOL",IF(LEFT(E223,1)="2","CO",IF(LEFT(E223,1)="3","ALM",IF(LEFT(E223,1)="4","FAC","TRX")))) &amp; "-" &amp; B223 &amp; "-" &amp; TEXT(COUNTIFS($E$2:$E223,E223,$B$2:$B223,B223),"000")</f>
        <v>CO-25-007</v>
      </c>
      <c r="B223">
        <v>25</v>
      </c>
      <c r="C223" s="364">
        <v>46188</v>
      </c>
      <c r="D223" t="s">
        <v>1</v>
      </c>
      <c r="E223" t="s">
        <v>246</v>
      </c>
      <c r="F223" t="s">
        <v>252</v>
      </c>
      <c r="G223" s="3">
        <v>50</v>
      </c>
      <c r="H223" s="365">
        <v>27</v>
      </c>
      <c r="I223" s="365">
        <v>1350</v>
      </c>
      <c r="J223" t="s">
        <v>209</v>
      </c>
    </row>
    <row r="224" spans="1:11">
      <c r="A224" t="str">
        <f>IF(LEFT(E224,1)="1","SOL",IF(LEFT(E224,1)="2","CO",IF(LEFT(E224,1)="3","ALM",IF(LEFT(E224,1)="4","FAC","TRX")))) &amp; "-" &amp; B224 &amp; "-" &amp; TEXT(COUNTIFS($E$2:$E224,E224,$B$2:$B224,B224),"000")</f>
        <v>CO-25-008</v>
      </c>
      <c r="B224">
        <v>25</v>
      </c>
      <c r="C224" s="364">
        <v>46188</v>
      </c>
      <c r="D224" t="s">
        <v>126</v>
      </c>
      <c r="E224" t="s">
        <v>246</v>
      </c>
      <c r="F224" t="s">
        <v>127</v>
      </c>
      <c r="G224" s="3">
        <v>70</v>
      </c>
      <c r="H224" s="365">
        <v>27</v>
      </c>
      <c r="I224" s="365">
        <v>1890</v>
      </c>
      <c r="J224" t="s">
        <v>209</v>
      </c>
    </row>
    <row r="225" spans="1:10">
      <c r="A225" t="str">
        <f>IF(LEFT(E225,1)="1","SOL",IF(LEFT(E225,1)="2","CO",IF(LEFT(E225,1)="3","ALM",IF(LEFT(E225,1)="4","FAC","TRX")))) &amp; "-" &amp; B225 &amp; "-" &amp; TEXT(COUNTIFS($E$2:$E225,E225,$B$2:$B225,B225),"000")</f>
        <v>CO-25-009</v>
      </c>
      <c r="B225">
        <v>25</v>
      </c>
      <c r="C225" s="364">
        <v>46188</v>
      </c>
      <c r="D225" t="s">
        <v>2</v>
      </c>
      <c r="E225" t="s">
        <v>246</v>
      </c>
      <c r="F225" t="s">
        <v>226</v>
      </c>
      <c r="G225" s="3">
        <v>24</v>
      </c>
      <c r="H225" s="365">
        <v>27</v>
      </c>
      <c r="I225" s="365">
        <v>648</v>
      </c>
      <c r="J225" t="s">
        <v>209</v>
      </c>
    </row>
    <row r="226" spans="1:10">
      <c r="A226" t="str">
        <f>IF(LEFT(E226,1)="1","SOL",IF(LEFT(E226,1)="2","CO",IF(LEFT(E226,1)="3","ALM",IF(LEFT(E226,1)="4","FAC","TRX")))) &amp; "-" &amp; B226 &amp; "-" &amp; TEXT(COUNTIFS($E$2:$E226,E226,$B$2:$B226,B226),"000")</f>
        <v>CO-25-010</v>
      </c>
      <c r="B226">
        <v>25</v>
      </c>
      <c r="C226" s="364">
        <v>46188</v>
      </c>
      <c r="D226" t="s">
        <v>247</v>
      </c>
      <c r="E226" t="s">
        <v>246</v>
      </c>
      <c r="F226" t="s">
        <v>133</v>
      </c>
      <c r="G226" s="3">
        <v>265</v>
      </c>
      <c r="H226" s="365">
        <v>27</v>
      </c>
      <c r="I226" s="365">
        <v>7155</v>
      </c>
      <c r="J226" t="s">
        <v>209</v>
      </c>
    </row>
    <row r="227" spans="1:10">
      <c r="A227" t="str">
        <f>IF(LEFT(E227,1)="1","SOL",IF(LEFT(E227,1)="2","CO",IF(LEFT(E227,1)="3","ALM",IF(LEFT(E227,1)="4","FAC","TRX")))) &amp; "-" &amp; B227 &amp; "-" &amp; TEXT(COUNTIFS($E$2:$E227,E227,$B$2:$B227,B227),"000")</f>
        <v>CO-25-011</v>
      </c>
      <c r="B227">
        <v>25</v>
      </c>
      <c r="C227" s="364">
        <v>46188</v>
      </c>
      <c r="D227" t="s">
        <v>126</v>
      </c>
      <c r="E227" t="s">
        <v>246</v>
      </c>
      <c r="F227" t="s">
        <v>253</v>
      </c>
      <c r="G227" s="3">
        <v>33</v>
      </c>
      <c r="H227" s="365">
        <v>27</v>
      </c>
      <c r="I227" s="365">
        <v>891</v>
      </c>
      <c r="J227" t="s">
        <v>209</v>
      </c>
    </row>
    <row r="228" spans="1:10">
      <c r="A228" t="str">
        <f>IF(LEFT(E228,1)="1","SOL",IF(LEFT(E228,1)="2","CO",IF(LEFT(E228,1)="3","ALM",IF(LEFT(E228,1)="4","FAC","TRX")))) &amp; "-" &amp; B228 &amp; "-" &amp; TEXT(COUNTIFS($E$2:$E228,E228,$B$2:$B228,B228),"000")</f>
        <v>CO-25-012</v>
      </c>
      <c r="B228">
        <v>25</v>
      </c>
      <c r="C228" s="364">
        <v>46188</v>
      </c>
      <c r="D228" t="s">
        <v>2</v>
      </c>
      <c r="E228" t="s">
        <v>246</v>
      </c>
      <c r="F228" t="s">
        <v>252</v>
      </c>
      <c r="G228" s="3">
        <v>60</v>
      </c>
      <c r="H228" s="365">
        <v>27</v>
      </c>
      <c r="I228" s="365">
        <v>1620</v>
      </c>
      <c r="J228" t="s">
        <v>209</v>
      </c>
    </row>
    <row r="229" spans="1:10">
      <c r="A229" t="str">
        <f>IF(LEFT(E229,1)="1","SOL",IF(LEFT(E229,1)="2","CO",IF(LEFT(E229,1)="3","ALM",IF(LEFT(E229,1)="4","FAC","TRX")))) &amp; "-" &amp; B229 &amp; "-" &amp; TEXT(COUNTIFS($E$2:$E229,E229,$B$2:$B229,B229),"000")</f>
        <v>CO-25-013</v>
      </c>
      <c r="B229">
        <v>25</v>
      </c>
      <c r="C229" s="364">
        <v>46188</v>
      </c>
      <c r="D229" t="s">
        <v>2</v>
      </c>
      <c r="E229" t="s">
        <v>246</v>
      </c>
      <c r="F229" t="s">
        <v>214</v>
      </c>
      <c r="G229" s="3">
        <v>52</v>
      </c>
      <c r="H229" s="365">
        <v>27</v>
      </c>
      <c r="I229" s="365">
        <v>1404</v>
      </c>
      <c r="J229" t="s">
        <v>209</v>
      </c>
    </row>
    <row r="230" spans="1:10">
      <c r="A230" t="str">
        <f>IF(LEFT(E230,1)="1","SOL",IF(LEFT(E230,1)="2","CO",IF(LEFT(E230,1)="3","ALM",IF(LEFT(E230,1)="4","FAC","TRX")))) &amp; "-" &amp; B230 &amp; "-" &amp; TEXT(COUNTIFS($E$2:$E230,E230,$B$2:$B230,B230),"000")</f>
        <v>CO-25-014</v>
      </c>
      <c r="B230">
        <v>25</v>
      </c>
      <c r="C230" s="364">
        <v>46188</v>
      </c>
      <c r="D230" t="s">
        <v>2</v>
      </c>
      <c r="E230" t="s">
        <v>246</v>
      </c>
      <c r="F230" t="s">
        <v>114</v>
      </c>
      <c r="G230" s="3">
        <v>25</v>
      </c>
      <c r="H230" s="365">
        <v>27</v>
      </c>
      <c r="I230" s="365">
        <v>675</v>
      </c>
      <c r="J230" t="s">
        <v>209</v>
      </c>
    </row>
    <row r="231" spans="1:10">
      <c r="A231" t="str">
        <f>IF(LEFT(E231,1)="1","SOL",IF(LEFT(E231,1)="2","CO",IF(LEFT(E231,1)="3","ALM",IF(LEFT(E231,1)="4","FAC","TRX")))) &amp; "-" &amp; B231 &amp; "-" &amp; TEXT(COUNTIFS($E$2:$E231,E231,$B$2:$B231,B231),"000")</f>
        <v>CO-25-015</v>
      </c>
      <c r="B231">
        <v>25</v>
      </c>
      <c r="C231" s="364">
        <v>46188</v>
      </c>
      <c r="D231" t="s">
        <v>2</v>
      </c>
      <c r="E231" t="s">
        <v>246</v>
      </c>
      <c r="F231" t="s">
        <v>249</v>
      </c>
      <c r="G231" s="3">
        <v>55</v>
      </c>
      <c r="H231" s="365">
        <v>27</v>
      </c>
      <c r="I231" s="365">
        <v>1485</v>
      </c>
      <c r="J231" t="s">
        <v>209</v>
      </c>
    </row>
    <row r="232" spans="1:10">
      <c r="A232" t="str">
        <f>IF(LEFT(E232,1)="1","SOL",IF(LEFT(E232,1)="2","CO",IF(LEFT(E232,1)="3","ALM",IF(LEFT(E232,1)="4","FAC","TRX")))) &amp; "-" &amp; B232 &amp; "-" &amp; TEXT(COUNTIFS($E$2:$E232,E232,$B$2:$B232,B232),"000")</f>
        <v>CO-25-016</v>
      </c>
      <c r="B232">
        <v>25</v>
      </c>
      <c r="C232" s="364">
        <v>46188</v>
      </c>
      <c r="D232" t="s">
        <v>126</v>
      </c>
      <c r="E232" t="s">
        <v>246</v>
      </c>
      <c r="F232" t="s">
        <v>213</v>
      </c>
      <c r="G232" s="3">
        <v>200</v>
      </c>
      <c r="H232" s="365">
        <v>27</v>
      </c>
      <c r="I232" s="365">
        <v>5400</v>
      </c>
      <c r="J232" t="s">
        <v>209</v>
      </c>
    </row>
    <row r="233" spans="1:10">
      <c r="A233" t="str">
        <f>IF(LEFT(E233,1)="1","SOL",IF(LEFT(E233,1)="2","CO",IF(LEFT(E233,1)="3","ALM",IF(LEFT(E233,1)="4","FAC","TRX")))) &amp; "-" &amp; B233 &amp; "-" &amp; TEXT(COUNTIFS($E$2:$E233,E233,$B$2:$B233,B233),"000")</f>
        <v>CO-25-017</v>
      </c>
      <c r="B233">
        <v>25</v>
      </c>
      <c r="C233" s="364">
        <v>46188</v>
      </c>
      <c r="D233" t="s">
        <v>140</v>
      </c>
      <c r="E233" t="s">
        <v>246</v>
      </c>
      <c r="F233" t="s">
        <v>222</v>
      </c>
      <c r="G233" s="3">
        <v>300</v>
      </c>
      <c r="H233" s="365">
        <v>27</v>
      </c>
      <c r="I233" s="365">
        <v>8100</v>
      </c>
      <c r="J233" t="s">
        <v>209</v>
      </c>
    </row>
    <row r="234" spans="1:10">
      <c r="A234" t="str">
        <f>IF(LEFT(E234,1)="1","SOL",IF(LEFT(E234,1)="2","CO",IF(LEFT(E234,1)="3","ALM",IF(LEFT(E234,1)="4","FAC","TRX")))) &amp; "-" &amp; B234 &amp; "-" &amp; TEXT(COUNTIFS($E$2:$E234,E234,$B$2:$B234,B234),"000")</f>
        <v>CO-25-018</v>
      </c>
      <c r="B234">
        <v>25</v>
      </c>
      <c r="C234" s="364">
        <v>46188</v>
      </c>
      <c r="D234" t="s">
        <v>140</v>
      </c>
      <c r="E234" t="s">
        <v>246</v>
      </c>
      <c r="F234" t="s">
        <v>231</v>
      </c>
      <c r="G234" s="3">
        <v>100</v>
      </c>
      <c r="H234" s="365">
        <v>27</v>
      </c>
      <c r="I234" s="365">
        <v>2700</v>
      </c>
      <c r="J234" t="s">
        <v>209</v>
      </c>
    </row>
    <row r="235" spans="1:10">
      <c r="A235" t="str">
        <f>IF(LEFT(E235,1)="1","SOL",IF(LEFT(E235,1)="2","CO",IF(LEFT(E235,1)="3","ALM",IF(LEFT(E235,1)="4","FAC","TRX")))) &amp; "-" &amp; B235 &amp; "-" &amp; TEXT(COUNTIFS($E$2:$E235,E235,$B$2:$B235,B235),"000")</f>
        <v>CO-25-019</v>
      </c>
      <c r="B235">
        <v>25</v>
      </c>
      <c r="C235" s="364">
        <v>46188</v>
      </c>
      <c r="D235" t="s">
        <v>140</v>
      </c>
      <c r="E235" t="s">
        <v>246</v>
      </c>
      <c r="F235" t="s">
        <v>254</v>
      </c>
      <c r="G235" s="3">
        <v>400</v>
      </c>
      <c r="H235" s="365">
        <v>27</v>
      </c>
      <c r="I235" s="365">
        <v>10800</v>
      </c>
      <c r="J235" t="s">
        <v>209</v>
      </c>
    </row>
    <row r="236" spans="1:10">
      <c r="A236" t="str">
        <f>IF(LEFT(E236,1)="1","SOL",IF(LEFT(E236,1)="2","CO",IF(LEFT(E236,1)="3","ALM",IF(LEFT(E236,1)="4","FAC","TRX")))) &amp; "-" &amp; B236 &amp; "-" &amp; TEXT(COUNTIFS($E$2:$E236,E236,$B$2:$B236,B236),"000")</f>
        <v>CO-25-020</v>
      </c>
      <c r="B236">
        <v>25</v>
      </c>
      <c r="C236" s="364">
        <v>46188</v>
      </c>
      <c r="D236" t="s">
        <v>1</v>
      </c>
      <c r="E236" t="s">
        <v>246</v>
      </c>
      <c r="F236" t="s">
        <v>282</v>
      </c>
      <c r="G236" s="3">
        <v>200</v>
      </c>
      <c r="H236" s="365">
        <v>28.3</v>
      </c>
      <c r="I236" s="365">
        <v>5660</v>
      </c>
      <c r="J236" t="s">
        <v>209</v>
      </c>
    </row>
    <row r="237" spans="1:10">
      <c r="A237" t="str">
        <f>IF(LEFT(E237,1)="1","SOL",IF(LEFT(E237,1)="2","CO",IF(LEFT(E237,1)="3","ALM",IF(LEFT(E237,1)="4","FAC","TRX")))) &amp; "-" &amp; B237 &amp; "-" &amp; TEXT(COUNTIFS($E$2:$E237,E237,$B$2:$B237,B237),"000")</f>
        <v>CO-25-021</v>
      </c>
      <c r="B237">
        <v>25</v>
      </c>
      <c r="C237" s="364">
        <v>46188</v>
      </c>
      <c r="D237" t="s">
        <v>1</v>
      </c>
      <c r="E237" t="s">
        <v>246</v>
      </c>
      <c r="F237" t="s">
        <v>283</v>
      </c>
      <c r="G237" s="3">
        <v>40</v>
      </c>
      <c r="H237" s="365">
        <v>28.3</v>
      </c>
      <c r="I237" s="365">
        <v>1132</v>
      </c>
      <c r="J237" t="s">
        <v>209</v>
      </c>
    </row>
    <row r="238" spans="1:10">
      <c r="A238" t="str">
        <f>IF(LEFT(E238,1)="1","SOL",IF(LEFT(E238,1)="2","CO",IF(LEFT(E238,1)="3","ALM",IF(LEFT(E238,1)="4","FAC","TRX")))) &amp; "-" &amp; B238 &amp; "-" &amp; TEXT(COUNTIFS($E$2:$E238,E238,$B$2:$B238,B238),"000")</f>
        <v>CO-25-022</v>
      </c>
      <c r="B238">
        <v>25</v>
      </c>
      <c r="C238" s="364">
        <v>46188</v>
      </c>
      <c r="D238" t="s">
        <v>1</v>
      </c>
      <c r="E238" t="s">
        <v>246</v>
      </c>
      <c r="F238" t="s">
        <v>284</v>
      </c>
      <c r="G238" s="3">
        <v>30</v>
      </c>
      <c r="H238" s="365">
        <v>28.3</v>
      </c>
      <c r="I238" s="365">
        <v>849</v>
      </c>
      <c r="J238" t="s">
        <v>209</v>
      </c>
    </row>
    <row r="239" spans="1:10">
      <c r="A239" t="str">
        <f>IF(LEFT(E239,1)="1","SOL",IF(LEFT(E239,1)="2","CO",IF(LEFT(E239,1)="3","ALM",IF(LEFT(E239,1)="4","FAC","TRX")))) &amp; "-" &amp; B239 &amp; "-" &amp; TEXT(COUNTIFS($E$2:$E239,E239,$B$2:$B239,B239),"000")</f>
        <v>CO-25-023</v>
      </c>
      <c r="B239">
        <v>25</v>
      </c>
      <c r="C239" s="364">
        <v>46188</v>
      </c>
      <c r="D239" t="s">
        <v>1</v>
      </c>
      <c r="E239" t="s">
        <v>246</v>
      </c>
      <c r="F239" t="s">
        <v>285</v>
      </c>
      <c r="G239" s="3">
        <v>50</v>
      </c>
      <c r="H239" s="365">
        <v>28.3</v>
      </c>
      <c r="I239" s="365">
        <v>1415</v>
      </c>
      <c r="J239" t="s">
        <v>209</v>
      </c>
    </row>
    <row r="240" spans="1:10">
      <c r="A240" t="str">
        <f>IF(LEFT(E240,1)="1","SOL",IF(LEFT(E240,1)="2","CO",IF(LEFT(E240,1)="3","ALM",IF(LEFT(E240,1)="4","FAC","TRX")))) &amp; "-" &amp; B240 &amp; "-" &amp; TEXT(COUNTIFS($E$2:$E240,E240,$B$2:$B240,B240),"000")</f>
        <v>CO-25-024</v>
      </c>
      <c r="B240">
        <v>25</v>
      </c>
      <c r="C240" s="364">
        <v>46188</v>
      </c>
      <c r="D240" t="s">
        <v>1</v>
      </c>
      <c r="E240" t="s">
        <v>246</v>
      </c>
      <c r="F240" t="s">
        <v>286</v>
      </c>
      <c r="G240" s="3">
        <v>99</v>
      </c>
      <c r="H240" s="365">
        <v>28.3</v>
      </c>
      <c r="I240" s="365">
        <v>2801.7000000000003</v>
      </c>
      <c r="J240" t="s">
        <v>209</v>
      </c>
    </row>
    <row r="241" spans="1:11">
      <c r="A241" t="str">
        <f>IF(LEFT(E241,1)="1","SOL",IF(LEFT(E241,1)="2","CO",IF(LEFT(E241,1)="3","ALM",IF(LEFT(E241,1)="4","FAC","TRX")))) &amp; "-" &amp; B241 &amp; "-" &amp; TEXT(COUNTIFS($E$2:$E241,E241,$B$2:$B241,B241),"000")</f>
        <v>CO-25-025</v>
      </c>
      <c r="B241">
        <v>25</v>
      </c>
      <c r="C241" s="364">
        <v>46188</v>
      </c>
      <c r="D241" t="s">
        <v>1</v>
      </c>
      <c r="E241" t="s">
        <v>246</v>
      </c>
      <c r="F241" t="s">
        <v>287</v>
      </c>
      <c r="G241" s="3">
        <v>50</v>
      </c>
      <c r="H241" s="365">
        <v>28.3</v>
      </c>
      <c r="I241" s="365">
        <v>1415</v>
      </c>
      <c r="J241" t="s">
        <v>209</v>
      </c>
    </row>
    <row r="242" spans="1:11">
      <c r="A242" t="str">
        <f>IF(LEFT(E242,1)="1","SOL",IF(LEFT(E242,1)="2","CO",IF(LEFT(E242,1)="3","ALM",IF(LEFT(E242,1)="4","FAC","TRX")))) &amp; "-" &amp; B242 &amp; "-" &amp; TEXT(COUNTIFS($E$2:$E242,E242,$B$2:$B242,B242),"000")</f>
        <v>CO-25-026</v>
      </c>
      <c r="B242">
        <v>25</v>
      </c>
      <c r="C242" s="364">
        <v>46188</v>
      </c>
      <c r="D242" t="s">
        <v>289</v>
      </c>
      <c r="E242" t="s">
        <v>246</v>
      </c>
      <c r="F242" t="s">
        <v>295</v>
      </c>
      <c r="G242" s="3">
        <v>100</v>
      </c>
      <c r="H242" s="365">
        <v>27</v>
      </c>
      <c r="I242" s="365">
        <v>2700</v>
      </c>
      <c r="J242" t="s">
        <v>209</v>
      </c>
    </row>
    <row r="243" spans="1:11">
      <c r="A243" t="str">
        <f>IF(LEFT(E243,1)="1","SOL",IF(LEFT(E243,1)="2","CO",IF(LEFT(E243,1)="3","ALM",IF(LEFT(E243,1)="4","FAC","TRX")))) &amp; "-" &amp; B243 &amp; "-" &amp; TEXT(COUNTIFS($E$2:$E243,E243,$B$2:$B243,B243),"000")</f>
        <v>FAC-25-001</v>
      </c>
      <c r="B243">
        <v>25</v>
      </c>
      <c r="C243" s="364">
        <v>46188</v>
      </c>
      <c r="D243" t="s">
        <v>140</v>
      </c>
      <c r="E243" t="s">
        <v>301</v>
      </c>
      <c r="F243" t="s">
        <v>304</v>
      </c>
      <c r="G243" s="3">
        <v>800.00600000000009</v>
      </c>
      <c r="H243" s="365">
        <v>26.999985000112499</v>
      </c>
      <c r="I243" s="365">
        <v>21600.15</v>
      </c>
      <c r="J243" t="s">
        <v>209</v>
      </c>
      <c r="K243" t="s">
        <v>303</v>
      </c>
    </row>
    <row r="244" spans="1:11">
      <c r="A244" t="str">
        <f>IF(LEFT(E244,1)="1","SOL",IF(LEFT(E244,1)="2","CO",IF(LEFT(E244,1)="3","ALM",IF(LEFT(E244,1)="4","FAC","TRX")))) &amp; "-" &amp; B244 &amp; "-" &amp; TEXT(COUNTIFS($E$2:$E244,E244,$B$2:$B244,B244),"000")</f>
        <v>FAC-25-002</v>
      </c>
      <c r="B244">
        <v>25</v>
      </c>
      <c r="C244" s="364">
        <v>46188</v>
      </c>
      <c r="D244" t="s">
        <v>300</v>
      </c>
      <c r="E244" t="s">
        <v>301</v>
      </c>
      <c r="F244" t="s">
        <v>305</v>
      </c>
      <c r="G244" s="3">
        <v>4000.0120000000006</v>
      </c>
      <c r="H244" s="365">
        <v>27.000008999972994</v>
      </c>
      <c r="I244" s="365">
        <v>108000.36</v>
      </c>
      <c r="J244" t="s">
        <v>209</v>
      </c>
      <c r="K244" t="s">
        <v>303</v>
      </c>
    </row>
    <row r="245" spans="1:11">
      <c r="A245" t="str">
        <f>IF(LEFT(E245,1)="1","SOL",IF(LEFT(E245,1)="2","CO",IF(LEFT(E245,1)="3","ALM",IF(LEFT(E245,1)="4","FAC","TRX")))) &amp; "-" &amp; B245 &amp; "-" &amp; TEXT(COUNTIFS($E$2:$E245,E245,$B$2:$B245,B245),"000")</f>
        <v>FAC-25-003</v>
      </c>
      <c r="B245">
        <v>25</v>
      </c>
      <c r="C245" s="364">
        <v>46188</v>
      </c>
      <c r="D245" t="s">
        <v>1</v>
      </c>
      <c r="E245" t="s">
        <v>301</v>
      </c>
      <c r="F245" t="s">
        <v>325</v>
      </c>
      <c r="G245" s="3">
        <v>500.00200000000001</v>
      </c>
      <c r="H245" s="365">
        <v>27.000011999951997</v>
      </c>
      <c r="I245" s="365">
        <v>13500.06</v>
      </c>
      <c r="J245" t="s">
        <v>209</v>
      </c>
      <c r="K245" t="s">
        <v>303</v>
      </c>
    </row>
    <row r="246" spans="1:11">
      <c r="A246" t="str">
        <f>IF(LEFT(E246,1)="1","SOL",IF(LEFT(E246,1)="2","CO",IF(LEFT(E246,1)="3","ALM",IF(LEFT(E246,1)="4","FAC","TRX")))) &amp; "-" &amp; B246 &amp; "-" &amp; TEXT(COUNTIFS($E$2:$E246,E246,$B$2:$B246,B246),"000")</f>
        <v>SOL-25-012</v>
      </c>
      <c r="B246">
        <v>25</v>
      </c>
      <c r="C246" s="364">
        <v>46189</v>
      </c>
      <c r="D246" t="s">
        <v>2</v>
      </c>
      <c r="E246" t="s">
        <v>208</v>
      </c>
      <c r="F246" t="s">
        <v>114</v>
      </c>
      <c r="G246" s="3">
        <v>25</v>
      </c>
      <c r="H246" s="365">
        <v>27</v>
      </c>
      <c r="I246" s="365">
        <v>675</v>
      </c>
      <c r="J246" t="s">
        <v>209</v>
      </c>
      <c r="K246">
        <v>27</v>
      </c>
    </row>
    <row r="247" spans="1:11">
      <c r="A247" t="str">
        <f>IF(LEFT(E247,1)="1","SOL",IF(LEFT(E247,1)="2","CO",IF(LEFT(E247,1)="3","ALM",IF(LEFT(E247,1)="4","FAC","TRX")))) &amp; "-" &amp; B247 &amp; "-" &amp; TEXT(COUNTIFS($E$2:$E247,E247,$B$2:$B247,B247),"000")</f>
        <v>SOL-25-013</v>
      </c>
      <c r="B247">
        <v>25</v>
      </c>
      <c r="C247" s="364">
        <v>46189</v>
      </c>
      <c r="D247" t="s">
        <v>2</v>
      </c>
      <c r="E247" t="s">
        <v>208</v>
      </c>
      <c r="F247" t="s">
        <v>65</v>
      </c>
      <c r="G247" s="3">
        <v>60</v>
      </c>
      <c r="H247" s="365">
        <v>27</v>
      </c>
      <c r="I247" s="365">
        <v>1620</v>
      </c>
      <c r="J247" t="s">
        <v>209</v>
      </c>
      <c r="K247">
        <v>27</v>
      </c>
    </row>
    <row r="248" spans="1:11">
      <c r="A248" t="str">
        <f>IF(LEFT(E248,1)="1","SOL",IF(LEFT(E248,1)="2","CO",IF(LEFT(E248,1)="3","ALM",IF(LEFT(E248,1)="4","FAC","TRX")))) &amp; "-" &amp; B248 &amp; "-" &amp; TEXT(COUNTIFS($E$2:$E248,E248,$B$2:$B248,B248),"000")</f>
        <v>SOL-25-014</v>
      </c>
      <c r="B248">
        <v>25</v>
      </c>
      <c r="C248" s="364">
        <v>46189</v>
      </c>
      <c r="D248" t="s">
        <v>2</v>
      </c>
      <c r="E248" t="s">
        <v>208</v>
      </c>
      <c r="F248" t="s">
        <v>100</v>
      </c>
      <c r="G248" s="3">
        <v>50</v>
      </c>
      <c r="H248" s="365">
        <v>27</v>
      </c>
      <c r="I248" s="365">
        <v>1350</v>
      </c>
      <c r="J248" t="s">
        <v>209</v>
      </c>
      <c r="K248">
        <v>27</v>
      </c>
    </row>
    <row r="249" spans="1:11">
      <c r="A249" t="str">
        <f>IF(LEFT(E249,1)="1","SOL",IF(LEFT(E249,1)="2","CO",IF(LEFT(E249,1)="3","ALM",IF(LEFT(E249,1)="4","FAC","TRX")))) &amp; "-" &amp; B249 &amp; "-" &amp; TEXT(COUNTIFS($E$2:$E249,E249,$B$2:$B249,B249),"000")</f>
        <v>SOL-25-015</v>
      </c>
      <c r="B249">
        <v>25</v>
      </c>
      <c r="C249" s="364">
        <v>46189</v>
      </c>
      <c r="D249" t="s">
        <v>2</v>
      </c>
      <c r="E249" t="s">
        <v>208</v>
      </c>
      <c r="F249" t="s">
        <v>80</v>
      </c>
      <c r="G249" s="3">
        <v>250</v>
      </c>
      <c r="H249" s="365">
        <v>27</v>
      </c>
      <c r="I249" s="365">
        <v>6750</v>
      </c>
      <c r="J249" t="s">
        <v>209</v>
      </c>
      <c r="K249">
        <v>27</v>
      </c>
    </row>
    <row r="250" spans="1:11">
      <c r="A250" t="str">
        <f>IF(LEFT(E250,1)="1","SOL",IF(LEFT(E250,1)="2","CO",IF(LEFT(E250,1)="3","ALM",IF(LEFT(E250,1)="4","FAC","TRX")))) &amp; "-" &amp; B250 &amp; "-" &amp; TEXT(COUNTIFS($E$2:$E250,E250,$B$2:$B250,B250),"000")</f>
        <v>SOL-25-016</v>
      </c>
      <c r="B250">
        <v>25</v>
      </c>
      <c r="C250" s="364">
        <v>46189</v>
      </c>
      <c r="D250" t="s">
        <v>2</v>
      </c>
      <c r="E250" t="s">
        <v>208</v>
      </c>
      <c r="F250" t="s">
        <v>81</v>
      </c>
      <c r="G250" s="3">
        <v>70</v>
      </c>
      <c r="H250" s="365">
        <v>27</v>
      </c>
      <c r="I250" s="365">
        <v>1890</v>
      </c>
      <c r="J250" t="s">
        <v>209</v>
      </c>
      <c r="K250">
        <v>27</v>
      </c>
    </row>
    <row r="251" spans="1:11">
      <c r="A251" t="str">
        <f>IF(LEFT(E251,1)="1","SOL",IF(LEFT(E251,1)="2","CO",IF(LEFT(E251,1)="3","ALM",IF(LEFT(E251,1)="4","FAC","TRX")))) &amp; "-" &amp; B251 &amp; "-" &amp; TEXT(COUNTIFS($E$2:$E251,E251,$B$2:$B251,B251),"000")</f>
        <v>SOL-25-017</v>
      </c>
      <c r="B251">
        <v>25</v>
      </c>
      <c r="C251" s="364">
        <v>46189</v>
      </c>
      <c r="D251" t="s">
        <v>2</v>
      </c>
      <c r="E251" t="s">
        <v>208</v>
      </c>
      <c r="F251" t="s">
        <v>60</v>
      </c>
      <c r="G251" s="3">
        <v>50</v>
      </c>
      <c r="H251" s="365">
        <v>27</v>
      </c>
      <c r="I251" s="365">
        <v>1350</v>
      </c>
      <c r="J251" t="s">
        <v>209</v>
      </c>
      <c r="K251">
        <v>27</v>
      </c>
    </row>
    <row r="252" spans="1:11">
      <c r="A252" t="str">
        <f>IF(LEFT(E252,1)="1","SOL",IF(LEFT(E252,1)="2","CO",IF(LEFT(E252,1)="3","ALM",IF(LEFT(E252,1)="4","FAC","TRX")))) &amp; "-" &amp; B252 &amp; "-" &amp; TEXT(COUNTIFS($E$2:$E252,E252,$B$2:$B252,B252),"000")</f>
        <v>SOL-25-018</v>
      </c>
      <c r="B252">
        <v>25</v>
      </c>
      <c r="C252" s="364">
        <v>46189</v>
      </c>
      <c r="D252" t="s">
        <v>1</v>
      </c>
      <c r="E252" t="s">
        <v>208</v>
      </c>
      <c r="F252" t="s">
        <v>87</v>
      </c>
      <c r="G252" s="3">
        <v>250</v>
      </c>
      <c r="H252" s="365">
        <v>27</v>
      </c>
      <c r="I252" s="365">
        <v>6750</v>
      </c>
      <c r="J252" t="s">
        <v>209</v>
      </c>
      <c r="K252">
        <v>27</v>
      </c>
    </row>
    <row r="253" spans="1:11">
      <c r="A253" t="str">
        <f>IF(LEFT(E253,1)="1","SOL",IF(LEFT(E253,1)="2","CO",IF(LEFT(E253,1)="3","ALM",IF(LEFT(E253,1)="4","FAC","TRX")))) &amp; "-" &amp; B253 &amp; "-" &amp; TEXT(COUNTIFS($E$2:$E253,E253,$B$2:$B253,B253),"000")</f>
        <v>SOL-25-019</v>
      </c>
      <c r="B253">
        <v>25</v>
      </c>
      <c r="C253" s="364">
        <v>46189</v>
      </c>
      <c r="D253" t="s">
        <v>1</v>
      </c>
      <c r="E253" t="s">
        <v>208</v>
      </c>
      <c r="F253" t="s">
        <v>98</v>
      </c>
      <c r="G253" s="3">
        <v>200</v>
      </c>
      <c r="H253" s="365">
        <v>27</v>
      </c>
      <c r="I253" s="365">
        <v>5400</v>
      </c>
      <c r="J253" t="s">
        <v>209</v>
      </c>
      <c r="K253">
        <v>27</v>
      </c>
    </row>
    <row r="254" spans="1:11">
      <c r="A254" t="str">
        <f>IF(LEFT(E254,1)="1","SOL",IF(LEFT(E254,1)="2","CO",IF(LEFT(E254,1)="3","ALM",IF(LEFT(E254,1)="4","FAC","TRX")))) &amp; "-" &amp; B254 &amp; "-" &amp; TEXT(COUNTIFS($E$2:$E254,E254,$B$2:$B254,B254),"000")</f>
        <v>SOL-25-020</v>
      </c>
      <c r="B254">
        <v>25</v>
      </c>
      <c r="C254" s="364">
        <v>46189</v>
      </c>
      <c r="D254" t="s">
        <v>1</v>
      </c>
      <c r="E254" t="s">
        <v>208</v>
      </c>
      <c r="F254" t="s">
        <v>114</v>
      </c>
      <c r="G254" s="3">
        <v>20</v>
      </c>
      <c r="H254" s="365">
        <v>27</v>
      </c>
      <c r="I254" s="365">
        <v>540</v>
      </c>
      <c r="J254" t="s">
        <v>209</v>
      </c>
      <c r="K254">
        <v>27</v>
      </c>
    </row>
    <row r="255" spans="1:11">
      <c r="A255" t="str">
        <f>IF(LEFT(E255,1)="1","SOL",IF(LEFT(E255,1)="2","CO",IF(LEFT(E255,1)="3","ALM",IF(LEFT(E255,1)="4","FAC","TRX")))) &amp; "-" &amp; B255 &amp; "-" &amp; TEXT(COUNTIFS($E$2:$E255,E255,$B$2:$B255,B255),"000")</f>
        <v>SOL-25-021</v>
      </c>
      <c r="B255">
        <v>25</v>
      </c>
      <c r="C255" s="364">
        <v>46189</v>
      </c>
      <c r="D255" t="s">
        <v>1</v>
      </c>
      <c r="E255" t="s">
        <v>208</v>
      </c>
      <c r="F255" t="s">
        <v>100</v>
      </c>
      <c r="G255" s="3">
        <v>50</v>
      </c>
      <c r="H255" s="365">
        <v>27</v>
      </c>
      <c r="I255" s="365">
        <v>1350</v>
      </c>
      <c r="J255" t="s">
        <v>209</v>
      </c>
      <c r="K255">
        <v>27</v>
      </c>
    </row>
    <row r="256" spans="1:11">
      <c r="A256" t="str">
        <f>IF(LEFT(E256,1)="1","SOL",IF(LEFT(E256,1)="2","CO",IF(LEFT(E256,1)="3","ALM",IF(LEFT(E256,1)="4","FAC","TRX")))) &amp; "-" &amp; B256 &amp; "-" &amp; TEXT(COUNTIFS($E$2:$E256,E256,$B$2:$B256,B256),"000")</f>
        <v>SOL-25-022</v>
      </c>
      <c r="B256">
        <v>25</v>
      </c>
      <c r="C256" s="364">
        <v>46189</v>
      </c>
      <c r="D256" t="s">
        <v>1</v>
      </c>
      <c r="E256" t="s">
        <v>208</v>
      </c>
      <c r="F256" t="s">
        <v>97</v>
      </c>
      <c r="G256" s="3">
        <v>50</v>
      </c>
      <c r="H256" s="365">
        <v>27</v>
      </c>
      <c r="I256" s="365">
        <v>1350</v>
      </c>
      <c r="J256" t="s">
        <v>209</v>
      </c>
      <c r="K256">
        <v>27</v>
      </c>
    </row>
    <row r="257" spans="1:11">
      <c r="A257" t="str">
        <f>IF(LEFT(E257,1)="1","SOL",IF(LEFT(E257,1)="2","CO",IF(LEFT(E257,1)="3","ALM",IF(LEFT(E257,1)="4","FAC","TRX")))) &amp; "-" &amp; B257 &amp; "-" &amp; TEXT(COUNTIFS($E$2:$E257,E257,$B$2:$B257,B257),"000")</f>
        <v>SOL-25-023</v>
      </c>
      <c r="B257">
        <v>25</v>
      </c>
      <c r="C257" s="364">
        <v>46189</v>
      </c>
      <c r="D257" t="s">
        <v>1</v>
      </c>
      <c r="E257" t="s">
        <v>208</v>
      </c>
      <c r="F257" t="s">
        <v>91</v>
      </c>
      <c r="G257" s="3">
        <v>40</v>
      </c>
      <c r="H257" s="365">
        <v>27</v>
      </c>
      <c r="I257" s="365">
        <v>1080</v>
      </c>
      <c r="J257" t="s">
        <v>209</v>
      </c>
      <c r="K257">
        <v>27</v>
      </c>
    </row>
    <row r="258" spans="1:11">
      <c r="A258" t="str">
        <f>IF(LEFT(E258,1)="1","SOL",IF(LEFT(E258,1)="2","CO",IF(LEFT(E258,1)="3","ALM",IF(LEFT(E258,1)="4","FAC","TRX")))) &amp; "-" &amp; B258 &amp; "-" &amp; TEXT(COUNTIFS($E$2:$E258,E258,$B$2:$B258,B258),"000")</f>
        <v>SOL-25-024</v>
      </c>
      <c r="B258">
        <v>25</v>
      </c>
      <c r="C258" s="364">
        <v>46189</v>
      </c>
      <c r="D258" t="s">
        <v>1</v>
      </c>
      <c r="E258" t="s">
        <v>208</v>
      </c>
      <c r="F258" t="s">
        <v>60</v>
      </c>
      <c r="G258" s="3">
        <v>50</v>
      </c>
      <c r="H258" s="365">
        <v>27</v>
      </c>
      <c r="I258" s="365">
        <v>1350</v>
      </c>
      <c r="J258" t="s">
        <v>209</v>
      </c>
      <c r="K258">
        <v>27</v>
      </c>
    </row>
    <row r="259" spans="1:11">
      <c r="A259" t="str">
        <f>IF(LEFT(E259,1)="1","SOL",IF(LEFT(E259,1)="2","CO",IF(LEFT(E259,1)="3","ALM",IF(LEFT(E259,1)="4","FAC","TRX")))) &amp; "-" &amp; B259 &amp; "-" &amp; TEXT(COUNTIFS($E$2:$E259,E259,$B$2:$B259,B259),"000")</f>
        <v>SOL-25-025</v>
      </c>
      <c r="B259">
        <v>25</v>
      </c>
      <c r="C259" s="364">
        <v>46189</v>
      </c>
      <c r="D259" t="s">
        <v>1</v>
      </c>
      <c r="E259" t="s">
        <v>208</v>
      </c>
      <c r="F259" t="s">
        <v>104</v>
      </c>
      <c r="G259" s="3">
        <v>50</v>
      </c>
      <c r="H259" s="365">
        <v>27</v>
      </c>
      <c r="I259" s="365">
        <v>1350</v>
      </c>
      <c r="J259" t="s">
        <v>209</v>
      </c>
      <c r="K259">
        <v>27</v>
      </c>
    </row>
    <row r="260" spans="1:11">
      <c r="A260" t="str">
        <f>IF(LEFT(E260,1)="1","SOL",IF(LEFT(E260,1)="2","CO",IF(LEFT(E260,1)="3","ALM",IF(LEFT(E260,1)="4","FAC","TRX")))) &amp; "-" &amp; B260 &amp; "-" &amp; TEXT(COUNTIFS($E$2:$E260,E260,$B$2:$B260,B260),"000")</f>
        <v>CO-25-027</v>
      </c>
      <c r="B260">
        <v>25</v>
      </c>
      <c r="C260" s="364">
        <v>46189</v>
      </c>
      <c r="D260" t="s">
        <v>1</v>
      </c>
      <c r="E260" t="s">
        <v>246</v>
      </c>
      <c r="F260" t="s">
        <v>248</v>
      </c>
      <c r="G260" s="3">
        <v>200</v>
      </c>
      <c r="H260" s="365">
        <v>27</v>
      </c>
      <c r="I260" s="365">
        <v>5400</v>
      </c>
      <c r="J260" t="s">
        <v>209</v>
      </c>
    </row>
    <row r="261" spans="1:11">
      <c r="A261" t="str">
        <f>IF(LEFT(E261,1)="1","SOL",IF(LEFT(E261,1)="2","CO",IF(LEFT(E261,1)="3","ALM",IF(LEFT(E261,1)="4","FAC","TRX")))) &amp; "-" &amp; B261 &amp; "-" &amp; TEXT(COUNTIFS($E$2:$E261,E261,$B$2:$B261,B261),"000")</f>
        <v>CO-25-028</v>
      </c>
      <c r="B261">
        <v>25</v>
      </c>
      <c r="C261" s="364">
        <v>46189</v>
      </c>
      <c r="D261" t="s">
        <v>1</v>
      </c>
      <c r="E261" t="s">
        <v>246</v>
      </c>
      <c r="F261" t="s">
        <v>226</v>
      </c>
      <c r="G261" s="3">
        <v>32</v>
      </c>
      <c r="H261" s="365">
        <v>27</v>
      </c>
      <c r="I261" s="365">
        <v>864</v>
      </c>
      <c r="J261" t="s">
        <v>209</v>
      </c>
    </row>
    <row r="262" spans="1:11">
      <c r="A262" t="str">
        <f>IF(LEFT(E262,1)="1","SOL",IF(LEFT(E262,1)="2","CO",IF(LEFT(E262,1)="3","ALM",IF(LEFT(E262,1)="4","FAC","TRX")))) &amp; "-" &amp; B262 &amp; "-" &amp; TEXT(COUNTIFS($E$2:$E262,E262,$B$2:$B262,B262),"000")</f>
        <v>CO-25-029</v>
      </c>
      <c r="B262">
        <v>25</v>
      </c>
      <c r="C262" s="364">
        <v>46189</v>
      </c>
      <c r="D262" t="s">
        <v>1</v>
      </c>
      <c r="E262" t="s">
        <v>246</v>
      </c>
      <c r="F262" t="s">
        <v>227</v>
      </c>
      <c r="G262" s="3">
        <v>30</v>
      </c>
      <c r="H262" s="365">
        <v>27</v>
      </c>
      <c r="I262" s="365">
        <v>810</v>
      </c>
      <c r="J262" t="s">
        <v>209</v>
      </c>
    </row>
    <row r="263" spans="1:11">
      <c r="A263" t="str">
        <f>IF(LEFT(E263,1)="1","SOL",IF(LEFT(E263,1)="2","CO",IF(LEFT(E263,1)="3","ALM",IF(LEFT(E263,1)="4","FAC","TRX")))) &amp; "-" &amp; B263 &amp; "-" &amp; TEXT(COUNTIFS($E$2:$E263,E263,$B$2:$B263,B263),"000")</f>
        <v>CO-25-030</v>
      </c>
      <c r="B263">
        <v>25</v>
      </c>
      <c r="C263" s="364">
        <v>46189</v>
      </c>
      <c r="D263" t="s">
        <v>1</v>
      </c>
      <c r="E263" t="s">
        <v>246</v>
      </c>
      <c r="F263" t="s">
        <v>242</v>
      </c>
      <c r="G263" s="3">
        <v>30</v>
      </c>
      <c r="H263" s="365">
        <v>27</v>
      </c>
      <c r="I263" s="365">
        <v>810</v>
      </c>
      <c r="J263" t="s">
        <v>209</v>
      </c>
    </row>
    <row r="264" spans="1:11">
      <c r="A264" t="str">
        <f>IF(LEFT(E264,1)="1","SOL",IF(LEFT(E264,1)="2","CO",IF(LEFT(E264,1)="3","ALM",IF(LEFT(E264,1)="4","FAC","TRX")))) &amp; "-" &amp; B264 &amp; "-" &amp; TEXT(COUNTIFS($E$2:$E264,E264,$B$2:$B264,B264),"000")</f>
        <v>CO-25-031</v>
      </c>
      <c r="B264">
        <v>25</v>
      </c>
      <c r="C264" s="364">
        <v>46189</v>
      </c>
      <c r="D264" t="s">
        <v>1</v>
      </c>
      <c r="E264" t="s">
        <v>246</v>
      </c>
      <c r="F264" t="s">
        <v>251</v>
      </c>
      <c r="G264" s="3">
        <v>107</v>
      </c>
      <c r="H264" s="365">
        <v>27</v>
      </c>
      <c r="I264" s="365">
        <v>2889</v>
      </c>
      <c r="J264" t="s">
        <v>209</v>
      </c>
    </row>
    <row r="265" spans="1:11">
      <c r="A265" t="str">
        <f>IF(LEFT(E265,1)="1","SOL",IF(LEFT(E265,1)="2","CO",IF(LEFT(E265,1)="3","ALM",IF(LEFT(E265,1)="4","FAC","TRX")))) &amp; "-" &amp; B265 &amp; "-" &amp; TEXT(COUNTIFS($E$2:$E265,E265,$B$2:$B265,B265),"000")</f>
        <v>CO-25-032</v>
      </c>
      <c r="B265">
        <v>25</v>
      </c>
      <c r="C265" s="364">
        <v>46189</v>
      </c>
      <c r="D265" t="s">
        <v>1</v>
      </c>
      <c r="E265" t="s">
        <v>246</v>
      </c>
      <c r="F265" t="s">
        <v>249</v>
      </c>
      <c r="G265" s="3">
        <v>40</v>
      </c>
      <c r="H265" s="365">
        <v>27</v>
      </c>
      <c r="I265" s="365">
        <v>1080</v>
      </c>
      <c r="J265" t="s">
        <v>209</v>
      </c>
    </row>
    <row r="266" spans="1:11">
      <c r="A266" t="str">
        <f>IF(LEFT(E266,1)="1","SOL",IF(LEFT(E266,1)="2","CO",IF(LEFT(E266,1)="3","ALM",IF(LEFT(E266,1)="4","FAC","TRX")))) &amp; "-" &amp; B266 &amp; "-" &amp; TEXT(COUNTIFS($E$2:$E266,E266,$B$2:$B266,B266),"000")</f>
        <v>CO-25-033</v>
      </c>
      <c r="B266">
        <v>25</v>
      </c>
      <c r="C266" s="364">
        <v>46189</v>
      </c>
      <c r="D266" t="s">
        <v>1</v>
      </c>
      <c r="E266" t="s">
        <v>246</v>
      </c>
      <c r="F266" t="s">
        <v>252</v>
      </c>
      <c r="G266" s="3">
        <v>50</v>
      </c>
      <c r="H266" s="365">
        <v>27</v>
      </c>
      <c r="I266" s="365">
        <v>1350</v>
      </c>
      <c r="J266" t="s">
        <v>209</v>
      </c>
    </row>
    <row r="267" spans="1:11">
      <c r="A267" t="str">
        <f>IF(LEFT(E267,1)="1","SOL",IF(LEFT(E267,1)="2","CO",IF(LEFT(E267,1)="3","ALM",IF(LEFT(E267,1)="4","FAC","TRX")))) &amp; "-" &amp; B267 &amp; "-" &amp; TEXT(COUNTIFS($E$2:$E267,E267,$B$2:$B267,B267),"000")</f>
        <v>CO-25-034</v>
      </c>
      <c r="B267">
        <v>25</v>
      </c>
      <c r="C267" s="364">
        <v>46189</v>
      </c>
      <c r="D267" t="s">
        <v>2</v>
      </c>
      <c r="E267" t="s">
        <v>246</v>
      </c>
      <c r="F267" t="s">
        <v>234</v>
      </c>
      <c r="G267" s="3">
        <v>50</v>
      </c>
      <c r="H267" s="365">
        <v>27</v>
      </c>
      <c r="I267" s="365">
        <v>1350</v>
      </c>
      <c r="J267" t="s">
        <v>209</v>
      </c>
    </row>
    <row r="268" spans="1:11">
      <c r="A268" t="str">
        <f>IF(LEFT(E268,1)="1","SOL",IF(LEFT(E268,1)="2","CO",IF(LEFT(E268,1)="3","ALM",IF(LEFT(E268,1)="4","FAC","TRX")))) &amp; "-" &amp; B268 &amp; "-" &amp; TEXT(COUNTIFS($E$2:$E268,E268,$B$2:$B268,B268),"000")</f>
        <v>CO-25-035</v>
      </c>
      <c r="B268">
        <v>25</v>
      </c>
      <c r="C268" s="364">
        <v>46189</v>
      </c>
      <c r="D268" t="s">
        <v>247</v>
      </c>
      <c r="E268" t="s">
        <v>246</v>
      </c>
      <c r="F268" t="s">
        <v>252</v>
      </c>
      <c r="G268" s="3">
        <v>50</v>
      </c>
      <c r="H268" s="365">
        <v>27</v>
      </c>
      <c r="I268" s="365">
        <v>1350</v>
      </c>
      <c r="J268" t="s">
        <v>209</v>
      </c>
    </row>
    <row r="269" spans="1:11">
      <c r="A269" t="str">
        <f>IF(LEFT(E269,1)="1","SOL",IF(LEFT(E269,1)="2","CO",IF(LEFT(E269,1)="3","ALM",IF(LEFT(E269,1)="4","FAC","TRX")))) &amp; "-" &amp; B269 &amp; "-" &amp; TEXT(COUNTIFS($E$2:$E269,E269,$B$2:$B269,B269),"000")</f>
        <v>CO-25-036</v>
      </c>
      <c r="B269">
        <v>25</v>
      </c>
      <c r="C269" s="364">
        <v>46189</v>
      </c>
      <c r="D269" t="s">
        <v>247</v>
      </c>
      <c r="E269" t="s">
        <v>246</v>
      </c>
      <c r="F269" t="s">
        <v>127</v>
      </c>
      <c r="G269" s="3">
        <v>1001</v>
      </c>
      <c r="H269" s="365">
        <v>27</v>
      </c>
      <c r="I269" s="365">
        <v>27027</v>
      </c>
      <c r="J269" t="s">
        <v>209</v>
      </c>
    </row>
    <row r="270" spans="1:11">
      <c r="A270" t="str">
        <f>IF(LEFT(E270,1)="1","SOL",IF(LEFT(E270,1)="2","CO",IF(LEFT(E270,1)="3","ALM",IF(LEFT(E270,1)="4","FAC","TRX")))) &amp; "-" &amp; B270 &amp; "-" &amp; TEXT(COUNTIFS($E$2:$E270,E270,$B$2:$B270,B270),"000")</f>
        <v>CO-25-037</v>
      </c>
      <c r="B270">
        <v>25</v>
      </c>
      <c r="C270" s="364">
        <v>46189</v>
      </c>
      <c r="D270" t="s">
        <v>2</v>
      </c>
      <c r="E270" t="s">
        <v>246</v>
      </c>
      <c r="F270" t="s">
        <v>255</v>
      </c>
      <c r="G270" s="3">
        <v>350</v>
      </c>
      <c r="H270" s="365">
        <v>27</v>
      </c>
      <c r="I270" s="365">
        <v>9450</v>
      </c>
      <c r="J270" t="s">
        <v>209</v>
      </c>
    </row>
    <row r="271" spans="1:11">
      <c r="A271" t="str">
        <f>IF(LEFT(E271,1)="1","SOL",IF(LEFT(E271,1)="2","CO",IF(LEFT(E271,1)="3","ALM",IF(LEFT(E271,1)="4","FAC","TRX")))) &amp; "-" &amp; B271 &amp; "-" &amp; TEXT(COUNTIFS($E$2:$E271,E271,$B$2:$B271,B271),"000")</f>
        <v>CO-25-038</v>
      </c>
      <c r="B271">
        <v>25</v>
      </c>
      <c r="C271" s="364">
        <v>46189</v>
      </c>
      <c r="D271" t="s">
        <v>126</v>
      </c>
      <c r="E271" t="s">
        <v>246</v>
      </c>
      <c r="F271" t="s">
        <v>255</v>
      </c>
      <c r="G271" s="3">
        <v>200</v>
      </c>
      <c r="H271" s="365">
        <v>27</v>
      </c>
      <c r="I271" s="365">
        <v>5400</v>
      </c>
      <c r="J271" t="s">
        <v>209</v>
      </c>
    </row>
    <row r="272" spans="1:11">
      <c r="A272" t="str">
        <f>IF(LEFT(E272,1)="1","SOL",IF(LEFT(E272,1)="2","CO",IF(LEFT(E272,1)="3","ALM",IF(LEFT(E272,1)="4","FAC","TRX")))) &amp; "-" &amp; B272 &amp; "-" &amp; TEXT(COUNTIFS($E$2:$E272,E272,$B$2:$B272,B272),"000")</f>
        <v>CO-25-039</v>
      </c>
      <c r="B272">
        <v>25</v>
      </c>
      <c r="C272" s="364">
        <v>46189</v>
      </c>
      <c r="D272" t="s">
        <v>2</v>
      </c>
      <c r="E272" t="s">
        <v>246</v>
      </c>
      <c r="F272" t="s">
        <v>234</v>
      </c>
      <c r="G272" s="3">
        <v>50</v>
      </c>
      <c r="H272" s="365">
        <v>27</v>
      </c>
      <c r="I272" s="365">
        <v>1350</v>
      </c>
      <c r="J272" t="s">
        <v>209</v>
      </c>
    </row>
    <row r="273" spans="1:11">
      <c r="A273" t="str">
        <f>IF(LEFT(E273,1)="1","SOL",IF(LEFT(E273,1)="2","CO",IF(LEFT(E273,1)="3","ALM",IF(LEFT(E273,1)="4","FAC","TRX")))) &amp; "-" &amp; B273 &amp; "-" &amp; TEXT(COUNTIFS($E$2:$E273,E273,$B$2:$B273,B273),"000")</f>
        <v>CO-25-040</v>
      </c>
      <c r="B273">
        <v>25</v>
      </c>
      <c r="C273" s="364">
        <v>46189</v>
      </c>
      <c r="D273" t="s">
        <v>2</v>
      </c>
      <c r="E273" t="s">
        <v>246</v>
      </c>
      <c r="F273" t="s">
        <v>250</v>
      </c>
      <c r="G273" s="3">
        <v>165</v>
      </c>
      <c r="H273" s="365">
        <v>27</v>
      </c>
      <c r="I273" s="365">
        <v>4455</v>
      </c>
      <c r="J273" t="s">
        <v>209</v>
      </c>
    </row>
    <row r="274" spans="1:11">
      <c r="A274" t="str">
        <f>IF(LEFT(E274,1)="1","SOL",IF(LEFT(E274,1)="2","CO",IF(LEFT(E274,1)="3","ALM",IF(LEFT(E274,1)="4","FAC","TRX")))) &amp; "-" &amp; B274 &amp; "-" &amp; TEXT(COUNTIFS($E$2:$E274,E274,$B$2:$B274,B274),"000")</f>
        <v>CO-25-041</v>
      </c>
      <c r="B274">
        <v>25</v>
      </c>
      <c r="C274" s="364">
        <v>46189</v>
      </c>
      <c r="D274" t="s">
        <v>1</v>
      </c>
      <c r="E274" t="s">
        <v>246</v>
      </c>
      <c r="F274" t="s">
        <v>282</v>
      </c>
      <c r="G274" s="3">
        <v>200</v>
      </c>
      <c r="H274" s="365">
        <v>28.3</v>
      </c>
      <c r="I274" s="365">
        <v>5660</v>
      </c>
      <c r="J274" t="s">
        <v>209</v>
      </c>
    </row>
    <row r="275" spans="1:11">
      <c r="A275" t="str">
        <f>IF(LEFT(E275,1)="1","SOL",IF(LEFT(E275,1)="2","CO",IF(LEFT(E275,1)="3","ALM",IF(LEFT(E275,1)="4","FAC","TRX")))) &amp; "-" &amp; B275 &amp; "-" &amp; TEXT(COUNTIFS($E$2:$E275,E275,$B$2:$B275,B275),"000")</f>
        <v>CO-25-042</v>
      </c>
      <c r="B275">
        <v>25</v>
      </c>
      <c r="C275" s="364">
        <v>46189</v>
      </c>
      <c r="D275" t="s">
        <v>1</v>
      </c>
      <c r="E275" t="s">
        <v>246</v>
      </c>
      <c r="F275" t="s">
        <v>284</v>
      </c>
      <c r="G275" s="3">
        <v>32</v>
      </c>
      <c r="H275" s="365">
        <v>28.3</v>
      </c>
      <c r="I275" s="365">
        <v>905.6</v>
      </c>
      <c r="J275" t="s">
        <v>209</v>
      </c>
    </row>
    <row r="276" spans="1:11">
      <c r="A276" t="str">
        <f>IF(LEFT(E276,1)="1","SOL",IF(LEFT(E276,1)="2","CO",IF(LEFT(E276,1)="3","ALM",IF(LEFT(E276,1)="4","FAC","TRX")))) &amp; "-" &amp; B276 &amp; "-" &amp; TEXT(COUNTIFS($E$2:$E276,E276,$B$2:$B276,B276),"000")</f>
        <v>CO-25-043</v>
      </c>
      <c r="B276">
        <v>25</v>
      </c>
      <c r="C276" s="364">
        <v>46189</v>
      </c>
      <c r="D276" t="s">
        <v>1</v>
      </c>
      <c r="E276" t="s">
        <v>246</v>
      </c>
      <c r="F276" t="s">
        <v>285</v>
      </c>
      <c r="G276" s="3">
        <v>30</v>
      </c>
      <c r="H276" s="365">
        <v>28.3</v>
      </c>
      <c r="I276" s="365">
        <v>849</v>
      </c>
      <c r="J276" t="s">
        <v>209</v>
      </c>
    </row>
    <row r="277" spans="1:11">
      <c r="A277" t="str">
        <f>IF(LEFT(E277,1)="1","SOL",IF(LEFT(E277,1)="2","CO",IF(LEFT(E277,1)="3","ALM",IF(LEFT(E277,1)="4","FAC","TRX")))) &amp; "-" &amp; B277 &amp; "-" &amp; TEXT(COUNTIFS($E$2:$E277,E277,$B$2:$B277,B277),"000")</f>
        <v>CO-25-044</v>
      </c>
      <c r="B277">
        <v>25</v>
      </c>
      <c r="C277" s="364">
        <v>46189</v>
      </c>
      <c r="D277" t="s">
        <v>1</v>
      </c>
      <c r="E277" t="s">
        <v>246</v>
      </c>
      <c r="F277" t="s">
        <v>288</v>
      </c>
      <c r="G277" s="3">
        <v>30</v>
      </c>
      <c r="H277" s="365">
        <v>28.3</v>
      </c>
      <c r="I277" s="365">
        <v>849</v>
      </c>
      <c r="J277" t="s">
        <v>209</v>
      </c>
    </row>
    <row r="278" spans="1:11">
      <c r="A278" t="str">
        <f>IF(LEFT(E278,1)="1","SOL",IF(LEFT(E278,1)="2","CO",IF(LEFT(E278,1)="3","ALM",IF(LEFT(E278,1)="4","FAC","TRX")))) &amp; "-" &amp; B278 &amp; "-" &amp; TEXT(COUNTIFS($E$2:$E278,E278,$B$2:$B278,B278),"000")</f>
        <v>CO-25-045</v>
      </c>
      <c r="B278">
        <v>25</v>
      </c>
      <c r="C278" s="364">
        <v>46189</v>
      </c>
      <c r="D278" t="s">
        <v>1</v>
      </c>
      <c r="E278" t="s">
        <v>246</v>
      </c>
      <c r="F278" t="s">
        <v>286</v>
      </c>
      <c r="G278" s="3">
        <v>107</v>
      </c>
      <c r="H278" s="365">
        <v>28.3</v>
      </c>
      <c r="I278" s="365">
        <v>3028.1</v>
      </c>
      <c r="J278" t="s">
        <v>209</v>
      </c>
    </row>
    <row r="279" spans="1:11">
      <c r="A279" t="str">
        <f>IF(LEFT(E279,1)="1","SOL",IF(LEFT(E279,1)="2","CO",IF(LEFT(E279,1)="3","ALM",IF(LEFT(E279,1)="4","FAC","TRX")))) &amp; "-" &amp; B279 &amp; "-" &amp; TEXT(COUNTIFS($E$2:$E279,E279,$B$2:$B279,B279),"000")</f>
        <v>CO-25-046</v>
      </c>
      <c r="B279">
        <v>25</v>
      </c>
      <c r="C279" s="364">
        <v>46189</v>
      </c>
      <c r="D279" t="s">
        <v>1</v>
      </c>
      <c r="E279" t="s">
        <v>246</v>
      </c>
      <c r="F279" t="s">
        <v>283</v>
      </c>
      <c r="G279" s="3">
        <v>40</v>
      </c>
      <c r="H279" s="365">
        <v>28.3</v>
      </c>
      <c r="I279" s="365">
        <v>1132</v>
      </c>
      <c r="J279" t="s">
        <v>209</v>
      </c>
    </row>
    <row r="280" spans="1:11">
      <c r="A280" t="str">
        <f>IF(LEFT(E280,1)="1","SOL",IF(LEFT(E280,1)="2","CO",IF(LEFT(E280,1)="3","ALM",IF(LEFT(E280,1)="4","FAC","TRX")))) &amp; "-" &amp; B280 &amp; "-" &amp; TEXT(COUNTIFS($E$2:$E280,E280,$B$2:$B280,B280),"000")</f>
        <v>CO-25-047</v>
      </c>
      <c r="B280">
        <v>25</v>
      </c>
      <c r="C280" s="364">
        <v>46189</v>
      </c>
      <c r="D280" t="s">
        <v>1</v>
      </c>
      <c r="E280" t="s">
        <v>246</v>
      </c>
      <c r="F280" t="s">
        <v>287</v>
      </c>
      <c r="G280" s="3">
        <v>50</v>
      </c>
      <c r="H280" s="365">
        <v>28.3</v>
      </c>
      <c r="I280" s="365">
        <v>1415</v>
      </c>
      <c r="J280" t="s">
        <v>209</v>
      </c>
    </row>
    <row r="281" spans="1:11">
      <c r="A281" t="str">
        <f>IF(LEFT(E281,1)="1","SOL",IF(LEFT(E281,1)="2","CO",IF(LEFT(E281,1)="3","ALM",IF(LEFT(E281,1)="4","FAC","TRX")))) &amp; "-" &amp; B281 &amp; "-" &amp; TEXT(COUNTIFS($E$2:$E281,E281,$B$2:$B281,B281),"000")</f>
        <v>CO-25-048</v>
      </c>
      <c r="B281">
        <v>25</v>
      </c>
      <c r="C281" s="364">
        <v>46189</v>
      </c>
      <c r="D281" t="s">
        <v>289</v>
      </c>
      <c r="E281" t="s">
        <v>246</v>
      </c>
      <c r="F281" t="s">
        <v>290</v>
      </c>
      <c r="G281" s="3">
        <v>90</v>
      </c>
      <c r="H281" s="365">
        <v>27</v>
      </c>
      <c r="I281" s="365">
        <v>2430</v>
      </c>
      <c r="J281" t="s">
        <v>209</v>
      </c>
    </row>
    <row r="282" spans="1:11">
      <c r="A282" t="str">
        <f>IF(LEFT(E282,1)="1","SOL",IF(LEFT(E282,1)="2","CO",IF(LEFT(E282,1)="3","ALM",IF(LEFT(E282,1)="4","FAC","TRX")))) &amp; "-" &amp; B282 &amp; "-" &amp; TEXT(COUNTIFS($E$2:$E282,E282,$B$2:$B282,B282),"000")</f>
        <v>CO-25-049</v>
      </c>
      <c r="B282">
        <v>25</v>
      </c>
      <c r="C282" s="364">
        <v>46189</v>
      </c>
      <c r="D282" t="s">
        <v>289</v>
      </c>
      <c r="E282" t="s">
        <v>246</v>
      </c>
      <c r="F282" t="s">
        <v>295</v>
      </c>
      <c r="G282" s="3">
        <v>140</v>
      </c>
      <c r="H282" s="365">
        <v>27</v>
      </c>
      <c r="I282" s="365">
        <v>3780</v>
      </c>
      <c r="J282" t="s">
        <v>209</v>
      </c>
    </row>
    <row r="283" spans="1:11">
      <c r="A283" t="str">
        <f>IF(LEFT(E283,1)="1","SOL",IF(LEFT(E283,1)="2","CO",IF(LEFT(E283,1)="3","ALM",IF(LEFT(E283,1)="4","FAC","TRX")))) &amp; "-" &amp; B283 &amp; "-" &amp; TEXT(COUNTIFS($E$2:$E283,E283,$B$2:$B283,B283),"000")</f>
        <v>FAC-25-004</v>
      </c>
      <c r="B283">
        <v>25</v>
      </c>
      <c r="C283" s="364">
        <v>46189</v>
      </c>
      <c r="D283" t="s">
        <v>1</v>
      </c>
      <c r="E283" t="s">
        <v>301</v>
      </c>
      <c r="F283" t="s">
        <v>318</v>
      </c>
      <c r="G283" s="3">
        <v>500.00200000000001</v>
      </c>
      <c r="H283" s="365">
        <v>27.000011999951997</v>
      </c>
      <c r="I283" s="365">
        <v>13500.06</v>
      </c>
      <c r="J283" t="s">
        <v>209</v>
      </c>
      <c r="K283" t="s">
        <v>303</v>
      </c>
    </row>
    <row r="284" spans="1:11">
      <c r="A284" t="str">
        <f>IF(LEFT(E284,1)="1","SOL",IF(LEFT(E284,1)="2","CO",IF(LEFT(E284,1)="3","ALM",IF(LEFT(E284,1)="4","FAC","TRX")))) &amp; "-" &amp; B284 &amp; "-" &amp; TEXT(COUNTIFS($E$2:$E284,E284,$B$2:$B284,B284),"000")</f>
        <v>SOL-25-026</v>
      </c>
      <c r="B284">
        <v>25</v>
      </c>
      <c r="C284" s="364">
        <v>46190</v>
      </c>
      <c r="D284" t="s">
        <v>2</v>
      </c>
      <c r="E284" t="s">
        <v>208</v>
      </c>
      <c r="F284" t="s">
        <v>67</v>
      </c>
      <c r="G284" s="3">
        <v>50</v>
      </c>
      <c r="H284" s="365">
        <v>27</v>
      </c>
      <c r="I284" s="365">
        <v>1350</v>
      </c>
      <c r="J284" t="s">
        <v>209</v>
      </c>
      <c r="K284">
        <v>27</v>
      </c>
    </row>
    <row r="285" spans="1:11">
      <c r="A285" t="str">
        <f>IF(LEFT(E285,1)="1","SOL",IF(LEFT(E285,1)="2","CO",IF(LEFT(E285,1)="3","ALM",IF(LEFT(E285,1)="4","FAC","TRX")))) &amp; "-" &amp; B285 &amp; "-" &amp; TEXT(COUNTIFS($E$2:$E285,E285,$B$2:$B285,B285),"000")</f>
        <v>SOL-25-027</v>
      </c>
      <c r="B285">
        <v>25</v>
      </c>
      <c r="C285" s="364">
        <v>46190</v>
      </c>
      <c r="D285" t="s">
        <v>2</v>
      </c>
      <c r="E285" t="s">
        <v>208</v>
      </c>
      <c r="F285" t="s">
        <v>97</v>
      </c>
      <c r="G285" s="3">
        <v>30</v>
      </c>
      <c r="H285" s="365">
        <v>27</v>
      </c>
      <c r="I285" s="365">
        <v>810</v>
      </c>
      <c r="J285" t="s">
        <v>209</v>
      </c>
      <c r="K285">
        <v>27</v>
      </c>
    </row>
    <row r="286" spans="1:11">
      <c r="A286" t="str">
        <f>IF(LEFT(E286,1)="1","SOL",IF(LEFT(E286,1)="2","CO",IF(LEFT(E286,1)="3","ALM",IF(LEFT(E286,1)="4","FAC","TRX")))) &amp; "-" &amp; B286 &amp; "-" &amp; TEXT(COUNTIFS($E$2:$E286,E286,$B$2:$B286,B286),"000")</f>
        <v>SOL-25-028</v>
      </c>
      <c r="B286">
        <v>25</v>
      </c>
      <c r="C286" s="364">
        <v>46190</v>
      </c>
      <c r="D286" t="s">
        <v>2</v>
      </c>
      <c r="E286" t="s">
        <v>208</v>
      </c>
      <c r="F286" t="s">
        <v>116</v>
      </c>
      <c r="G286" s="3">
        <v>50</v>
      </c>
      <c r="H286" s="365">
        <v>27</v>
      </c>
      <c r="I286" s="365">
        <v>1350</v>
      </c>
      <c r="J286" t="s">
        <v>209</v>
      </c>
      <c r="K286">
        <v>27</v>
      </c>
    </row>
    <row r="287" spans="1:11">
      <c r="A287" t="str">
        <f>IF(LEFT(E287,1)="1","SOL",IF(LEFT(E287,1)="2","CO",IF(LEFT(E287,1)="3","ALM",IF(LEFT(E287,1)="4","FAC","TRX")))) &amp; "-" &amp; B287 &amp; "-" &amp; TEXT(COUNTIFS($E$2:$E287,E287,$B$2:$B287,B287),"000")</f>
        <v>SOL-25-029</v>
      </c>
      <c r="B287">
        <v>25</v>
      </c>
      <c r="C287" s="364">
        <v>46190</v>
      </c>
      <c r="D287" t="s">
        <v>2</v>
      </c>
      <c r="E287" t="s">
        <v>208</v>
      </c>
      <c r="F287" t="s">
        <v>76</v>
      </c>
      <c r="G287" s="3">
        <v>130</v>
      </c>
      <c r="H287" s="365">
        <v>27</v>
      </c>
      <c r="I287" s="365">
        <v>3510</v>
      </c>
      <c r="J287" t="s">
        <v>209</v>
      </c>
      <c r="K287">
        <v>27</v>
      </c>
    </row>
    <row r="288" spans="1:11">
      <c r="A288" t="str">
        <f>IF(LEFT(E288,1)="1","SOL",IF(LEFT(E288,1)="2","CO",IF(LEFT(E288,1)="3","ALM",IF(LEFT(E288,1)="4","FAC","TRX")))) &amp; "-" &amp; B288 &amp; "-" &amp; TEXT(COUNTIFS($E$2:$E288,E288,$B$2:$B288,B288),"000")</f>
        <v>SOL-25-030</v>
      </c>
      <c r="B288">
        <v>25</v>
      </c>
      <c r="C288" s="364">
        <v>46190</v>
      </c>
      <c r="D288" t="s">
        <v>2</v>
      </c>
      <c r="E288" t="s">
        <v>208</v>
      </c>
      <c r="F288" t="s">
        <v>114</v>
      </c>
      <c r="G288" s="3">
        <v>20</v>
      </c>
      <c r="H288" s="365">
        <v>27</v>
      </c>
      <c r="I288" s="365">
        <v>540</v>
      </c>
      <c r="J288" t="s">
        <v>209</v>
      </c>
      <c r="K288">
        <v>27</v>
      </c>
    </row>
    <row r="289" spans="1:11">
      <c r="A289" t="str">
        <f>IF(LEFT(E289,1)="1","SOL",IF(LEFT(E289,1)="2","CO",IF(LEFT(E289,1)="3","ALM",IF(LEFT(E289,1)="4","FAC","TRX")))) &amp; "-" &amp; B289 &amp; "-" &amp; TEXT(COUNTIFS($E$2:$E289,E289,$B$2:$B289,B289),"000")</f>
        <v>SOL-25-031</v>
      </c>
      <c r="B289">
        <v>25</v>
      </c>
      <c r="C289" s="364">
        <v>46190</v>
      </c>
      <c r="D289" t="s">
        <v>2</v>
      </c>
      <c r="E289" t="s">
        <v>208</v>
      </c>
      <c r="F289" t="s">
        <v>112</v>
      </c>
      <c r="G289" s="3">
        <v>160</v>
      </c>
      <c r="H289" s="365">
        <v>27</v>
      </c>
      <c r="I289" s="365">
        <v>4320</v>
      </c>
      <c r="J289" t="s">
        <v>209</v>
      </c>
      <c r="K289">
        <v>27</v>
      </c>
    </row>
    <row r="290" spans="1:11">
      <c r="A290" t="str">
        <f>IF(LEFT(E290,1)="1","SOL",IF(LEFT(E290,1)="2","CO",IF(LEFT(E290,1)="3","ALM",IF(LEFT(E290,1)="4","FAC","TRX")))) &amp; "-" &amp; B290 &amp; "-" &amp; TEXT(COUNTIFS($E$2:$E290,E290,$B$2:$B290,B290),"000")</f>
        <v>SOL-25-032</v>
      </c>
      <c r="B290">
        <v>25</v>
      </c>
      <c r="C290" s="364">
        <v>46190</v>
      </c>
      <c r="D290" t="s">
        <v>2</v>
      </c>
      <c r="E290" t="s">
        <v>208</v>
      </c>
      <c r="F290" t="s">
        <v>65</v>
      </c>
      <c r="G290" s="3">
        <v>70</v>
      </c>
      <c r="H290" s="365">
        <v>27</v>
      </c>
      <c r="I290" s="365">
        <v>1890</v>
      </c>
      <c r="J290" t="s">
        <v>209</v>
      </c>
      <c r="K290">
        <v>27</v>
      </c>
    </row>
    <row r="291" spans="1:11">
      <c r="A291" t="str">
        <f>IF(LEFT(E291,1)="1","SOL",IF(LEFT(E291,1)="2","CO",IF(LEFT(E291,1)="3","ALM",IF(LEFT(E291,1)="4","FAC","TRX")))) &amp; "-" &amp; B291 &amp; "-" &amp; TEXT(COUNTIFS($E$2:$E291,E291,$B$2:$B291,B291),"000")</f>
        <v>SOL-25-033</v>
      </c>
      <c r="B291">
        <v>25</v>
      </c>
      <c r="C291" s="364">
        <v>46190</v>
      </c>
      <c r="D291" t="s">
        <v>2</v>
      </c>
      <c r="E291" t="s">
        <v>208</v>
      </c>
      <c r="F291" t="s">
        <v>80</v>
      </c>
      <c r="G291" s="3">
        <v>250</v>
      </c>
      <c r="H291" s="365">
        <v>27</v>
      </c>
      <c r="I291" s="365">
        <v>6750</v>
      </c>
      <c r="J291" t="s">
        <v>209</v>
      </c>
      <c r="K291">
        <v>27</v>
      </c>
    </row>
    <row r="292" spans="1:11">
      <c r="A292" t="str">
        <f>IF(LEFT(E292,1)="1","SOL",IF(LEFT(E292,1)="2","CO",IF(LEFT(E292,1)="3","ALM",IF(LEFT(E292,1)="4","FAC","TRX")))) &amp; "-" &amp; B292 &amp; "-" &amp; TEXT(COUNTIFS($E$2:$E292,E292,$B$2:$B292,B292),"000")</f>
        <v>SOL-25-034</v>
      </c>
      <c r="B292">
        <v>25</v>
      </c>
      <c r="C292" s="364">
        <v>46190</v>
      </c>
      <c r="D292" t="s">
        <v>2</v>
      </c>
      <c r="E292" t="s">
        <v>208</v>
      </c>
      <c r="F292" t="s">
        <v>67</v>
      </c>
      <c r="G292" s="3">
        <v>150</v>
      </c>
      <c r="H292" s="365">
        <v>27</v>
      </c>
      <c r="I292" s="365">
        <v>4050</v>
      </c>
      <c r="J292" t="s">
        <v>209</v>
      </c>
      <c r="K292">
        <v>27</v>
      </c>
    </row>
    <row r="293" spans="1:11">
      <c r="A293" t="str">
        <f>IF(LEFT(E293,1)="1","SOL",IF(LEFT(E293,1)="2","CO",IF(LEFT(E293,1)="3","ALM",IF(LEFT(E293,1)="4","FAC","TRX")))) &amp; "-" &amp; B293 &amp; "-" &amp; TEXT(COUNTIFS($E$2:$E293,E293,$B$2:$B293,B293),"000")</f>
        <v>SOL-25-035</v>
      </c>
      <c r="B293">
        <v>25</v>
      </c>
      <c r="C293" s="364">
        <v>46190</v>
      </c>
      <c r="D293" t="s">
        <v>1</v>
      </c>
      <c r="E293" t="s">
        <v>208</v>
      </c>
      <c r="F293" t="s">
        <v>87</v>
      </c>
      <c r="G293" s="3">
        <v>250</v>
      </c>
      <c r="H293" s="365">
        <v>27</v>
      </c>
      <c r="I293" s="365">
        <v>6750</v>
      </c>
      <c r="J293" t="s">
        <v>209</v>
      </c>
      <c r="K293">
        <v>27</v>
      </c>
    </row>
    <row r="294" spans="1:11">
      <c r="A294" t="str">
        <f>IF(LEFT(E294,1)="1","SOL",IF(LEFT(E294,1)="2","CO",IF(LEFT(E294,1)="3","ALM",IF(LEFT(E294,1)="4","FAC","TRX")))) &amp; "-" &amp; B294 &amp; "-" &amp; TEXT(COUNTIFS($E$2:$E294,E294,$B$2:$B294,B294),"000")</f>
        <v>SOL-25-036</v>
      </c>
      <c r="B294">
        <v>25</v>
      </c>
      <c r="C294" s="364">
        <v>46190</v>
      </c>
      <c r="D294" t="s">
        <v>1</v>
      </c>
      <c r="E294" t="s">
        <v>208</v>
      </c>
      <c r="F294" t="s">
        <v>98</v>
      </c>
      <c r="G294" s="3">
        <v>100</v>
      </c>
      <c r="H294" s="365">
        <v>27</v>
      </c>
      <c r="I294" s="365">
        <v>2700</v>
      </c>
      <c r="J294" t="s">
        <v>209</v>
      </c>
      <c r="K294">
        <v>27</v>
      </c>
    </row>
    <row r="295" spans="1:11">
      <c r="A295" t="str">
        <f>IF(LEFT(E295,1)="1","SOL",IF(LEFT(E295,1)="2","CO",IF(LEFT(E295,1)="3","ALM",IF(LEFT(E295,1)="4","FAC","TRX")))) &amp; "-" &amp; B295 &amp; "-" &amp; TEXT(COUNTIFS($E$2:$E295,E295,$B$2:$B295,B295),"000")</f>
        <v>SOL-25-037</v>
      </c>
      <c r="B295">
        <v>25</v>
      </c>
      <c r="C295" s="364">
        <v>46190</v>
      </c>
      <c r="D295" t="s">
        <v>1</v>
      </c>
      <c r="E295" t="s">
        <v>208</v>
      </c>
      <c r="F295" t="s">
        <v>114</v>
      </c>
      <c r="G295" s="3">
        <v>20</v>
      </c>
      <c r="H295" s="365">
        <v>27</v>
      </c>
      <c r="I295" s="365">
        <v>540</v>
      </c>
      <c r="J295" t="s">
        <v>209</v>
      </c>
      <c r="K295">
        <v>27</v>
      </c>
    </row>
    <row r="296" spans="1:11">
      <c r="A296" t="str">
        <f>IF(LEFT(E296,1)="1","SOL",IF(LEFT(E296,1)="2","CO",IF(LEFT(E296,1)="3","ALM",IF(LEFT(E296,1)="4","FAC","TRX")))) &amp; "-" &amp; B296 &amp; "-" &amp; TEXT(COUNTIFS($E$2:$E296,E296,$B$2:$B296,B296),"000")</f>
        <v>SOL-25-038</v>
      </c>
      <c r="B296">
        <v>25</v>
      </c>
      <c r="C296" s="364">
        <v>46190</v>
      </c>
      <c r="D296" t="s">
        <v>1</v>
      </c>
      <c r="E296" t="s">
        <v>208</v>
      </c>
      <c r="F296" t="s">
        <v>100</v>
      </c>
      <c r="G296" s="3">
        <v>50</v>
      </c>
      <c r="H296" s="365">
        <v>27</v>
      </c>
      <c r="I296" s="365">
        <v>1350</v>
      </c>
      <c r="J296" t="s">
        <v>209</v>
      </c>
      <c r="K296">
        <v>27</v>
      </c>
    </row>
    <row r="297" spans="1:11">
      <c r="A297" t="str">
        <f>IF(LEFT(E297,1)="1","SOL",IF(LEFT(E297,1)="2","CO",IF(LEFT(E297,1)="3","ALM",IF(LEFT(E297,1)="4","FAC","TRX")))) &amp; "-" &amp; B297 &amp; "-" &amp; TEXT(COUNTIFS($E$2:$E297,E297,$B$2:$B297,B297),"000")</f>
        <v>SOL-25-039</v>
      </c>
      <c r="B297">
        <v>25</v>
      </c>
      <c r="C297" s="364">
        <v>46190</v>
      </c>
      <c r="D297" t="s">
        <v>1</v>
      </c>
      <c r="E297" t="s">
        <v>208</v>
      </c>
      <c r="F297" t="s">
        <v>97</v>
      </c>
      <c r="G297" s="3">
        <v>50</v>
      </c>
      <c r="H297" s="365">
        <v>27</v>
      </c>
      <c r="I297" s="365">
        <v>1350</v>
      </c>
      <c r="J297" t="s">
        <v>209</v>
      </c>
      <c r="K297">
        <v>27</v>
      </c>
    </row>
    <row r="298" spans="1:11">
      <c r="A298" t="str">
        <f>IF(LEFT(E298,1)="1","SOL",IF(LEFT(E298,1)="2","CO",IF(LEFT(E298,1)="3","ALM",IF(LEFT(E298,1)="4","FAC","TRX")))) &amp; "-" &amp; B298 &amp; "-" &amp; TEXT(COUNTIFS($E$2:$E298,E298,$B$2:$B298,B298),"000")</f>
        <v>SOL-25-040</v>
      </c>
      <c r="B298">
        <v>25</v>
      </c>
      <c r="C298" s="364">
        <v>46190</v>
      </c>
      <c r="D298" t="s">
        <v>1</v>
      </c>
      <c r="E298" t="s">
        <v>208</v>
      </c>
      <c r="F298" t="s">
        <v>91</v>
      </c>
      <c r="G298" s="3">
        <v>30</v>
      </c>
      <c r="H298" s="365">
        <v>27</v>
      </c>
      <c r="I298" s="365">
        <v>810</v>
      </c>
      <c r="J298" t="s">
        <v>209</v>
      </c>
      <c r="K298">
        <v>27</v>
      </c>
    </row>
    <row r="299" spans="1:11">
      <c r="A299" t="str">
        <f>IF(LEFT(E299,1)="1","SOL",IF(LEFT(E299,1)="2","CO",IF(LEFT(E299,1)="3","ALM",IF(LEFT(E299,1)="4","FAC","TRX")))) &amp; "-" &amp; B299 &amp; "-" &amp; TEXT(COUNTIFS($E$2:$E299,E299,$B$2:$B299,B299),"000")</f>
        <v>SOL-25-041</v>
      </c>
      <c r="B299">
        <v>25</v>
      </c>
      <c r="C299" s="364">
        <v>46190</v>
      </c>
      <c r="D299" t="s">
        <v>1</v>
      </c>
      <c r="E299" t="s">
        <v>208</v>
      </c>
      <c r="F299" t="s">
        <v>60</v>
      </c>
      <c r="G299" s="3">
        <v>80</v>
      </c>
      <c r="H299" s="365">
        <v>27</v>
      </c>
      <c r="I299" s="365">
        <v>2160</v>
      </c>
      <c r="J299" t="s">
        <v>209</v>
      </c>
      <c r="K299">
        <v>27</v>
      </c>
    </row>
    <row r="300" spans="1:11">
      <c r="A300" t="str">
        <f>IF(LEFT(E300,1)="1","SOL",IF(LEFT(E300,1)="2","CO",IF(LEFT(E300,1)="3","ALM",IF(LEFT(E300,1)="4","FAC","TRX")))) &amp; "-" &amp; B300 &amp; "-" &amp; TEXT(COUNTIFS($E$2:$E300,E300,$B$2:$B300,B300),"000")</f>
        <v>SOL-25-042</v>
      </c>
      <c r="B300">
        <v>25</v>
      </c>
      <c r="C300" s="364">
        <v>46190</v>
      </c>
      <c r="D300" t="s">
        <v>1</v>
      </c>
      <c r="E300" t="s">
        <v>208</v>
      </c>
      <c r="F300" t="s">
        <v>104</v>
      </c>
      <c r="G300" s="3">
        <v>50</v>
      </c>
      <c r="H300" s="365">
        <v>27</v>
      </c>
      <c r="I300" s="365">
        <v>1350</v>
      </c>
      <c r="J300" t="s">
        <v>209</v>
      </c>
      <c r="K300">
        <v>27</v>
      </c>
    </row>
    <row r="301" spans="1:11">
      <c r="A301" t="str">
        <f>IF(LEFT(E301,1)="1","SOL",IF(LEFT(E301,1)="2","CO",IF(LEFT(E301,1)="3","ALM",IF(LEFT(E301,1)="4","FAC","TRX")))) &amp; "-" &amp; B301 &amp; "-" &amp; TEXT(COUNTIFS($E$2:$E301,E301,$B$2:$B301,B301),"000")</f>
        <v>SOL-25-043</v>
      </c>
      <c r="B301">
        <v>25</v>
      </c>
      <c r="C301" s="364">
        <v>46190</v>
      </c>
      <c r="D301" t="s">
        <v>126</v>
      </c>
      <c r="E301" t="s">
        <v>208</v>
      </c>
      <c r="F301" t="s">
        <v>60</v>
      </c>
      <c r="G301" s="3">
        <v>70</v>
      </c>
      <c r="H301" s="365">
        <v>27</v>
      </c>
      <c r="I301" s="365">
        <v>1890</v>
      </c>
      <c r="J301" t="s">
        <v>209</v>
      </c>
      <c r="K301">
        <v>27</v>
      </c>
    </row>
    <row r="302" spans="1:11">
      <c r="A302" t="str">
        <f>IF(LEFT(E302,1)="1","SOL",IF(LEFT(E302,1)="2","CO",IF(LEFT(E302,1)="3","ALM",IF(LEFT(E302,1)="4","FAC","TRX")))) &amp; "-" &amp; B302 &amp; "-" &amp; TEXT(COUNTIFS($E$2:$E302,E302,$B$2:$B302,B302),"000")</f>
        <v>SOL-25-044</v>
      </c>
      <c r="B302">
        <v>25</v>
      </c>
      <c r="C302" s="364">
        <v>46190</v>
      </c>
      <c r="D302" t="s">
        <v>126</v>
      </c>
      <c r="E302" t="s">
        <v>208</v>
      </c>
      <c r="F302" t="s">
        <v>60</v>
      </c>
      <c r="G302" s="3">
        <v>70</v>
      </c>
      <c r="H302" s="365">
        <v>27</v>
      </c>
      <c r="I302" s="365">
        <v>1890</v>
      </c>
      <c r="J302" t="s">
        <v>209</v>
      </c>
      <c r="K302">
        <v>27</v>
      </c>
    </row>
    <row r="303" spans="1:11">
      <c r="A303" t="str">
        <f>IF(LEFT(E303,1)="1","SOL",IF(LEFT(E303,1)="2","CO",IF(LEFT(E303,1)="3","ALM",IF(LEFT(E303,1)="4","FAC","TRX")))) &amp; "-" &amp; B303 &amp; "-" &amp; TEXT(COUNTIFS($E$2:$E303,E303,$B$2:$B303,B303),"000")</f>
        <v>SOL-25-045</v>
      </c>
      <c r="B303">
        <v>25</v>
      </c>
      <c r="C303" s="364">
        <v>46190</v>
      </c>
      <c r="D303" t="s">
        <v>126</v>
      </c>
      <c r="E303" t="s">
        <v>208</v>
      </c>
      <c r="F303" t="s">
        <v>80</v>
      </c>
      <c r="G303" s="3">
        <v>200</v>
      </c>
      <c r="H303" s="365">
        <v>27</v>
      </c>
      <c r="I303" s="365">
        <v>5400</v>
      </c>
      <c r="J303" t="s">
        <v>209</v>
      </c>
      <c r="K303">
        <v>27</v>
      </c>
    </row>
    <row r="304" spans="1:11">
      <c r="A304" t="str">
        <f>IF(LEFT(E304,1)="1","SOL",IF(LEFT(E304,1)="2","CO",IF(LEFT(E304,1)="3","ALM",IF(LEFT(E304,1)="4","FAC","TRX")))) &amp; "-" &amp; B304 &amp; "-" &amp; TEXT(COUNTIFS($E$2:$E304,E304,$B$2:$B304,B304),"000")</f>
        <v>SOL-25-046</v>
      </c>
      <c r="B304">
        <v>25</v>
      </c>
      <c r="C304" s="364">
        <v>46190</v>
      </c>
      <c r="D304" t="s">
        <v>126</v>
      </c>
      <c r="E304" t="s">
        <v>208</v>
      </c>
      <c r="F304" t="s">
        <v>116</v>
      </c>
      <c r="G304" s="3">
        <v>20</v>
      </c>
      <c r="H304" s="365">
        <v>27</v>
      </c>
      <c r="I304" s="365">
        <v>540</v>
      </c>
      <c r="J304" t="s">
        <v>209</v>
      </c>
      <c r="K304">
        <v>27</v>
      </c>
    </row>
    <row r="305" spans="1:10">
      <c r="A305" t="str">
        <f>IF(LEFT(E305,1)="1","SOL",IF(LEFT(E305,1)="2","CO",IF(LEFT(E305,1)="3","ALM",IF(LEFT(E305,1)="4","FAC","TRX")))) &amp; "-" &amp; B305 &amp; "-" &amp; TEXT(COUNTIFS($E$2:$E305,E305,$B$2:$B305,B305),"000")</f>
        <v>CO-25-050</v>
      </c>
      <c r="B305">
        <v>25</v>
      </c>
      <c r="C305" s="364">
        <v>46190</v>
      </c>
      <c r="D305" t="s">
        <v>1</v>
      </c>
      <c r="E305" t="s">
        <v>246</v>
      </c>
      <c r="F305" t="s">
        <v>248</v>
      </c>
      <c r="G305" s="3">
        <v>200</v>
      </c>
      <c r="H305" s="365">
        <v>27</v>
      </c>
      <c r="I305" s="365">
        <v>5400</v>
      </c>
      <c r="J305" t="s">
        <v>209</v>
      </c>
    </row>
    <row r="306" spans="1:10">
      <c r="A306" t="str">
        <f>IF(LEFT(E306,1)="1","SOL",IF(LEFT(E306,1)="2","CO",IF(LEFT(E306,1)="3","ALM",IF(LEFT(E306,1)="4","FAC","TRX")))) &amp; "-" &amp; B306 &amp; "-" &amp; TEXT(COUNTIFS($E$2:$E306,E306,$B$2:$B306,B306),"000")</f>
        <v>CO-25-051</v>
      </c>
      <c r="B306">
        <v>25</v>
      </c>
      <c r="C306" s="364">
        <v>46190</v>
      </c>
      <c r="D306" t="s">
        <v>1</v>
      </c>
      <c r="E306" t="s">
        <v>246</v>
      </c>
      <c r="F306" t="s">
        <v>251</v>
      </c>
      <c r="G306" s="3">
        <v>120</v>
      </c>
      <c r="H306" s="365">
        <v>27</v>
      </c>
      <c r="I306" s="365">
        <v>3240</v>
      </c>
      <c r="J306" t="s">
        <v>209</v>
      </c>
    </row>
    <row r="307" spans="1:10">
      <c r="A307" t="str">
        <f>IF(LEFT(E307,1)="1","SOL",IF(LEFT(E307,1)="2","CO",IF(LEFT(E307,1)="3","ALM",IF(LEFT(E307,1)="4","FAC","TRX")))) &amp; "-" &amp; B307 &amp; "-" &amp; TEXT(COUNTIFS($E$2:$E307,E307,$B$2:$B307,B307),"000")</f>
        <v>CO-25-052</v>
      </c>
      <c r="B307">
        <v>25</v>
      </c>
      <c r="C307" s="364">
        <v>46190</v>
      </c>
      <c r="D307" t="s">
        <v>1</v>
      </c>
      <c r="E307" t="s">
        <v>246</v>
      </c>
      <c r="F307" t="s">
        <v>226</v>
      </c>
      <c r="G307" s="3">
        <v>30</v>
      </c>
      <c r="H307" s="365">
        <v>27</v>
      </c>
      <c r="I307" s="365">
        <v>810</v>
      </c>
      <c r="J307" t="s">
        <v>209</v>
      </c>
    </row>
    <row r="308" spans="1:10">
      <c r="A308" t="str">
        <f>IF(LEFT(E308,1)="1","SOL",IF(LEFT(E308,1)="2","CO",IF(LEFT(E308,1)="3","ALM",IF(LEFT(E308,1)="4","FAC","TRX")))) &amp; "-" &amp; B308 &amp; "-" &amp; TEXT(COUNTIFS($E$2:$E308,E308,$B$2:$B308,B308),"000")</f>
        <v>CO-25-053</v>
      </c>
      <c r="B308">
        <v>25</v>
      </c>
      <c r="C308" s="364">
        <v>46190</v>
      </c>
      <c r="D308" t="s">
        <v>1</v>
      </c>
      <c r="E308" t="s">
        <v>246</v>
      </c>
      <c r="F308" t="s">
        <v>227</v>
      </c>
      <c r="G308" s="3">
        <v>30</v>
      </c>
      <c r="H308" s="365">
        <v>27</v>
      </c>
      <c r="I308" s="365">
        <v>810</v>
      </c>
      <c r="J308" t="s">
        <v>209</v>
      </c>
    </row>
    <row r="309" spans="1:10">
      <c r="A309" t="str">
        <f>IF(LEFT(E309,1)="1","SOL",IF(LEFT(E309,1)="2","CO",IF(LEFT(E309,1)="3","ALM",IF(LEFT(E309,1)="4","FAC","TRX")))) &amp; "-" &amp; B309 &amp; "-" &amp; TEXT(COUNTIFS($E$2:$E309,E309,$B$2:$B309,B309),"000")</f>
        <v>CO-25-054</v>
      </c>
      <c r="B309">
        <v>25</v>
      </c>
      <c r="C309" s="364">
        <v>46190</v>
      </c>
      <c r="D309" t="s">
        <v>1</v>
      </c>
      <c r="E309" t="s">
        <v>246</v>
      </c>
      <c r="F309" t="s">
        <v>242</v>
      </c>
      <c r="G309" s="3">
        <v>28</v>
      </c>
      <c r="H309" s="365">
        <v>27</v>
      </c>
      <c r="I309" s="365">
        <v>756</v>
      </c>
      <c r="J309" t="s">
        <v>209</v>
      </c>
    </row>
    <row r="310" spans="1:10">
      <c r="A310" t="str">
        <f>IF(LEFT(E310,1)="1","SOL",IF(LEFT(E310,1)="2","CO",IF(LEFT(E310,1)="3","ALM",IF(LEFT(E310,1)="4","FAC","TRX")))) &amp; "-" &amp; B310 &amp; "-" &amp; TEXT(COUNTIFS($E$2:$E310,E310,$B$2:$B310,B310),"000")</f>
        <v>CO-25-055</v>
      </c>
      <c r="B310">
        <v>25</v>
      </c>
      <c r="C310" s="364">
        <v>46190</v>
      </c>
      <c r="D310" t="s">
        <v>1</v>
      </c>
      <c r="E310" t="s">
        <v>246</v>
      </c>
      <c r="F310" t="s">
        <v>249</v>
      </c>
      <c r="G310" s="3">
        <v>60</v>
      </c>
      <c r="H310" s="365">
        <v>27</v>
      </c>
      <c r="I310" s="365">
        <v>1620</v>
      </c>
      <c r="J310" t="s">
        <v>209</v>
      </c>
    </row>
    <row r="311" spans="1:10">
      <c r="A311" t="str">
        <f>IF(LEFT(E311,1)="1","SOL",IF(LEFT(E311,1)="2","CO",IF(LEFT(E311,1)="3","ALM",IF(LEFT(E311,1)="4","FAC","TRX")))) &amp; "-" &amp; B311 &amp; "-" &amp; TEXT(COUNTIFS($E$2:$E311,E311,$B$2:$B311,B311),"000")</f>
        <v>CO-25-056</v>
      </c>
      <c r="B311">
        <v>25</v>
      </c>
      <c r="C311" s="364">
        <v>46190</v>
      </c>
      <c r="D311" t="s">
        <v>2</v>
      </c>
      <c r="E311" t="s">
        <v>246</v>
      </c>
      <c r="F311" t="s">
        <v>219</v>
      </c>
      <c r="G311" s="3">
        <v>80</v>
      </c>
      <c r="H311" s="365">
        <v>27</v>
      </c>
      <c r="I311" s="365">
        <v>2160</v>
      </c>
      <c r="J311" t="s">
        <v>209</v>
      </c>
    </row>
    <row r="312" spans="1:10">
      <c r="A312" t="str">
        <f>IF(LEFT(E312,1)="1","SOL",IF(LEFT(E312,1)="2","CO",IF(LEFT(E312,1)="3","ALM",IF(LEFT(E312,1)="4","FAC","TRX")))) &amp; "-" &amp; B312 &amp; "-" &amp; TEXT(COUNTIFS($E$2:$E312,E312,$B$2:$B312,B312),"000")</f>
        <v>CO-25-057</v>
      </c>
      <c r="B312">
        <v>25</v>
      </c>
      <c r="C312" s="364">
        <v>46190</v>
      </c>
      <c r="D312" t="s">
        <v>126</v>
      </c>
      <c r="E312" t="s">
        <v>246</v>
      </c>
      <c r="F312" t="s">
        <v>226</v>
      </c>
      <c r="G312" s="3">
        <v>20</v>
      </c>
      <c r="H312" s="365">
        <v>27</v>
      </c>
      <c r="I312" s="365">
        <v>540</v>
      </c>
      <c r="J312" t="s">
        <v>209</v>
      </c>
    </row>
    <row r="313" spans="1:10">
      <c r="A313" t="str">
        <f>IF(LEFT(E313,1)="1","SOL",IF(LEFT(E313,1)="2","CO",IF(LEFT(E313,1)="3","ALM",IF(LEFT(E313,1)="4","FAC","TRX")))) &amp; "-" &amp; B313 &amp; "-" &amp; TEXT(COUNTIFS($E$2:$E313,E313,$B$2:$B313,B313),"000")</f>
        <v>CO-25-058</v>
      </c>
      <c r="B313">
        <v>25</v>
      </c>
      <c r="C313" s="364">
        <v>46190</v>
      </c>
      <c r="D313" t="s">
        <v>140</v>
      </c>
      <c r="E313" t="s">
        <v>246</v>
      </c>
      <c r="F313" t="s">
        <v>222</v>
      </c>
      <c r="G313" s="3">
        <v>100</v>
      </c>
      <c r="H313" s="365">
        <v>27</v>
      </c>
      <c r="I313" s="365">
        <v>2700</v>
      </c>
      <c r="J313" t="s">
        <v>209</v>
      </c>
    </row>
    <row r="314" spans="1:10">
      <c r="A314" t="str">
        <f>IF(LEFT(E314,1)="1","SOL",IF(LEFT(E314,1)="2","CO",IF(LEFT(E314,1)="3","ALM",IF(LEFT(E314,1)="4","FAC","TRX")))) &amp; "-" &amp; B314 &amp; "-" &amp; TEXT(COUNTIFS($E$2:$E314,E314,$B$2:$B314,B314),"000")</f>
        <v>CO-25-059</v>
      </c>
      <c r="B314">
        <v>25</v>
      </c>
      <c r="C314" s="364">
        <v>46190</v>
      </c>
      <c r="D314" t="s">
        <v>140</v>
      </c>
      <c r="E314" t="s">
        <v>246</v>
      </c>
      <c r="F314" t="s">
        <v>254</v>
      </c>
      <c r="G314" s="3">
        <v>200</v>
      </c>
      <c r="H314" s="365">
        <v>27</v>
      </c>
      <c r="I314" s="365">
        <v>5400</v>
      </c>
      <c r="J314" t="s">
        <v>209</v>
      </c>
    </row>
    <row r="315" spans="1:10">
      <c r="A315" t="str">
        <f>IF(LEFT(E315,1)="1","SOL",IF(LEFT(E315,1)="2","CO",IF(LEFT(E315,1)="3","ALM",IF(LEFT(E315,1)="4","FAC","TRX")))) &amp; "-" &amp; B315 &amp; "-" &amp; TEXT(COUNTIFS($E$2:$E315,E315,$B$2:$B315,B315),"000")</f>
        <v>CO-25-060</v>
      </c>
      <c r="B315">
        <v>25</v>
      </c>
      <c r="C315" s="364">
        <v>46190</v>
      </c>
      <c r="D315" t="s">
        <v>1</v>
      </c>
      <c r="E315" t="s">
        <v>246</v>
      </c>
      <c r="F315" t="s">
        <v>282</v>
      </c>
      <c r="G315" s="3">
        <v>200</v>
      </c>
      <c r="H315" s="365">
        <v>28.3</v>
      </c>
      <c r="I315" s="365">
        <v>5660</v>
      </c>
      <c r="J315" t="s">
        <v>209</v>
      </c>
    </row>
    <row r="316" spans="1:10">
      <c r="A316" t="str">
        <f>IF(LEFT(E316,1)="1","SOL",IF(LEFT(E316,1)="2","CO",IF(LEFT(E316,1)="3","ALM",IF(LEFT(E316,1)="4","FAC","TRX")))) &amp; "-" &amp; B316 &amp; "-" &amp; TEXT(COUNTIFS($E$2:$E316,E316,$B$2:$B316,B316),"000")</f>
        <v>CO-25-061</v>
      </c>
      <c r="B316">
        <v>25</v>
      </c>
      <c r="C316" s="364">
        <v>46190</v>
      </c>
      <c r="D316" t="s">
        <v>1</v>
      </c>
      <c r="E316" t="s">
        <v>246</v>
      </c>
      <c r="F316" t="s">
        <v>286</v>
      </c>
      <c r="G316" s="3">
        <v>120</v>
      </c>
      <c r="H316" s="365">
        <v>28.3</v>
      </c>
      <c r="I316" s="365">
        <v>3396</v>
      </c>
      <c r="J316" t="s">
        <v>209</v>
      </c>
    </row>
    <row r="317" spans="1:10">
      <c r="A317" t="str">
        <f>IF(LEFT(E317,1)="1","SOL",IF(LEFT(E317,1)="2","CO",IF(LEFT(E317,1)="3","ALM",IF(LEFT(E317,1)="4","FAC","TRX")))) &amp; "-" &amp; B317 &amp; "-" &amp; TEXT(COUNTIFS($E$2:$E317,E317,$B$2:$B317,B317),"000")</f>
        <v>CO-25-062</v>
      </c>
      <c r="B317">
        <v>25</v>
      </c>
      <c r="C317" s="364">
        <v>46190</v>
      </c>
      <c r="D317" t="s">
        <v>1</v>
      </c>
      <c r="E317" t="s">
        <v>246</v>
      </c>
      <c r="F317" t="s">
        <v>284</v>
      </c>
      <c r="G317" s="3">
        <v>32</v>
      </c>
      <c r="H317" s="365">
        <v>28.3</v>
      </c>
      <c r="I317" s="365">
        <v>905.6</v>
      </c>
      <c r="J317" t="s">
        <v>209</v>
      </c>
    </row>
    <row r="318" spans="1:10">
      <c r="A318" t="str">
        <f>IF(LEFT(E318,1)="1","SOL",IF(LEFT(E318,1)="2","CO",IF(LEFT(E318,1)="3","ALM",IF(LEFT(E318,1)="4","FAC","TRX")))) &amp; "-" &amp; B318 &amp; "-" &amp; TEXT(COUNTIFS($E$2:$E318,E318,$B$2:$B318,B318),"000")</f>
        <v>CO-25-063</v>
      </c>
      <c r="B318">
        <v>25</v>
      </c>
      <c r="C318" s="364">
        <v>46190</v>
      </c>
      <c r="D318" t="s">
        <v>1</v>
      </c>
      <c r="E318" t="s">
        <v>246</v>
      </c>
      <c r="F318" t="s">
        <v>285</v>
      </c>
      <c r="G318" s="3">
        <v>30</v>
      </c>
      <c r="H318" s="365">
        <v>28.3</v>
      </c>
      <c r="I318" s="365">
        <v>849</v>
      </c>
      <c r="J318" t="s">
        <v>209</v>
      </c>
    </row>
    <row r="319" spans="1:10">
      <c r="A319" t="str">
        <f>IF(LEFT(E319,1)="1","SOL",IF(LEFT(E319,1)="2","CO",IF(LEFT(E319,1)="3","ALM",IF(LEFT(E319,1)="4","FAC","TRX")))) &amp; "-" &amp; B319 &amp; "-" &amp; TEXT(COUNTIFS($E$2:$E319,E319,$B$2:$B319,B319),"000")</f>
        <v>CO-25-064</v>
      </c>
      <c r="B319">
        <v>25</v>
      </c>
      <c r="C319" s="364">
        <v>46190</v>
      </c>
      <c r="D319" t="s">
        <v>1</v>
      </c>
      <c r="E319" t="s">
        <v>246</v>
      </c>
      <c r="F319" t="s">
        <v>288</v>
      </c>
      <c r="G319" s="3">
        <v>28</v>
      </c>
      <c r="H319" s="365">
        <v>28.3</v>
      </c>
      <c r="I319" s="365">
        <v>792.4</v>
      </c>
      <c r="J319" t="s">
        <v>209</v>
      </c>
    </row>
    <row r="320" spans="1:10">
      <c r="A320" t="str">
        <f>IF(LEFT(E320,1)="1","SOL",IF(LEFT(E320,1)="2","CO",IF(LEFT(E320,1)="3","ALM",IF(LEFT(E320,1)="4","FAC","TRX")))) &amp; "-" &amp; B320 &amp; "-" &amp; TEXT(COUNTIFS($E$2:$E320,E320,$B$2:$B320,B320),"000")</f>
        <v>CO-25-065</v>
      </c>
      <c r="B320">
        <v>25</v>
      </c>
      <c r="C320" s="364">
        <v>46190</v>
      </c>
      <c r="D320" t="s">
        <v>1</v>
      </c>
      <c r="E320" t="s">
        <v>246</v>
      </c>
      <c r="F320" t="s">
        <v>283</v>
      </c>
      <c r="G320" s="3">
        <v>60</v>
      </c>
      <c r="H320" s="365">
        <v>28.3</v>
      </c>
      <c r="I320" s="365">
        <v>1698</v>
      </c>
      <c r="J320" t="s">
        <v>209</v>
      </c>
    </row>
    <row r="321" spans="1:11">
      <c r="A321" t="str">
        <f>IF(LEFT(E321,1)="1","SOL",IF(LEFT(E321,1)="2","CO",IF(LEFT(E321,1)="3","ALM",IF(LEFT(E321,1)="4","FAC","TRX")))) &amp; "-" &amp; B321 &amp; "-" &amp; TEXT(COUNTIFS($E$2:$E321,E321,$B$2:$B321,B321),"000")</f>
        <v>CO-25-066</v>
      </c>
      <c r="B321">
        <v>25</v>
      </c>
      <c r="C321" s="364">
        <v>46190</v>
      </c>
      <c r="D321" t="s">
        <v>289</v>
      </c>
      <c r="E321" t="s">
        <v>246</v>
      </c>
      <c r="F321" t="s">
        <v>293</v>
      </c>
      <c r="G321" s="3">
        <v>50</v>
      </c>
      <c r="H321" s="365">
        <v>27</v>
      </c>
      <c r="I321" s="365">
        <v>1350</v>
      </c>
      <c r="J321" t="s">
        <v>209</v>
      </c>
    </row>
    <row r="322" spans="1:11">
      <c r="A322" t="str">
        <f>IF(LEFT(E322,1)="1","SOL",IF(LEFT(E322,1)="2","CO",IF(LEFT(E322,1)="3","ALM",IF(LEFT(E322,1)="4","FAC","TRX")))) &amp; "-" &amp; B322 &amp; "-" &amp; TEXT(COUNTIFS($E$2:$E322,E322,$B$2:$B322,B322),"000")</f>
        <v>CO-25-067</v>
      </c>
      <c r="B322">
        <v>25</v>
      </c>
      <c r="C322" s="364">
        <v>46190</v>
      </c>
      <c r="D322" t="s">
        <v>289</v>
      </c>
      <c r="E322" t="s">
        <v>246</v>
      </c>
      <c r="F322" t="s">
        <v>295</v>
      </c>
      <c r="G322" s="3">
        <v>100</v>
      </c>
      <c r="H322" s="365">
        <v>27</v>
      </c>
      <c r="I322" s="365">
        <v>2700</v>
      </c>
      <c r="J322" t="s">
        <v>209</v>
      </c>
    </row>
    <row r="323" spans="1:11">
      <c r="A323" t="str">
        <f>IF(LEFT(E323,1)="1","SOL",IF(LEFT(E323,1)="2","CO",IF(LEFT(E323,1)="3","ALM",IF(LEFT(E323,1)="4","FAC","TRX")))) &amp; "-" &amp; B323 &amp; "-" &amp; TEXT(COUNTIFS($E$2:$E323,E323,$B$2:$B323,B323),"000")</f>
        <v>FAC-25-005</v>
      </c>
      <c r="B323">
        <v>25</v>
      </c>
      <c r="C323" s="364">
        <v>46190</v>
      </c>
      <c r="D323" t="s">
        <v>140</v>
      </c>
      <c r="E323" t="s">
        <v>301</v>
      </c>
      <c r="F323" t="s">
        <v>319</v>
      </c>
      <c r="G323" s="3">
        <v>600.00400000000002</v>
      </c>
      <c r="H323" s="365">
        <v>26.999986666755554</v>
      </c>
      <c r="I323" s="365">
        <v>16200.1</v>
      </c>
      <c r="J323" t="s">
        <v>209</v>
      </c>
      <c r="K323" t="s">
        <v>303</v>
      </c>
    </row>
    <row r="324" spans="1:11">
      <c r="A324" t="str">
        <f>IF(LEFT(E324,1)="1","SOL",IF(LEFT(E324,1)="2","CO",IF(LEFT(E324,1)="3","ALM",IF(LEFT(E324,1)="4","FAC","TRX")))) &amp; "-" &amp; B324 &amp; "-" &amp; TEXT(COUNTIFS($E$2:$E324,E324,$B$2:$B324,B324),"000")</f>
        <v>FAC-25-006</v>
      </c>
      <c r="B324">
        <v>25</v>
      </c>
      <c r="C324" s="364">
        <v>46190</v>
      </c>
      <c r="D324" t="s">
        <v>1</v>
      </c>
      <c r="E324" t="s">
        <v>301</v>
      </c>
      <c r="F324" t="s">
        <v>322</v>
      </c>
      <c r="G324" s="3">
        <v>520.00199999999995</v>
      </c>
      <c r="H324" s="365">
        <v>26.999992307721893</v>
      </c>
      <c r="I324" s="365">
        <v>14040.05</v>
      </c>
      <c r="J324" t="s">
        <v>209</v>
      </c>
      <c r="K324" t="s">
        <v>303</v>
      </c>
    </row>
    <row r="325" spans="1:11">
      <c r="A325" t="str">
        <f>IF(LEFT(E325,1)="1","SOL",IF(LEFT(E325,1)="2","CO",IF(LEFT(E325,1)="3","ALM",IF(LEFT(E325,1)="4","FAC","TRX")))) &amp; "-" &amp; B325 &amp; "-" &amp; TEXT(COUNTIFS($E$2:$E325,E325,$B$2:$B325,B325),"000")</f>
        <v>SOL-25-047</v>
      </c>
      <c r="B325">
        <v>25</v>
      </c>
      <c r="C325" s="364">
        <v>46191</v>
      </c>
      <c r="D325" t="s">
        <v>1</v>
      </c>
      <c r="E325" t="s">
        <v>208</v>
      </c>
      <c r="F325" t="s">
        <v>87</v>
      </c>
      <c r="G325" s="3">
        <v>250</v>
      </c>
      <c r="H325" s="365">
        <v>27</v>
      </c>
      <c r="I325" s="365">
        <v>6750</v>
      </c>
      <c r="J325" t="s">
        <v>209</v>
      </c>
      <c r="K325">
        <v>27</v>
      </c>
    </row>
    <row r="326" spans="1:11">
      <c r="A326" t="str">
        <f>IF(LEFT(E326,1)="1","SOL",IF(LEFT(E326,1)="2","CO",IF(LEFT(E326,1)="3","ALM",IF(LEFT(E326,1)="4","FAC","TRX")))) &amp; "-" &amp; B326 &amp; "-" &amp; TEXT(COUNTIFS($E$2:$E326,E326,$B$2:$B326,B326),"000")</f>
        <v>SOL-25-048</v>
      </c>
      <c r="B326">
        <v>25</v>
      </c>
      <c r="C326" s="364">
        <v>46191</v>
      </c>
      <c r="D326" t="s">
        <v>1</v>
      </c>
      <c r="E326" t="s">
        <v>208</v>
      </c>
      <c r="F326" t="s">
        <v>98</v>
      </c>
      <c r="G326" s="3">
        <v>100</v>
      </c>
      <c r="H326" s="365">
        <v>27</v>
      </c>
      <c r="I326" s="365">
        <v>2700</v>
      </c>
      <c r="J326" t="s">
        <v>209</v>
      </c>
      <c r="K326">
        <v>27</v>
      </c>
    </row>
    <row r="327" spans="1:11">
      <c r="A327" t="str">
        <f>IF(LEFT(E327,1)="1","SOL",IF(LEFT(E327,1)="2","CO",IF(LEFT(E327,1)="3","ALM",IF(LEFT(E327,1)="4","FAC","TRX")))) &amp; "-" &amp; B327 &amp; "-" &amp; TEXT(COUNTIFS($E$2:$E327,E327,$B$2:$B327,B327),"000")</f>
        <v>SOL-25-049</v>
      </c>
      <c r="B327">
        <v>25</v>
      </c>
      <c r="C327" s="364">
        <v>46191</v>
      </c>
      <c r="D327" t="s">
        <v>1</v>
      </c>
      <c r="E327" t="s">
        <v>208</v>
      </c>
      <c r="F327" t="s">
        <v>114</v>
      </c>
      <c r="G327" s="3">
        <v>20</v>
      </c>
      <c r="H327" s="365">
        <v>27</v>
      </c>
      <c r="I327" s="365">
        <v>540</v>
      </c>
      <c r="J327" t="s">
        <v>209</v>
      </c>
      <c r="K327">
        <v>27</v>
      </c>
    </row>
    <row r="328" spans="1:11">
      <c r="A328" t="str">
        <f>IF(LEFT(E328,1)="1","SOL",IF(LEFT(E328,1)="2","CO",IF(LEFT(E328,1)="3","ALM",IF(LEFT(E328,1)="4","FAC","TRX")))) &amp; "-" &amp; B328 &amp; "-" &amp; TEXT(COUNTIFS($E$2:$E328,E328,$B$2:$B328,B328),"000")</f>
        <v>SOL-25-050</v>
      </c>
      <c r="B328">
        <v>25</v>
      </c>
      <c r="C328" s="364">
        <v>46191</v>
      </c>
      <c r="D328" t="s">
        <v>1</v>
      </c>
      <c r="E328" t="s">
        <v>208</v>
      </c>
      <c r="F328" t="s">
        <v>100</v>
      </c>
      <c r="G328" s="3">
        <v>40</v>
      </c>
      <c r="H328" s="365">
        <v>27</v>
      </c>
      <c r="I328" s="365">
        <v>1080</v>
      </c>
      <c r="J328" t="s">
        <v>209</v>
      </c>
      <c r="K328">
        <v>27</v>
      </c>
    </row>
    <row r="329" spans="1:11">
      <c r="A329" t="str">
        <f>IF(LEFT(E329,1)="1","SOL",IF(LEFT(E329,1)="2","CO",IF(LEFT(E329,1)="3","ALM",IF(LEFT(E329,1)="4","FAC","TRX")))) &amp; "-" &amp; B329 &amp; "-" &amp; TEXT(COUNTIFS($E$2:$E329,E329,$B$2:$B329,B329),"000")</f>
        <v>SOL-25-051</v>
      </c>
      <c r="B329">
        <v>25</v>
      </c>
      <c r="C329" s="364">
        <v>46191</v>
      </c>
      <c r="D329" t="s">
        <v>1</v>
      </c>
      <c r="E329" t="s">
        <v>208</v>
      </c>
      <c r="F329" t="s">
        <v>97</v>
      </c>
      <c r="G329" s="3">
        <v>40</v>
      </c>
      <c r="H329" s="365">
        <v>27</v>
      </c>
      <c r="I329" s="365">
        <v>1080</v>
      </c>
      <c r="J329" t="s">
        <v>209</v>
      </c>
      <c r="K329">
        <v>27</v>
      </c>
    </row>
    <row r="330" spans="1:11">
      <c r="A330" t="str">
        <f>IF(LEFT(E330,1)="1","SOL",IF(LEFT(E330,1)="2","CO",IF(LEFT(E330,1)="3","ALM",IF(LEFT(E330,1)="4","FAC","TRX")))) &amp; "-" &amp; B330 &amp; "-" &amp; TEXT(COUNTIFS($E$2:$E330,E330,$B$2:$B330,B330),"000")</f>
        <v>SOL-25-052</v>
      </c>
      <c r="B330">
        <v>25</v>
      </c>
      <c r="C330" s="364">
        <v>46191</v>
      </c>
      <c r="D330" t="s">
        <v>1</v>
      </c>
      <c r="E330" t="s">
        <v>208</v>
      </c>
      <c r="F330" t="s">
        <v>91</v>
      </c>
      <c r="G330" s="3">
        <v>30</v>
      </c>
      <c r="H330" s="365">
        <v>27</v>
      </c>
      <c r="I330" s="365">
        <v>810</v>
      </c>
      <c r="J330" t="s">
        <v>209</v>
      </c>
      <c r="K330">
        <v>27</v>
      </c>
    </row>
    <row r="331" spans="1:11">
      <c r="A331" t="str">
        <f>IF(LEFT(E331,1)="1","SOL",IF(LEFT(E331,1)="2","CO",IF(LEFT(E331,1)="3","ALM",IF(LEFT(E331,1)="4","FAC","TRX")))) &amp; "-" &amp; B331 &amp; "-" &amp; TEXT(COUNTIFS($E$2:$E331,E331,$B$2:$B331,B331),"000")</f>
        <v>SOL-25-053</v>
      </c>
      <c r="B331">
        <v>25</v>
      </c>
      <c r="C331" s="364">
        <v>46191</v>
      </c>
      <c r="D331" t="s">
        <v>1</v>
      </c>
      <c r="E331" t="s">
        <v>208</v>
      </c>
      <c r="F331" t="s">
        <v>60</v>
      </c>
      <c r="G331" s="3">
        <v>70</v>
      </c>
      <c r="H331" s="365">
        <v>27</v>
      </c>
      <c r="I331" s="365">
        <v>1890</v>
      </c>
      <c r="J331" t="s">
        <v>209</v>
      </c>
      <c r="K331">
        <v>27</v>
      </c>
    </row>
    <row r="332" spans="1:11">
      <c r="A332" t="str">
        <f>IF(LEFT(E332,1)="1","SOL",IF(LEFT(E332,1)="2","CO",IF(LEFT(E332,1)="3","ALM",IF(LEFT(E332,1)="4","FAC","TRX")))) &amp; "-" &amp; B332 &amp; "-" &amp; TEXT(COUNTIFS($E$2:$E332,E332,$B$2:$B332,B332),"000")</f>
        <v>SOL-25-054</v>
      </c>
      <c r="B332">
        <v>25</v>
      </c>
      <c r="C332" s="364">
        <v>46191</v>
      </c>
      <c r="D332" t="s">
        <v>1</v>
      </c>
      <c r="E332" t="s">
        <v>208</v>
      </c>
      <c r="F332" t="s">
        <v>104</v>
      </c>
      <c r="G332" s="3">
        <v>40</v>
      </c>
      <c r="H332" s="365">
        <v>27</v>
      </c>
      <c r="I332" s="365">
        <v>1080</v>
      </c>
      <c r="J332" t="s">
        <v>209</v>
      </c>
      <c r="K332">
        <v>27</v>
      </c>
    </row>
    <row r="333" spans="1:11">
      <c r="A333" t="str">
        <f>IF(LEFT(E333,1)="1","SOL",IF(LEFT(E333,1)="2","CO",IF(LEFT(E333,1)="3","ALM",IF(LEFT(E333,1)="4","FAC","TRX")))) &amp; "-" &amp; B333 &amp; "-" &amp; TEXT(COUNTIFS($E$2:$E333,E333,$B$2:$B333,B333),"000")</f>
        <v>SOL-25-055</v>
      </c>
      <c r="B333">
        <v>25</v>
      </c>
      <c r="C333" s="364">
        <v>46191</v>
      </c>
      <c r="D333" t="s">
        <v>2</v>
      </c>
      <c r="E333" t="s">
        <v>208</v>
      </c>
      <c r="F333" t="s">
        <v>106</v>
      </c>
      <c r="G333" s="3">
        <v>80</v>
      </c>
      <c r="H333" s="365">
        <v>27</v>
      </c>
      <c r="I333" s="365">
        <v>2160</v>
      </c>
      <c r="J333" t="s">
        <v>209</v>
      </c>
      <c r="K333">
        <v>27</v>
      </c>
    </row>
    <row r="334" spans="1:11">
      <c r="A334" t="str">
        <f>IF(LEFT(E334,1)="1","SOL",IF(LEFT(E334,1)="2","CO",IF(LEFT(E334,1)="3","ALM",IF(LEFT(E334,1)="4","FAC","TRX")))) &amp; "-" &amp; B334 &amp; "-" &amp; TEXT(COUNTIFS($E$2:$E334,E334,$B$2:$B334,B334),"000")</f>
        <v>CO-25-068</v>
      </c>
      <c r="B334">
        <v>25</v>
      </c>
      <c r="C334" s="364">
        <v>46191</v>
      </c>
      <c r="D334" t="s">
        <v>1</v>
      </c>
      <c r="E334" t="s">
        <v>246</v>
      </c>
      <c r="F334" t="s">
        <v>248</v>
      </c>
      <c r="G334" s="3">
        <v>200</v>
      </c>
      <c r="H334" s="365">
        <v>27</v>
      </c>
      <c r="I334" s="365">
        <v>5400</v>
      </c>
      <c r="J334" t="s">
        <v>209</v>
      </c>
    </row>
    <row r="335" spans="1:11">
      <c r="A335" t="str">
        <f>IF(LEFT(E335,1)="1","SOL",IF(LEFT(E335,1)="2","CO",IF(LEFT(E335,1)="3","ALM",IF(LEFT(E335,1)="4","FAC","TRX")))) &amp; "-" &amp; B335 &amp; "-" &amp; TEXT(COUNTIFS($E$2:$E335,E335,$B$2:$B335,B335),"000")</f>
        <v>CO-25-069</v>
      </c>
      <c r="B335">
        <v>25</v>
      </c>
      <c r="C335" s="364">
        <v>46191</v>
      </c>
      <c r="D335" t="s">
        <v>1</v>
      </c>
      <c r="E335" t="s">
        <v>246</v>
      </c>
      <c r="F335" t="s">
        <v>251</v>
      </c>
      <c r="G335" s="3">
        <v>115</v>
      </c>
      <c r="H335" s="365">
        <v>27</v>
      </c>
      <c r="I335" s="365">
        <v>3105</v>
      </c>
      <c r="J335" t="s">
        <v>209</v>
      </c>
    </row>
    <row r="336" spans="1:11">
      <c r="A336" t="str">
        <f>IF(LEFT(E336,1)="1","SOL",IF(LEFT(E336,1)="2","CO",IF(LEFT(E336,1)="3","ALM",IF(LEFT(E336,1)="4","FAC","TRX")))) &amp; "-" &amp; B336 &amp; "-" &amp; TEXT(COUNTIFS($E$2:$E336,E336,$B$2:$B336,B336),"000")</f>
        <v>CO-25-070</v>
      </c>
      <c r="B336">
        <v>25</v>
      </c>
      <c r="C336" s="364">
        <v>46191</v>
      </c>
      <c r="D336" t="s">
        <v>1</v>
      </c>
      <c r="E336" t="s">
        <v>246</v>
      </c>
      <c r="F336" t="s">
        <v>227</v>
      </c>
      <c r="G336" s="3">
        <v>30</v>
      </c>
      <c r="H336" s="365">
        <v>27</v>
      </c>
      <c r="I336" s="365">
        <v>810</v>
      </c>
      <c r="J336" t="s">
        <v>209</v>
      </c>
    </row>
    <row r="337" spans="1:10">
      <c r="A337" t="str">
        <f>IF(LEFT(E337,1)="1","SOL",IF(LEFT(E337,1)="2","CO",IF(LEFT(E337,1)="3","ALM",IF(LEFT(E337,1)="4","FAC","TRX")))) &amp; "-" &amp; B337 &amp; "-" &amp; TEXT(COUNTIFS($E$2:$E337,E337,$B$2:$B337,B337),"000")</f>
        <v>CO-25-071</v>
      </c>
      <c r="B337">
        <v>25</v>
      </c>
      <c r="C337" s="364">
        <v>46191</v>
      </c>
      <c r="D337" t="s">
        <v>1</v>
      </c>
      <c r="E337" t="s">
        <v>246</v>
      </c>
      <c r="F337" t="s">
        <v>226</v>
      </c>
      <c r="G337" s="3">
        <v>30</v>
      </c>
      <c r="H337" s="365">
        <v>27</v>
      </c>
      <c r="I337" s="365">
        <v>810</v>
      </c>
      <c r="J337" t="s">
        <v>209</v>
      </c>
    </row>
    <row r="338" spans="1:10">
      <c r="A338" t="str">
        <f>IF(LEFT(E338,1)="1","SOL",IF(LEFT(E338,1)="2","CO",IF(LEFT(E338,1)="3","ALM",IF(LEFT(E338,1)="4","FAC","TRX")))) &amp; "-" &amp; B338 &amp; "-" &amp; TEXT(COUNTIFS($E$2:$E338,E338,$B$2:$B338,B338),"000")</f>
        <v>CO-25-072</v>
      </c>
      <c r="B338">
        <v>25</v>
      </c>
      <c r="C338" s="364">
        <v>46191</v>
      </c>
      <c r="D338" t="s">
        <v>1</v>
      </c>
      <c r="E338" t="s">
        <v>246</v>
      </c>
      <c r="F338" t="s">
        <v>249</v>
      </c>
      <c r="G338" s="3">
        <v>30</v>
      </c>
      <c r="H338" s="365">
        <v>27</v>
      </c>
      <c r="I338" s="365">
        <v>810</v>
      </c>
      <c r="J338" t="s">
        <v>209</v>
      </c>
    </row>
    <row r="339" spans="1:10">
      <c r="A339" t="str">
        <f>IF(LEFT(E339,1)="1","SOL",IF(LEFT(E339,1)="2","CO",IF(LEFT(E339,1)="3","ALM",IF(LEFT(E339,1)="4","FAC","TRX")))) &amp; "-" &amp; B339 &amp; "-" &amp; TEXT(COUNTIFS($E$2:$E339,E339,$B$2:$B339,B339),"000")</f>
        <v>CO-25-073</v>
      </c>
      <c r="B339">
        <v>25</v>
      </c>
      <c r="C339" s="364">
        <v>46191</v>
      </c>
      <c r="D339" t="s">
        <v>1</v>
      </c>
      <c r="E339" t="s">
        <v>246</v>
      </c>
      <c r="F339" t="s">
        <v>252</v>
      </c>
      <c r="G339" s="3">
        <v>50</v>
      </c>
      <c r="H339" s="365">
        <v>27</v>
      </c>
      <c r="I339" s="365">
        <v>1350</v>
      </c>
      <c r="J339" t="s">
        <v>209</v>
      </c>
    </row>
    <row r="340" spans="1:10">
      <c r="A340" t="str">
        <f>IF(LEFT(E340,1)="1","SOL",IF(LEFT(E340,1)="2","CO",IF(LEFT(E340,1)="3","ALM",IF(LEFT(E340,1)="4","FAC","TRX")))) &amp; "-" &amp; B340 &amp; "-" &amp; TEXT(COUNTIFS($E$2:$E340,E340,$B$2:$B340,B340),"000")</f>
        <v>CO-25-074</v>
      </c>
      <c r="B340">
        <v>25</v>
      </c>
      <c r="C340" s="364">
        <v>46191</v>
      </c>
      <c r="D340" t="s">
        <v>140</v>
      </c>
      <c r="E340" t="s">
        <v>246</v>
      </c>
      <c r="F340" t="s">
        <v>222</v>
      </c>
      <c r="G340" s="3">
        <v>200</v>
      </c>
      <c r="H340" s="365">
        <v>27</v>
      </c>
      <c r="I340" s="365">
        <v>5400</v>
      </c>
      <c r="J340" t="s">
        <v>209</v>
      </c>
    </row>
    <row r="341" spans="1:10">
      <c r="A341" t="str">
        <f>IF(LEFT(E341,1)="1","SOL",IF(LEFT(E341,1)="2","CO",IF(LEFT(E341,1)="3","ALM",IF(LEFT(E341,1)="4","FAC","TRX")))) &amp; "-" &amp; B341 &amp; "-" &amp; TEXT(COUNTIFS($E$2:$E341,E341,$B$2:$B341,B341),"000")</f>
        <v>CO-25-075</v>
      </c>
      <c r="B341">
        <v>25</v>
      </c>
      <c r="C341" s="364">
        <v>46191</v>
      </c>
      <c r="D341" t="s">
        <v>140</v>
      </c>
      <c r="E341" t="s">
        <v>246</v>
      </c>
      <c r="F341" t="s">
        <v>224</v>
      </c>
      <c r="G341" s="3">
        <v>100</v>
      </c>
      <c r="H341" s="365">
        <v>27</v>
      </c>
      <c r="I341" s="365">
        <v>2700</v>
      </c>
      <c r="J341" t="s">
        <v>209</v>
      </c>
    </row>
    <row r="342" spans="1:10">
      <c r="A342" t="str">
        <f>IF(LEFT(E342,1)="1","SOL",IF(LEFT(E342,1)="2","CO",IF(LEFT(E342,1)="3","ALM",IF(LEFT(E342,1)="4","FAC","TRX")))) &amp; "-" &amp; B342 &amp; "-" &amp; TEXT(COUNTIFS($E$2:$E342,E342,$B$2:$B342,B342),"000")</f>
        <v>CO-25-076</v>
      </c>
      <c r="B342">
        <v>25</v>
      </c>
      <c r="C342" s="364">
        <v>46191</v>
      </c>
      <c r="D342" t="s">
        <v>140</v>
      </c>
      <c r="E342" t="s">
        <v>246</v>
      </c>
      <c r="F342" t="s">
        <v>225</v>
      </c>
      <c r="G342" s="3">
        <v>100</v>
      </c>
      <c r="H342" s="365">
        <v>27</v>
      </c>
      <c r="I342" s="365">
        <v>2700</v>
      </c>
      <c r="J342" t="s">
        <v>209</v>
      </c>
    </row>
    <row r="343" spans="1:10">
      <c r="A343" t="str">
        <f>IF(LEFT(E343,1)="1","SOL",IF(LEFT(E343,1)="2","CO",IF(LEFT(E343,1)="3","ALM",IF(LEFT(E343,1)="4","FAC","TRX")))) &amp; "-" &amp; B343 &amp; "-" &amp; TEXT(COUNTIFS($E$2:$E343,E343,$B$2:$B343,B343),"000")</f>
        <v>CO-25-077</v>
      </c>
      <c r="B343">
        <v>25</v>
      </c>
      <c r="C343" s="364">
        <v>46191</v>
      </c>
      <c r="D343" t="s">
        <v>140</v>
      </c>
      <c r="E343" t="s">
        <v>246</v>
      </c>
      <c r="F343" t="s">
        <v>231</v>
      </c>
      <c r="G343" s="3">
        <v>100</v>
      </c>
      <c r="H343" s="365">
        <v>27</v>
      </c>
      <c r="I343" s="365">
        <v>2700</v>
      </c>
      <c r="J343" t="s">
        <v>209</v>
      </c>
    </row>
    <row r="344" spans="1:10">
      <c r="A344" t="str">
        <f>IF(LEFT(E344,1)="1","SOL",IF(LEFT(E344,1)="2","CO",IF(LEFT(E344,1)="3","ALM",IF(LEFT(E344,1)="4","FAC","TRX")))) &amp; "-" &amp; B344 &amp; "-" &amp; TEXT(COUNTIFS($E$2:$E344,E344,$B$2:$B344,B344),"000")</f>
        <v>CO-25-078</v>
      </c>
      <c r="B344">
        <v>25</v>
      </c>
      <c r="C344" s="364">
        <v>46191</v>
      </c>
      <c r="D344" t="s">
        <v>1</v>
      </c>
      <c r="E344" t="s">
        <v>246</v>
      </c>
      <c r="F344" t="s">
        <v>287</v>
      </c>
      <c r="G344" s="3">
        <v>50</v>
      </c>
      <c r="H344" s="365">
        <v>28.3</v>
      </c>
      <c r="I344" s="365">
        <v>1415</v>
      </c>
      <c r="J344" t="s">
        <v>209</v>
      </c>
    </row>
    <row r="345" spans="1:10">
      <c r="A345" t="str">
        <f>IF(LEFT(E345,1)="1","SOL",IF(LEFT(E345,1)="2","CO",IF(LEFT(E345,1)="3","ALM",IF(LEFT(E345,1)="4","FAC","TRX")))) &amp; "-" &amp; B345 &amp; "-" &amp; TEXT(COUNTIFS($E$2:$E345,E345,$B$2:$B345,B345),"000")</f>
        <v>CO-25-079</v>
      </c>
      <c r="B345">
        <v>25</v>
      </c>
      <c r="C345" s="364">
        <v>46191</v>
      </c>
      <c r="D345" t="s">
        <v>1</v>
      </c>
      <c r="E345" t="s">
        <v>246</v>
      </c>
      <c r="F345" t="s">
        <v>282</v>
      </c>
      <c r="G345" s="3">
        <v>200</v>
      </c>
      <c r="H345" s="365">
        <v>28.3</v>
      </c>
      <c r="I345" s="365">
        <v>5660</v>
      </c>
      <c r="J345" t="s">
        <v>209</v>
      </c>
    </row>
    <row r="346" spans="1:10">
      <c r="A346" t="str">
        <f>IF(LEFT(E346,1)="1","SOL",IF(LEFT(E346,1)="2","CO",IF(LEFT(E346,1)="3","ALM",IF(LEFT(E346,1)="4","FAC","TRX")))) &amp; "-" &amp; B346 &amp; "-" &amp; TEXT(COUNTIFS($E$2:$E346,E346,$B$2:$B346,B346),"000")</f>
        <v>CO-25-080</v>
      </c>
      <c r="B346">
        <v>25</v>
      </c>
      <c r="C346" s="364">
        <v>46191</v>
      </c>
      <c r="D346" t="s">
        <v>1</v>
      </c>
      <c r="E346" t="s">
        <v>246</v>
      </c>
      <c r="F346" t="s">
        <v>286</v>
      </c>
      <c r="G346" s="3">
        <v>115</v>
      </c>
      <c r="H346" s="365">
        <v>28.3</v>
      </c>
      <c r="I346" s="365">
        <v>3254.5</v>
      </c>
      <c r="J346" t="s">
        <v>209</v>
      </c>
    </row>
    <row r="347" spans="1:10">
      <c r="A347" t="str">
        <f>IF(LEFT(E347,1)="1","SOL",IF(LEFT(E347,1)="2","CO",IF(LEFT(E347,1)="3","ALM",IF(LEFT(E347,1)="4","FAC","TRX")))) &amp; "-" &amp; B347 &amp; "-" &amp; TEXT(COUNTIFS($E$2:$E347,E347,$B$2:$B347,B347),"000")</f>
        <v>CO-25-081</v>
      </c>
      <c r="B347">
        <v>25</v>
      </c>
      <c r="C347" s="364">
        <v>46191</v>
      </c>
      <c r="D347" t="s">
        <v>1</v>
      </c>
      <c r="E347" t="s">
        <v>246</v>
      </c>
      <c r="F347" t="s">
        <v>285</v>
      </c>
      <c r="G347" s="3">
        <v>30</v>
      </c>
      <c r="H347" s="365">
        <v>28.3</v>
      </c>
      <c r="I347" s="365">
        <v>849</v>
      </c>
      <c r="J347" t="s">
        <v>209</v>
      </c>
    </row>
    <row r="348" spans="1:10">
      <c r="A348" t="str">
        <f>IF(LEFT(E348,1)="1","SOL",IF(LEFT(E348,1)="2","CO",IF(LEFT(E348,1)="3","ALM",IF(LEFT(E348,1)="4","FAC","TRX")))) &amp; "-" &amp; B348 &amp; "-" &amp; TEXT(COUNTIFS($E$2:$E348,E348,$B$2:$B348,B348),"000")</f>
        <v>CO-25-082</v>
      </c>
      <c r="B348">
        <v>25</v>
      </c>
      <c r="C348" s="364">
        <v>46191</v>
      </c>
      <c r="D348" t="s">
        <v>1</v>
      </c>
      <c r="E348" t="s">
        <v>246</v>
      </c>
      <c r="F348" t="s">
        <v>284</v>
      </c>
      <c r="G348" s="3">
        <v>30</v>
      </c>
      <c r="H348" s="365">
        <v>28.3</v>
      </c>
      <c r="I348" s="365">
        <v>849</v>
      </c>
      <c r="J348" t="s">
        <v>209</v>
      </c>
    </row>
    <row r="349" spans="1:10">
      <c r="A349" t="str">
        <f>IF(LEFT(E349,1)="1","SOL",IF(LEFT(E349,1)="2","CO",IF(LEFT(E349,1)="3","ALM",IF(LEFT(E349,1)="4","FAC","TRX")))) &amp; "-" &amp; B349 &amp; "-" &amp; TEXT(COUNTIFS($E$2:$E349,E349,$B$2:$B349,B349),"000")</f>
        <v>CO-25-083</v>
      </c>
      <c r="B349">
        <v>25</v>
      </c>
      <c r="C349" s="364">
        <v>46191</v>
      </c>
      <c r="D349" t="s">
        <v>1</v>
      </c>
      <c r="E349" t="s">
        <v>246</v>
      </c>
      <c r="F349" t="s">
        <v>283</v>
      </c>
      <c r="G349" s="3">
        <v>32</v>
      </c>
      <c r="H349" s="365">
        <v>28.3</v>
      </c>
      <c r="I349" s="365">
        <v>905.6</v>
      </c>
      <c r="J349" t="s">
        <v>209</v>
      </c>
    </row>
    <row r="350" spans="1:10">
      <c r="A350" t="str">
        <f>IF(LEFT(E350,1)="1","SOL",IF(LEFT(E350,1)="2","CO",IF(LEFT(E350,1)="3","ALM",IF(LEFT(E350,1)="4","FAC","TRX")))) &amp; "-" &amp; B350 &amp; "-" &amp; TEXT(COUNTIFS($E$2:$E350,E350,$B$2:$B350,B350),"000")</f>
        <v>CO-25-084</v>
      </c>
      <c r="B350">
        <v>25</v>
      </c>
      <c r="C350" s="364">
        <v>46191</v>
      </c>
      <c r="D350" t="s">
        <v>289</v>
      </c>
      <c r="E350" t="s">
        <v>246</v>
      </c>
      <c r="F350" t="s">
        <v>291</v>
      </c>
      <c r="G350" s="3">
        <v>70</v>
      </c>
      <c r="H350" s="365">
        <v>27</v>
      </c>
      <c r="I350" s="365">
        <v>1890</v>
      </c>
      <c r="J350" t="s">
        <v>209</v>
      </c>
    </row>
    <row r="351" spans="1:10">
      <c r="A351" t="str">
        <f>IF(LEFT(E351,1)="1","SOL",IF(LEFT(E351,1)="2","CO",IF(LEFT(E351,1)="3","ALM",IF(LEFT(E351,1)="4","FAC","TRX")))) &amp; "-" &amp; B351 &amp; "-" &amp; TEXT(COUNTIFS($E$2:$E351,E351,$B$2:$B351,B351),"000")</f>
        <v>CO-25-085</v>
      </c>
      <c r="B351">
        <v>25</v>
      </c>
      <c r="C351" s="364">
        <v>46191</v>
      </c>
      <c r="D351" t="s">
        <v>289</v>
      </c>
      <c r="E351" t="s">
        <v>246</v>
      </c>
      <c r="F351" t="s">
        <v>292</v>
      </c>
      <c r="G351" s="3">
        <v>40</v>
      </c>
      <c r="H351" s="365">
        <v>27</v>
      </c>
      <c r="I351" s="365">
        <v>1080</v>
      </c>
      <c r="J351" t="s">
        <v>209</v>
      </c>
    </row>
    <row r="352" spans="1:10">
      <c r="A352" t="str">
        <f>IF(LEFT(E352,1)="1","SOL",IF(LEFT(E352,1)="2","CO",IF(LEFT(E352,1)="3","ALM",IF(LEFT(E352,1)="4","FAC","TRX")))) &amp; "-" &amp; B352 &amp; "-" &amp; TEXT(COUNTIFS($E$2:$E352,E352,$B$2:$B352,B352),"000")</f>
        <v>CO-25-086</v>
      </c>
      <c r="B352">
        <v>25</v>
      </c>
      <c r="C352" s="364">
        <v>46191</v>
      </c>
      <c r="D352" t="s">
        <v>289</v>
      </c>
      <c r="E352" t="s">
        <v>246</v>
      </c>
      <c r="F352" t="s">
        <v>295</v>
      </c>
      <c r="G352" s="3">
        <v>100</v>
      </c>
      <c r="H352" s="365">
        <v>27</v>
      </c>
      <c r="I352" s="365">
        <v>2700</v>
      </c>
      <c r="J352" t="s">
        <v>209</v>
      </c>
    </row>
    <row r="353" spans="1:11">
      <c r="A353" t="str">
        <f>IF(LEFT(E353,1)="1","SOL",IF(LEFT(E353,1)="2","CO",IF(LEFT(E353,1)="3","ALM",IF(LEFT(E353,1)="4","FAC","TRX")))) &amp; "-" &amp; B353 &amp; "-" &amp; TEXT(COUNTIFS($E$2:$E353,E353,$B$2:$B353,B353),"000")</f>
        <v>FAC-25-007</v>
      </c>
      <c r="B353">
        <v>25</v>
      </c>
      <c r="C353" s="364">
        <v>46191</v>
      </c>
      <c r="D353" t="s">
        <v>247</v>
      </c>
      <c r="E353" t="s">
        <v>301</v>
      </c>
      <c r="F353" t="s">
        <v>320</v>
      </c>
      <c r="G353" s="3">
        <v>4000.0120000000006</v>
      </c>
      <c r="H353" s="365">
        <v>27.000008999972994</v>
      </c>
      <c r="I353" s="365">
        <v>108000.36</v>
      </c>
      <c r="J353" t="s">
        <v>209</v>
      </c>
      <c r="K353" t="s">
        <v>303</v>
      </c>
    </row>
    <row r="354" spans="1:11">
      <c r="A354" t="str">
        <f>IF(LEFT(E354,1)="1","SOL",IF(LEFT(E354,1)="2","CO",IF(LEFT(E354,1)="3","ALM",IF(LEFT(E354,1)="4","FAC","TRX")))) &amp; "-" &amp; B354 &amp; "-" &amp; TEXT(COUNTIFS($E$2:$E354,E354,$B$2:$B354,B354),"000")</f>
        <v>FAC-25-008</v>
      </c>
      <c r="B354">
        <v>25</v>
      </c>
      <c r="C354" s="364">
        <v>46191</v>
      </c>
      <c r="D354" t="s">
        <v>1</v>
      </c>
      <c r="E354" t="s">
        <v>301</v>
      </c>
      <c r="F354" t="s">
        <v>321</v>
      </c>
      <c r="G354" s="3">
        <v>490.00400000000002</v>
      </c>
      <c r="H354" s="365">
        <v>26.999983673602664</v>
      </c>
      <c r="I354" s="365">
        <v>13230.1</v>
      </c>
      <c r="J354" t="s">
        <v>209</v>
      </c>
      <c r="K354" t="s">
        <v>303</v>
      </c>
    </row>
    <row r="355" spans="1:11">
      <c r="A355" t="str">
        <f>IF(LEFT(E355,1)="1","SOL",IF(LEFT(E355,1)="2","CO",IF(LEFT(E355,1)="3","ALM",IF(LEFT(E355,1)="4","FAC","TRX")))) &amp; "-" &amp; B355 &amp; "-" &amp; TEXT(COUNTIFS($E$2:$E355,E355,$B$2:$B355,B355),"000")</f>
        <v>FAC-25-009</v>
      </c>
      <c r="B355">
        <v>25</v>
      </c>
      <c r="C355" s="364">
        <v>46191</v>
      </c>
      <c r="D355" t="s">
        <v>247</v>
      </c>
      <c r="E355" t="s">
        <v>301</v>
      </c>
      <c r="F355" t="s">
        <v>326</v>
      </c>
      <c r="G355" s="3">
        <v>161.91200000000001</v>
      </c>
      <c r="H355" s="365">
        <v>23.900019763822321</v>
      </c>
      <c r="I355" s="365">
        <v>3869.7</v>
      </c>
      <c r="J355" t="s">
        <v>209</v>
      </c>
      <c r="K355" t="s">
        <v>303</v>
      </c>
    </row>
    <row r="356" spans="1:11">
      <c r="A356" t="str">
        <f>IF(LEFT(E356,1)="1","SOL",IF(LEFT(E356,1)="2","CO",IF(LEFT(E356,1)="3","ALM",IF(LEFT(E356,1)="4","FAC","TRX")))) &amp; "-" &amp; B356 &amp; "-" &amp; TEXT(COUNTIFS($E$2:$E356,E356,$B$2:$B356,B356),"000")</f>
        <v>FAC-25-010</v>
      </c>
      <c r="B356">
        <v>25</v>
      </c>
      <c r="C356" s="364">
        <v>46191</v>
      </c>
      <c r="D356" t="s">
        <v>140</v>
      </c>
      <c r="E356" t="s">
        <v>301</v>
      </c>
      <c r="F356" t="s">
        <v>327</v>
      </c>
      <c r="G356" s="3">
        <v>500.00199999999995</v>
      </c>
      <c r="H356" s="365">
        <v>27.000011999952001</v>
      </c>
      <c r="I356" s="365">
        <v>13500.06</v>
      </c>
      <c r="J356" t="s">
        <v>209</v>
      </c>
      <c r="K356" t="s">
        <v>303</v>
      </c>
    </row>
    <row r="357" spans="1:11">
      <c r="A357" t="str">
        <f>IF(LEFT(E357,1)="1","SOL",IF(LEFT(E357,1)="2","CO",IF(LEFT(E357,1)="3","ALM",IF(LEFT(E357,1)="4","FAC","TRX")))) &amp; "-" &amp; B357 &amp; "-" &amp; TEXT(COUNTIFS($E$2:$E357,E357,$B$2:$B357,B357),"000")</f>
        <v>SOL-25-056</v>
      </c>
      <c r="B357">
        <v>25</v>
      </c>
      <c r="C357" s="364">
        <v>46192</v>
      </c>
      <c r="D357" t="s">
        <v>1</v>
      </c>
      <c r="E357" t="s">
        <v>208</v>
      </c>
      <c r="F357" t="s">
        <v>98</v>
      </c>
      <c r="G357" s="3">
        <v>100</v>
      </c>
      <c r="H357" s="365">
        <v>27</v>
      </c>
      <c r="I357" s="365">
        <v>2700</v>
      </c>
      <c r="J357" t="s">
        <v>209</v>
      </c>
      <c r="K357">
        <v>27</v>
      </c>
    </row>
    <row r="358" spans="1:11">
      <c r="A358" t="str">
        <f>IF(LEFT(E358,1)="1","SOL",IF(LEFT(E358,1)="2","CO",IF(LEFT(E358,1)="3","ALM",IF(LEFT(E358,1)="4","FAC","TRX")))) &amp; "-" &amp; B358 &amp; "-" &amp; TEXT(COUNTIFS($E$2:$E358,E358,$B$2:$B358,B358),"000")</f>
        <v>SOL-25-057</v>
      </c>
      <c r="B358">
        <v>25</v>
      </c>
      <c r="C358" s="364">
        <v>46192</v>
      </c>
      <c r="D358" t="s">
        <v>1</v>
      </c>
      <c r="E358" t="s">
        <v>208</v>
      </c>
      <c r="F358" t="s">
        <v>114</v>
      </c>
      <c r="G358" s="3">
        <v>20</v>
      </c>
      <c r="H358" s="365">
        <v>27</v>
      </c>
      <c r="I358" s="365">
        <v>540</v>
      </c>
      <c r="J358" t="s">
        <v>209</v>
      </c>
      <c r="K358">
        <v>27</v>
      </c>
    </row>
    <row r="359" spans="1:11">
      <c r="A359" t="str">
        <f>IF(LEFT(E359,1)="1","SOL",IF(LEFT(E359,1)="2","CO",IF(LEFT(E359,1)="3","ALM",IF(LEFT(E359,1)="4","FAC","TRX")))) &amp; "-" &amp; B359 &amp; "-" &amp; TEXT(COUNTIFS($E$2:$E359,E359,$B$2:$B359,B359),"000")</f>
        <v>SOL-25-058</v>
      </c>
      <c r="B359">
        <v>25</v>
      </c>
      <c r="C359" s="364">
        <v>46192</v>
      </c>
      <c r="D359" t="s">
        <v>1</v>
      </c>
      <c r="E359" t="s">
        <v>208</v>
      </c>
      <c r="F359" t="s">
        <v>212</v>
      </c>
      <c r="G359" s="3">
        <v>60</v>
      </c>
      <c r="H359" s="365">
        <v>27</v>
      </c>
      <c r="I359" s="365">
        <v>1620</v>
      </c>
      <c r="J359" t="s">
        <v>209</v>
      </c>
      <c r="K359">
        <v>27</v>
      </c>
    </row>
    <row r="360" spans="1:11">
      <c r="A360" t="str">
        <f>IF(LEFT(E360,1)="1","SOL",IF(LEFT(E360,1)="2","CO",IF(LEFT(E360,1)="3","ALM",IF(LEFT(E360,1)="4","FAC","TRX")))) &amp; "-" &amp; B360 &amp; "-" &amp; TEXT(COUNTIFS($E$2:$E360,E360,$B$2:$B360,B360),"000")</f>
        <v>SOL-25-059</v>
      </c>
      <c r="B360">
        <v>25</v>
      </c>
      <c r="C360" s="364">
        <v>46192</v>
      </c>
      <c r="D360" t="s">
        <v>1</v>
      </c>
      <c r="E360" t="s">
        <v>208</v>
      </c>
      <c r="F360" t="s">
        <v>97</v>
      </c>
      <c r="G360" s="3">
        <v>80</v>
      </c>
      <c r="H360" s="365">
        <v>27</v>
      </c>
      <c r="I360" s="365">
        <v>2160</v>
      </c>
      <c r="J360" t="s">
        <v>209</v>
      </c>
      <c r="K360">
        <v>27</v>
      </c>
    </row>
    <row r="361" spans="1:11">
      <c r="A361" t="str">
        <f>IF(LEFT(E361,1)="1","SOL",IF(LEFT(E361,1)="2","CO",IF(LEFT(E361,1)="3","ALM",IF(LEFT(E361,1)="4","FAC","TRX")))) &amp; "-" &amp; B361 &amp; "-" &amp; TEXT(COUNTIFS($E$2:$E361,E361,$B$2:$B361,B361),"000")</f>
        <v>SOL-25-060</v>
      </c>
      <c r="B361">
        <v>25</v>
      </c>
      <c r="C361" s="364">
        <v>46192</v>
      </c>
      <c r="D361" t="s">
        <v>1</v>
      </c>
      <c r="E361" t="s">
        <v>208</v>
      </c>
      <c r="F361" t="s">
        <v>91</v>
      </c>
      <c r="G361" s="3">
        <v>40</v>
      </c>
      <c r="H361" s="365">
        <v>27</v>
      </c>
      <c r="I361" s="365">
        <v>1080</v>
      </c>
      <c r="J361" t="s">
        <v>209</v>
      </c>
      <c r="K361">
        <v>27</v>
      </c>
    </row>
    <row r="362" spans="1:11">
      <c r="A362" t="str">
        <f>IF(LEFT(E362,1)="1","SOL",IF(LEFT(E362,1)="2","CO",IF(LEFT(E362,1)="3","ALM",IF(LEFT(E362,1)="4","FAC","TRX")))) &amp; "-" &amp; B362 &amp; "-" &amp; TEXT(COUNTIFS($E$2:$E362,E362,$B$2:$B362,B362),"000")</f>
        <v>SOL-25-061</v>
      </c>
      <c r="B362">
        <v>25</v>
      </c>
      <c r="C362" s="364">
        <v>46192</v>
      </c>
      <c r="D362" t="s">
        <v>1</v>
      </c>
      <c r="E362" t="s">
        <v>208</v>
      </c>
      <c r="F362" t="s">
        <v>60</v>
      </c>
      <c r="G362" s="3">
        <v>80</v>
      </c>
      <c r="H362" s="365">
        <v>27</v>
      </c>
      <c r="I362" s="365">
        <v>2160</v>
      </c>
      <c r="J362" t="s">
        <v>209</v>
      </c>
      <c r="K362">
        <v>27</v>
      </c>
    </row>
    <row r="363" spans="1:11">
      <c r="A363" t="str">
        <f>IF(LEFT(E363,1)="1","SOL",IF(LEFT(E363,1)="2","CO",IF(LEFT(E363,1)="3","ALM",IF(LEFT(E363,1)="4","FAC","TRX")))) &amp; "-" &amp; B363 &amp; "-" &amp; TEXT(COUNTIFS($E$2:$E363,E363,$B$2:$B363,B363),"000")</f>
        <v>SOL-25-062</v>
      </c>
      <c r="B363">
        <v>25</v>
      </c>
      <c r="C363" s="364">
        <v>46192</v>
      </c>
      <c r="D363" t="s">
        <v>1</v>
      </c>
      <c r="E363" t="s">
        <v>208</v>
      </c>
      <c r="F363" t="s">
        <v>65</v>
      </c>
      <c r="G363" s="3">
        <v>50</v>
      </c>
      <c r="H363" s="365">
        <v>27</v>
      </c>
      <c r="I363" s="365">
        <v>1350</v>
      </c>
      <c r="J363" t="s">
        <v>209</v>
      </c>
      <c r="K363">
        <v>27</v>
      </c>
    </row>
    <row r="364" spans="1:11">
      <c r="A364" t="str">
        <f>IF(LEFT(E364,1)="1","SOL",IF(LEFT(E364,1)="2","CO",IF(LEFT(E364,1)="3","ALM",IF(LEFT(E364,1)="4","FAC","TRX")))) &amp; "-" &amp; B364 &amp; "-" &amp; TEXT(COUNTIFS($E$2:$E364,E364,$B$2:$B364,B364),"000")</f>
        <v>CO-25-087</v>
      </c>
      <c r="B364">
        <v>25</v>
      </c>
      <c r="C364" s="364">
        <v>46192</v>
      </c>
      <c r="D364" t="s">
        <v>2</v>
      </c>
      <c r="E364" t="s">
        <v>246</v>
      </c>
      <c r="F364" t="s">
        <v>252</v>
      </c>
      <c r="G364" s="3">
        <v>40</v>
      </c>
      <c r="H364" s="365">
        <v>27</v>
      </c>
      <c r="I364" s="365">
        <v>1080</v>
      </c>
      <c r="J364" t="s">
        <v>209</v>
      </c>
    </row>
    <row r="365" spans="1:11">
      <c r="A365" t="str">
        <f>IF(LEFT(E365,1)="1","SOL",IF(LEFT(E365,1)="2","CO",IF(LEFT(E365,1)="3","ALM",IF(LEFT(E365,1)="4","FAC","TRX")))) &amp; "-" &amp; B365 &amp; "-" &amp; TEXT(COUNTIFS($E$2:$E365,E365,$B$2:$B365,B365),"000")</f>
        <v>CO-25-088</v>
      </c>
      <c r="B365">
        <v>25</v>
      </c>
      <c r="C365" s="364">
        <v>46192</v>
      </c>
      <c r="D365" t="s">
        <v>256</v>
      </c>
      <c r="E365" t="s">
        <v>246</v>
      </c>
      <c r="F365" t="s">
        <v>252</v>
      </c>
      <c r="G365" s="3">
        <v>40</v>
      </c>
      <c r="H365" s="365">
        <v>27</v>
      </c>
      <c r="I365" s="365">
        <v>1080</v>
      </c>
      <c r="J365" t="s">
        <v>209</v>
      </c>
    </row>
    <row r="366" spans="1:11">
      <c r="A366" t="str">
        <f>IF(LEFT(E366,1)="1","SOL",IF(LEFT(E366,1)="2","CO",IF(LEFT(E366,1)="3","ALM",IF(LEFT(E366,1)="4","FAC","TRX")))) &amp; "-" &amp; B366 &amp; "-" &amp; TEXT(COUNTIFS($E$2:$E366,E366,$B$2:$B366,B366),"000")</f>
        <v>CO-25-089</v>
      </c>
      <c r="B366">
        <v>25</v>
      </c>
      <c r="C366" s="364">
        <v>46192</v>
      </c>
      <c r="D366" t="s">
        <v>2</v>
      </c>
      <c r="E366" t="s">
        <v>246</v>
      </c>
      <c r="F366" t="s">
        <v>214</v>
      </c>
      <c r="G366" s="3">
        <v>43</v>
      </c>
      <c r="H366" s="365">
        <v>27</v>
      </c>
      <c r="I366" s="365">
        <v>1161</v>
      </c>
      <c r="J366" t="s">
        <v>209</v>
      </c>
    </row>
    <row r="367" spans="1:11">
      <c r="A367" t="str">
        <f>IF(LEFT(E367,1)="1","SOL",IF(LEFT(E367,1)="2","CO",IF(LEFT(E367,1)="3","ALM",IF(LEFT(E367,1)="4","FAC","TRX")))) &amp; "-" &amp; B367 &amp; "-" &amp; TEXT(COUNTIFS($E$2:$E367,E367,$B$2:$B367,B367),"000")</f>
        <v>CO-25-090</v>
      </c>
      <c r="B367">
        <v>25</v>
      </c>
      <c r="C367" s="364">
        <v>46192</v>
      </c>
      <c r="D367" t="s">
        <v>2</v>
      </c>
      <c r="E367" t="s">
        <v>246</v>
      </c>
      <c r="F367" t="s">
        <v>226</v>
      </c>
      <c r="G367" s="3">
        <v>50</v>
      </c>
      <c r="H367" s="365">
        <v>27</v>
      </c>
      <c r="I367" s="365">
        <v>1350</v>
      </c>
      <c r="J367" t="s">
        <v>209</v>
      </c>
    </row>
    <row r="368" spans="1:11">
      <c r="A368" t="str">
        <f>IF(LEFT(E368,1)="1","SOL",IF(LEFT(E368,1)="2","CO",IF(LEFT(E368,1)="3","ALM",IF(LEFT(E368,1)="4","FAC","TRX")))) &amp; "-" &amp; B368 &amp; "-" &amp; TEXT(COUNTIFS($E$2:$E368,E368,$B$2:$B368,B368),"000")</f>
        <v>CO-25-091</v>
      </c>
      <c r="B368">
        <v>25</v>
      </c>
      <c r="C368" s="364">
        <v>46192</v>
      </c>
      <c r="D368" t="s">
        <v>2</v>
      </c>
      <c r="E368" t="s">
        <v>246</v>
      </c>
      <c r="F368" t="s">
        <v>249</v>
      </c>
      <c r="G368" s="3">
        <v>80</v>
      </c>
      <c r="H368" s="365">
        <v>27</v>
      </c>
      <c r="I368" s="365">
        <v>2160</v>
      </c>
      <c r="J368" t="s">
        <v>209</v>
      </c>
    </row>
    <row r="369" spans="1:10">
      <c r="A369" t="str">
        <f>IF(LEFT(E369,1)="1","SOL",IF(LEFT(E369,1)="2","CO",IF(LEFT(E369,1)="3","ALM",IF(LEFT(E369,1)="4","FAC","TRX")))) &amp; "-" &amp; B369 &amp; "-" &amp; TEXT(COUNTIFS($E$2:$E369,E369,$B$2:$B369,B369),"000")</f>
        <v>CO-25-092</v>
      </c>
      <c r="B369">
        <v>25</v>
      </c>
      <c r="C369" s="364">
        <v>46192</v>
      </c>
      <c r="D369" t="s">
        <v>2</v>
      </c>
      <c r="E369" t="s">
        <v>246</v>
      </c>
      <c r="F369" t="s">
        <v>218</v>
      </c>
      <c r="G369" s="3">
        <v>30</v>
      </c>
      <c r="H369" s="365">
        <v>27</v>
      </c>
      <c r="I369" s="365">
        <v>810</v>
      </c>
      <c r="J369" t="s">
        <v>209</v>
      </c>
    </row>
    <row r="370" spans="1:10">
      <c r="A370" t="str">
        <f>IF(LEFT(E370,1)="1","SOL",IF(LEFT(E370,1)="2","CO",IF(LEFT(E370,1)="3","ALM",IF(LEFT(E370,1)="4","FAC","TRX")))) &amp; "-" &amp; B370 &amp; "-" &amp; TEXT(COUNTIFS($E$2:$E370,E370,$B$2:$B370,B370),"000")</f>
        <v>CO-25-093</v>
      </c>
      <c r="B370">
        <v>25</v>
      </c>
      <c r="C370" s="364">
        <v>46192</v>
      </c>
      <c r="D370" t="s">
        <v>2</v>
      </c>
      <c r="E370" t="s">
        <v>246</v>
      </c>
      <c r="F370" t="s">
        <v>250</v>
      </c>
      <c r="G370" s="3">
        <v>160</v>
      </c>
      <c r="H370" s="365">
        <v>27</v>
      </c>
      <c r="I370" s="365">
        <v>4320</v>
      </c>
      <c r="J370" t="s">
        <v>209</v>
      </c>
    </row>
    <row r="371" spans="1:10">
      <c r="A371" t="str">
        <f>IF(LEFT(E371,1)="1","SOL",IF(LEFT(E371,1)="2","CO",IF(LEFT(E371,1)="3","ALM",IF(LEFT(E371,1)="4","FAC","TRX")))) &amp; "-" &amp; B371 &amp; "-" &amp; TEXT(COUNTIFS($E$2:$E371,E371,$B$2:$B371,B371),"000")</f>
        <v>CO-25-094</v>
      </c>
      <c r="B371">
        <v>25</v>
      </c>
      <c r="C371" s="364">
        <v>46192</v>
      </c>
      <c r="D371" t="s">
        <v>2</v>
      </c>
      <c r="E371" t="s">
        <v>246</v>
      </c>
      <c r="F371" t="s">
        <v>234</v>
      </c>
      <c r="G371" s="3">
        <v>50</v>
      </c>
      <c r="H371" s="365">
        <v>27</v>
      </c>
      <c r="I371" s="365">
        <v>1350</v>
      </c>
      <c r="J371" t="s">
        <v>209</v>
      </c>
    </row>
    <row r="372" spans="1:10">
      <c r="A372" t="str">
        <f>IF(LEFT(E372,1)="1","SOL",IF(LEFT(E372,1)="2","CO",IF(LEFT(E372,1)="3","ALM",IF(LEFT(E372,1)="4","FAC","TRX")))) &amp; "-" &amp; B372 &amp; "-" &amp; TEXT(COUNTIFS($E$2:$E372,E372,$B$2:$B372,B372),"000")</f>
        <v>CO-25-095</v>
      </c>
      <c r="B372">
        <v>25</v>
      </c>
      <c r="C372" s="364">
        <v>46192</v>
      </c>
      <c r="D372" t="s">
        <v>126</v>
      </c>
      <c r="E372" t="s">
        <v>246</v>
      </c>
      <c r="F372" t="s">
        <v>223</v>
      </c>
      <c r="G372" s="3">
        <v>60</v>
      </c>
      <c r="H372" s="365">
        <v>27</v>
      </c>
      <c r="I372" s="365">
        <v>1620</v>
      </c>
      <c r="J372" t="s">
        <v>209</v>
      </c>
    </row>
    <row r="373" spans="1:10">
      <c r="A373" t="str">
        <f>IF(LEFT(E373,1)="1","SOL",IF(LEFT(E373,1)="2","CO",IF(LEFT(E373,1)="3","ALM",IF(LEFT(E373,1)="4","FAC","TRX")))) &amp; "-" &amp; B373 &amp; "-" &amp; TEXT(COUNTIFS($E$2:$E373,E373,$B$2:$B373,B373),"000")</f>
        <v>CO-25-096</v>
      </c>
      <c r="B373">
        <v>25</v>
      </c>
      <c r="C373" s="364">
        <v>46192</v>
      </c>
      <c r="D373" t="s">
        <v>1</v>
      </c>
      <c r="E373" t="s">
        <v>246</v>
      </c>
      <c r="F373" t="s">
        <v>251</v>
      </c>
      <c r="G373" s="3">
        <v>120</v>
      </c>
      <c r="H373" s="365">
        <v>27</v>
      </c>
      <c r="I373" s="365">
        <v>3240</v>
      </c>
      <c r="J373" t="s">
        <v>209</v>
      </c>
    </row>
    <row r="374" spans="1:10">
      <c r="A374" t="str">
        <f>IF(LEFT(E374,1)="1","SOL",IF(LEFT(E374,1)="2","CO",IF(LEFT(E374,1)="3","ALM",IF(LEFT(E374,1)="4","FAC","TRX")))) &amp; "-" &amp; B374 &amp; "-" &amp; TEXT(COUNTIFS($E$2:$E374,E374,$B$2:$B374,B374),"000")</f>
        <v>CO-25-097</v>
      </c>
      <c r="B374">
        <v>25</v>
      </c>
      <c r="C374" s="364">
        <v>46192</v>
      </c>
      <c r="D374" t="s">
        <v>1</v>
      </c>
      <c r="E374" t="s">
        <v>246</v>
      </c>
      <c r="F374" t="s">
        <v>226</v>
      </c>
      <c r="G374" s="3">
        <v>30</v>
      </c>
      <c r="H374" s="365">
        <v>27</v>
      </c>
      <c r="I374" s="365">
        <v>810</v>
      </c>
      <c r="J374" t="s">
        <v>209</v>
      </c>
    </row>
    <row r="375" spans="1:10">
      <c r="A375" t="str">
        <f>IF(LEFT(E375,1)="1","SOL",IF(LEFT(E375,1)="2","CO",IF(LEFT(E375,1)="3","ALM",IF(LEFT(E375,1)="4","FAC","TRX")))) &amp; "-" &amp; B375 &amp; "-" &amp; TEXT(COUNTIFS($E$2:$E375,E375,$B$2:$B375,B375),"000")</f>
        <v>CO-25-098</v>
      </c>
      <c r="B375">
        <v>25</v>
      </c>
      <c r="C375" s="364">
        <v>46192</v>
      </c>
      <c r="D375" t="s">
        <v>1</v>
      </c>
      <c r="E375" t="s">
        <v>246</v>
      </c>
      <c r="F375" t="s">
        <v>227</v>
      </c>
      <c r="G375" s="3">
        <v>84</v>
      </c>
      <c r="H375" s="365">
        <v>27</v>
      </c>
      <c r="I375" s="365">
        <v>2268</v>
      </c>
      <c r="J375" t="s">
        <v>209</v>
      </c>
    </row>
    <row r="376" spans="1:10">
      <c r="A376" t="str">
        <f>IF(LEFT(E376,1)="1","SOL",IF(LEFT(E376,1)="2","CO",IF(LEFT(E376,1)="3","ALM",IF(LEFT(E376,1)="4","FAC","TRX")))) &amp; "-" &amp; B376 &amp; "-" &amp; TEXT(COUNTIFS($E$2:$E376,E376,$B$2:$B376,B376),"000")</f>
        <v>CO-25-099</v>
      </c>
      <c r="B376">
        <v>25</v>
      </c>
      <c r="C376" s="364">
        <v>46192</v>
      </c>
      <c r="D376" t="s">
        <v>1</v>
      </c>
      <c r="E376" t="s">
        <v>246</v>
      </c>
      <c r="F376" t="s">
        <v>249</v>
      </c>
      <c r="G376" s="3">
        <v>40</v>
      </c>
      <c r="H376" s="365">
        <v>27</v>
      </c>
      <c r="I376" s="365">
        <v>1080</v>
      </c>
      <c r="J376" t="s">
        <v>209</v>
      </c>
    </row>
    <row r="377" spans="1:10">
      <c r="A377" t="str">
        <f>IF(LEFT(E377,1)="1","SOL",IF(LEFT(E377,1)="2","CO",IF(LEFT(E377,1)="3","ALM",IF(LEFT(E377,1)="4","FAC","TRX")))) &amp; "-" &amp; B377 &amp; "-" &amp; TEXT(COUNTIFS($E$2:$E377,E377,$B$2:$B377,B377),"000")</f>
        <v>CO-25-100</v>
      </c>
      <c r="B377">
        <v>25</v>
      </c>
      <c r="C377" s="364">
        <v>46192</v>
      </c>
      <c r="D377" t="s">
        <v>1</v>
      </c>
      <c r="E377" t="s">
        <v>246</v>
      </c>
      <c r="F377" t="s">
        <v>242</v>
      </c>
      <c r="G377" s="3">
        <v>30</v>
      </c>
      <c r="H377" s="365">
        <v>27</v>
      </c>
      <c r="I377" s="365">
        <v>810</v>
      </c>
      <c r="J377" t="s">
        <v>209</v>
      </c>
    </row>
    <row r="378" spans="1:10">
      <c r="A378" t="str">
        <f>IF(LEFT(E378,1)="1","SOL",IF(LEFT(E378,1)="2","CO",IF(LEFT(E378,1)="3","ALM",IF(LEFT(E378,1)="4","FAC","TRX")))) &amp; "-" &amp; B378 &amp; "-" &amp; TEXT(COUNTIFS($E$2:$E378,E378,$B$2:$B378,B378),"000")</f>
        <v>CO-25-101</v>
      </c>
      <c r="B378">
        <v>25</v>
      </c>
      <c r="C378" s="364">
        <v>46192</v>
      </c>
      <c r="D378" t="s">
        <v>126</v>
      </c>
      <c r="E378" t="s">
        <v>246</v>
      </c>
      <c r="F378" t="s">
        <v>223</v>
      </c>
      <c r="G378" s="3">
        <v>50</v>
      </c>
      <c r="H378" s="365">
        <v>27</v>
      </c>
      <c r="I378" s="365">
        <v>1350</v>
      </c>
      <c r="J378" t="s">
        <v>209</v>
      </c>
    </row>
    <row r="379" spans="1:10">
      <c r="A379" t="str">
        <f>IF(LEFT(E379,1)="1","SOL",IF(LEFT(E379,1)="2","CO",IF(LEFT(E379,1)="3","ALM",IF(LEFT(E379,1)="4","FAC","TRX")))) &amp; "-" &amp; B379 &amp; "-" &amp; TEXT(COUNTIFS($E$2:$E379,E379,$B$2:$B379,B379),"000")</f>
        <v>CO-25-102</v>
      </c>
      <c r="B379">
        <v>25</v>
      </c>
      <c r="C379" s="364">
        <v>46192</v>
      </c>
      <c r="D379" t="s">
        <v>126</v>
      </c>
      <c r="E379" t="s">
        <v>246</v>
      </c>
      <c r="F379" t="s">
        <v>229</v>
      </c>
      <c r="G379" s="3">
        <v>10</v>
      </c>
      <c r="H379" s="365">
        <v>27</v>
      </c>
      <c r="I379" s="365">
        <v>270</v>
      </c>
      <c r="J379" t="s">
        <v>209</v>
      </c>
    </row>
    <row r="380" spans="1:10">
      <c r="A380" t="str">
        <f>IF(LEFT(E380,1)="1","SOL",IF(LEFT(E380,1)="2","CO",IF(LEFT(E380,1)="3","ALM",IF(LEFT(E380,1)="4","FAC","TRX")))) &amp; "-" &amp; B380 &amp; "-" &amp; TEXT(COUNTIFS($E$2:$E380,E380,$B$2:$B380,B380),"000")</f>
        <v>CO-25-103</v>
      </c>
      <c r="B380">
        <v>25</v>
      </c>
      <c r="C380" s="364">
        <v>46192</v>
      </c>
      <c r="D380" t="s">
        <v>1</v>
      </c>
      <c r="E380" t="s">
        <v>246</v>
      </c>
      <c r="F380" t="s">
        <v>286</v>
      </c>
      <c r="G380" s="3">
        <v>120</v>
      </c>
      <c r="H380" s="365">
        <v>28.3</v>
      </c>
      <c r="I380" s="365">
        <v>3396</v>
      </c>
      <c r="J380" t="s">
        <v>209</v>
      </c>
    </row>
    <row r="381" spans="1:10">
      <c r="A381" t="str">
        <f>IF(LEFT(E381,1)="1","SOL",IF(LEFT(E381,1)="2","CO",IF(LEFT(E381,1)="3","ALM",IF(LEFT(E381,1)="4","FAC","TRX")))) &amp; "-" &amp; B381 &amp; "-" &amp; TEXT(COUNTIFS($E$2:$E381,E381,$B$2:$B381,B381),"000")</f>
        <v>CO-25-104</v>
      </c>
      <c r="B381">
        <v>25</v>
      </c>
      <c r="C381" s="364">
        <v>46192</v>
      </c>
      <c r="D381" t="s">
        <v>1</v>
      </c>
      <c r="E381" t="s">
        <v>246</v>
      </c>
      <c r="F381" t="s">
        <v>284</v>
      </c>
      <c r="G381" s="3">
        <v>30</v>
      </c>
      <c r="H381" s="365">
        <v>28.3</v>
      </c>
      <c r="I381" s="365">
        <v>849</v>
      </c>
      <c r="J381" t="s">
        <v>209</v>
      </c>
    </row>
    <row r="382" spans="1:10">
      <c r="A382" t="str">
        <f>IF(LEFT(E382,1)="1","SOL",IF(LEFT(E382,1)="2","CO",IF(LEFT(E382,1)="3","ALM",IF(LEFT(E382,1)="4","FAC","TRX")))) &amp; "-" &amp; B382 &amp; "-" &amp; TEXT(COUNTIFS($E$2:$E382,E382,$B$2:$B382,B382),"000")</f>
        <v>CO-25-105</v>
      </c>
      <c r="B382">
        <v>25</v>
      </c>
      <c r="C382" s="364">
        <v>46192</v>
      </c>
      <c r="D382" t="s">
        <v>1</v>
      </c>
      <c r="E382" t="s">
        <v>246</v>
      </c>
      <c r="F382" t="s">
        <v>285</v>
      </c>
      <c r="G382" s="3">
        <v>84</v>
      </c>
      <c r="H382" s="365">
        <v>28.3</v>
      </c>
      <c r="I382" s="365">
        <v>2377.2000000000003</v>
      </c>
      <c r="J382" t="s">
        <v>209</v>
      </c>
    </row>
    <row r="383" spans="1:10">
      <c r="A383" t="str">
        <f>IF(LEFT(E383,1)="1","SOL",IF(LEFT(E383,1)="2","CO",IF(LEFT(E383,1)="3","ALM",IF(LEFT(E383,1)="4","FAC","TRX")))) &amp; "-" &amp; B383 &amp; "-" &amp; TEXT(COUNTIFS($E$2:$E383,E383,$B$2:$B383,B383),"000")</f>
        <v>CO-25-106</v>
      </c>
      <c r="B383">
        <v>25</v>
      </c>
      <c r="C383" s="364">
        <v>46192</v>
      </c>
      <c r="D383" t="s">
        <v>1</v>
      </c>
      <c r="E383" t="s">
        <v>246</v>
      </c>
      <c r="F383" t="s">
        <v>283</v>
      </c>
      <c r="G383" s="3">
        <v>40</v>
      </c>
      <c r="H383" s="365">
        <v>28.3</v>
      </c>
      <c r="I383" s="365">
        <v>1132</v>
      </c>
      <c r="J383" t="s">
        <v>209</v>
      </c>
    </row>
    <row r="384" spans="1:10">
      <c r="A384" t="str">
        <f>IF(LEFT(E384,1)="1","SOL",IF(LEFT(E384,1)="2","CO",IF(LEFT(E384,1)="3","ALM",IF(LEFT(E384,1)="4","FAC","TRX")))) &amp; "-" &amp; B384 &amp; "-" &amp; TEXT(COUNTIFS($E$2:$E384,E384,$B$2:$B384,B384),"000")</f>
        <v>CO-25-107</v>
      </c>
      <c r="B384">
        <v>25</v>
      </c>
      <c r="C384" s="364">
        <v>46192</v>
      </c>
      <c r="D384" t="s">
        <v>1</v>
      </c>
      <c r="E384" t="s">
        <v>246</v>
      </c>
      <c r="F384" t="s">
        <v>288</v>
      </c>
      <c r="G384" s="3">
        <v>30</v>
      </c>
      <c r="H384" s="365">
        <v>28.3</v>
      </c>
      <c r="I384" s="365">
        <v>849</v>
      </c>
      <c r="J384" t="s">
        <v>209</v>
      </c>
    </row>
    <row r="385" spans="1:11">
      <c r="A385" t="str">
        <f>IF(LEFT(E385,1)="1","SOL",IF(LEFT(E385,1)="2","CO",IF(LEFT(E385,1)="3","ALM",IF(LEFT(E385,1)="4","FAC","TRX")))) &amp; "-" &amp; B385 &amp; "-" &amp; TEXT(COUNTIFS($E$2:$E385,E385,$B$2:$B385,B385),"000")</f>
        <v>CO-25-108</v>
      </c>
      <c r="B385">
        <v>25</v>
      </c>
      <c r="C385" s="364">
        <v>46192</v>
      </c>
      <c r="D385" t="s">
        <v>289</v>
      </c>
      <c r="E385" t="s">
        <v>246</v>
      </c>
      <c r="F385" t="s">
        <v>296</v>
      </c>
      <c r="G385" s="3">
        <v>150</v>
      </c>
      <c r="H385" s="365">
        <v>27</v>
      </c>
      <c r="I385" s="365">
        <v>4050</v>
      </c>
      <c r="J385" t="s">
        <v>209</v>
      </c>
    </row>
    <row r="386" spans="1:11">
      <c r="A386" t="str">
        <f>IF(LEFT(E386,1)="1","SOL",IF(LEFT(E386,1)="2","CO",IF(LEFT(E386,1)="3","ALM",IF(LEFT(E386,1)="4","FAC","TRX")))) &amp; "-" &amp; B386 &amp; "-" &amp; TEXT(COUNTIFS($E$2:$E386,E386,$B$2:$B386,B386),"000")</f>
        <v>FAC-25-011</v>
      </c>
      <c r="B386">
        <v>25</v>
      </c>
      <c r="C386" s="364">
        <v>46192</v>
      </c>
      <c r="D386" t="s">
        <v>1</v>
      </c>
      <c r="E386" t="s">
        <v>301</v>
      </c>
      <c r="F386" t="s">
        <v>323</v>
      </c>
      <c r="G386" s="3">
        <v>400.00400000000002</v>
      </c>
      <c r="H386" s="365">
        <v>26.999980000199997</v>
      </c>
      <c r="I386" s="365">
        <v>10800.1</v>
      </c>
      <c r="J386" t="s">
        <v>209</v>
      </c>
      <c r="K386" t="s">
        <v>303</v>
      </c>
    </row>
    <row r="387" spans="1:11">
      <c r="A387" t="str">
        <f>IF(LEFT(E387,1)="1","SOL",IF(LEFT(E387,1)="2","CO",IF(LEFT(E387,1)="3","ALM",IF(LEFT(E387,1)="4","FAC","TRX")))) &amp; "-" &amp; B387 &amp; "-" &amp; TEXT(COUNTIFS($E$2:$E387,E387,$B$2:$B387,B387),"000")</f>
        <v>FAC-25-012</v>
      </c>
      <c r="B387">
        <v>25</v>
      </c>
      <c r="C387" s="364">
        <v>46192</v>
      </c>
      <c r="D387" t="s">
        <v>300</v>
      </c>
      <c r="E387" t="s">
        <v>301</v>
      </c>
      <c r="F387" t="s">
        <v>328</v>
      </c>
      <c r="G387" s="3">
        <v>4000.0120000000006</v>
      </c>
      <c r="H387" s="365">
        <v>27.000008999972994</v>
      </c>
      <c r="I387" s="365">
        <v>108000.36</v>
      </c>
      <c r="J387" t="s">
        <v>209</v>
      </c>
      <c r="K387" t="s">
        <v>303</v>
      </c>
    </row>
    <row r="388" spans="1:11">
      <c r="A388" t="str">
        <f>IF(LEFT(E388,1)="1","SOL",IF(LEFT(E388,1)="2","CO",IF(LEFT(E388,1)="3","ALM",IF(LEFT(E388,1)="4","FAC","TRX")))) &amp; "-" &amp; B388 &amp; "-" &amp; TEXT(COUNTIFS($E$2:$E388,E388,$B$2:$B388,B388),"000")</f>
        <v>FAC-25-013</v>
      </c>
      <c r="B388">
        <v>25</v>
      </c>
      <c r="C388" s="364">
        <v>46192</v>
      </c>
      <c r="D388" t="s">
        <v>300</v>
      </c>
      <c r="E388" t="s">
        <v>301</v>
      </c>
      <c r="F388" t="s">
        <v>329</v>
      </c>
      <c r="G388" s="3">
        <v>4000.0120000000006</v>
      </c>
      <c r="H388" s="365">
        <v>27.000008999972994</v>
      </c>
      <c r="I388" s="365">
        <v>108000.36</v>
      </c>
      <c r="J388" t="s">
        <v>209</v>
      </c>
      <c r="K388" t="s">
        <v>303</v>
      </c>
    </row>
    <row r="389" spans="1:11">
      <c r="A389" t="str">
        <f>IF(LEFT(E389,1)="1","SOL",IF(LEFT(E389,1)="2","CO",IF(LEFT(E389,1)="3","ALM",IF(LEFT(E389,1)="4","FAC","TRX")))) &amp; "-" &amp; B389 &amp; "-" &amp; TEXT(COUNTIFS($E$2:$E389,E389,$B$2:$B389,B389),"000")</f>
        <v>CO-25-109</v>
      </c>
      <c r="B389">
        <v>25</v>
      </c>
      <c r="C389" s="364">
        <v>46193</v>
      </c>
      <c r="D389" t="s">
        <v>289</v>
      </c>
      <c r="E389" t="s">
        <v>246</v>
      </c>
      <c r="F389" t="s">
        <v>296</v>
      </c>
      <c r="G389" s="3">
        <v>90</v>
      </c>
      <c r="H389" s="365">
        <v>27</v>
      </c>
      <c r="I389" s="365">
        <v>2430</v>
      </c>
      <c r="J389" t="s">
        <v>209</v>
      </c>
    </row>
    <row r="390" spans="1:11">
      <c r="A390" t="str">
        <f>IF(LEFT(E390,1)="1","SOL",IF(LEFT(E390,1)="2","CO",IF(LEFT(E390,1)="3","ALM",IF(LEFT(E390,1)="4","FAC","TRX")))) &amp; "-" &amp; B390 &amp; "-" &amp; TEXT(COUNTIFS($E$2:$E390,E390,$B$2:$B390,B390),"000")</f>
        <v>FAC-25-014</v>
      </c>
      <c r="B390">
        <v>25</v>
      </c>
      <c r="C390" s="364">
        <v>46193</v>
      </c>
      <c r="D390" t="s">
        <v>300</v>
      </c>
      <c r="E390" t="s">
        <v>301</v>
      </c>
      <c r="F390" t="s">
        <v>302</v>
      </c>
      <c r="G390" s="3">
        <v>4000</v>
      </c>
      <c r="H390" s="365">
        <v>27.00009</v>
      </c>
      <c r="I390" s="365">
        <v>108000.36</v>
      </c>
      <c r="J390" t="s">
        <v>209</v>
      </c>
      <c r="K390" t="s">
        <v>303</v>
      </c>
    </row>
    <row r="391" spans="1:11">
      <c r="A391" t="str">
        <f>IF(LEFT(E391,1)="1","SOL",IF(LEFT(E391,1)="2","CO",IF(LEFT(E391,1)="3","ALM",IF(LEFT(E391,1)="4","FAC","TRX")))) &amp; "-" &amp; B391 &amp; "-" &amp; TEXT(COUNTIFS($E$2:$E391,E391,$B$2:$B391,B391),"000")</f>
        <v>FAC-25-015</v>
      </c>
      <c r="B391">
        <v>25</v>
      </c>
      <c r="C391" s="364">
        <v>46193</v>
      </c>
      <c r="D391" t="s">
        <v>140</v>
      </c>
      <c r="E391" t="s">
        <v>301</v>
      </c>
      <c r="F391" t="s">
        <v>324</v>
      </c>
      <c r="G391" s="3">
        <v>600.00400000000002</v>
      </c>
      <c r="H391" s="365">
        <v>26.999986666755554</v>
      </c>
      <c r="I391" s="365">
        <v>16200.1</v>
      </c>
      <c r="J391" t="s">
        <v>209</v>
      </c>
      <c r="K391" t="s">
        <v>303</v>
      </c>
    </row>
    <row r="392" spans="1:11">
      <c r="A392" t="str">
        <f>IF(LEFT(E392,1)="1","SOL",IF(LEFT(E392,1)="2","CO",IF(LEFT(E392,1)="3","ALM",IF(LEFT(E392,1)="4","FAC","TRX")))) &amp; "-" &amp; B392 &amp; "-" &amp; TEXT(COUNTIFS($E$2:$E392,E392,$B$2:$B392,B392),"000")</f>
        <v>SOL-26-015</v>
      </c>
      <c r="B392">
        <v>26</v>
      </c>
      <c r="C392" s="364">
        <v>46195</v>
      </c>
      <c r="D392" t="s">
        <v>2</v>
      </c>
      <c r="E392" t="s">
        <v>208</v>
      </c>
      <c r="F392" t="s">
        <v>213</v>
      </c>
      <c r="G392" s="3">
        <v>240</v>
      </c>
      <c r="H392" s="365">
        <v>27</v>
      </c>
      <c r="I392" s="365">
        <v>6480</v>
      </c>
      <c r="J392" t="s">
        <v>209</v>
      </c>
      <c r="K392">
        <v>27</v>
      </c>
    </row>
    <row r="393" spans="1:11">
      <c r="A393" t="str">
        <f>IF(LEFT(E393,1)="1","SOL",IF(LEFT(E393,1)="2","CO",IF(LEFT(E393,1)="3","ALM",IF(LEFT(E393,1)="4","FAC","TRX")))) &amp; "-" &amp; B393 &amp; "-" &amp; TEXT(COUNTIFS($E$2:$E393,E393,$B$2:$B393,B393),"000")</f>
        <v>SOL-26-016</v>
      </c>
      <c r="B393">
        <v>26</v>
      </c>
      <c r="C393" s="364">
        <v>46195</v>
      </c>
      <c r="D393" t="s">
        <v>2</v>
      </c>
      <c r="E393" t="s">
        <v>208</v>
      </c>
      <c r="F393" t="s">
        <v>214</v>
      </c>
      <c r="G393" s="3">
        <v>20</v>
      </c>
      <c r="H393" s="365">
        <v>27</v>
      </c>
      <c r="I393" s="365">
        <v>540</v>
      </c>
      <c r="J393" t="s">
        <v>209</v>
      </c>
      <c r="K393">
        <v>27</v>
      </c>
    </row>
    <row r="394" spans="1:11">
      <c r="A394" t="str">
        <f>IF(LEFT(E394,1)="1","SOL",IF(LEFT(E394,1)="2","CO",IF(LEFT(E394,1)="3","ALM",IF(LEFT(E394,1)="4","FAC","TRX")))) &amp; "-" &amp; B394 &amp; "-" &amp; TEXT(COUNTIFS($E$2:$E394,E394,$B$2:$B394,B394),"000")</f>
        <v>SOL-26-017</v>
      </c>
      <c r="B394">
        <v>26</v>
      </c>
      <c r="C394" s="364">
        <v>46195</v>
      </c>
      <c r="D394" t="s">
        <v>2</v>
      </c>
      <c r="E394" t="s">
        <v>208</v>
      </c>
      <c r="F394" t="s">
        <v>215</v>
      </c>
      <c r="G394" s="3">
        <v>30</v>
      </c>
      <c r="H394" s="365">
        <v>27</v>
      </c>
      <c r="I394" s="365">
        <v>810</v>
      </c>
      <c r="J394" t="s">
        <v>209</v>
      </c>
      <c r="K394">
        <v>27</v>
      </c>
    </row>
    <row r="395" spans="1:11">
      <c r="A395" t="str">
        <f>IF(LEFT(E395,1)="1","SOL",IF(LEFT(E395,1)="2","CO",IF(LEFT(E395,1)="3","ALM",IF(LEFT(E395,1)="4","FAC","TRX")))) &amp; "-" &amp; B395 &amp; "-" &amp; TEXT(COUNTIFS($E$2:$E395,E395,$B$2:$B395,B395),"000")</f>
        <v>SOL-26-018</v>
      </c>
      <c r="B395">
        <v>26</v>
      </c>
      <c r="C395" s="364">
        <v>46195</v>
      </c>
      <c r="D395" t="s">
        <v>2</v>
      </c>
      <c r="E395" t="s">
        <v>208</v>
      </c>
      <c r="F395" t="s">
        <v>216</v>
      </c>
      <c r="G395" s="3">
        <v>80</v>
      </c>
      <c r="H395" s="365">
        <v>27</v>
      </c>
      <c r="I395" s="365">
        <v>2160</v>
      </c>
      <c r="J395" t="s">
        <v>209</v>
      </c>
      <c r="K395">
        <v>27</v>
      </c>
    </row>
    <row r="396" spans="1:11">
      <c r="A396" t="str">
        <f>IF(LEFT(E396,1)="1","SOL",IF(LEFT(E396,1)="2","CO",IF(LEFT(E396,1)="3","ALM",IF(LEFT(E396,1)="4","FAC","TRX")))) &amp; "-" &amp; B396 &amp; "-" &amp; TEXT(COUNTIFS($E$2:$E396,E396,$B$2:$B396,B396),"000")</f>
        <v>SOL-26-019</v>
      </c>
      <c r="B396">
        <v>26</v>
      </c>
      <c r="C396" s="364">
        <v>46195</v>
      </c>
      <c r="D396" t="s">
        <v>2</v>
      </c>
      <c r="E396" t="s">
        <v>208</v>
      </c>
      <c r="F396" t="s">
        <v>217</v>
      </c>
      <c r="G396" s="3">
        <v>40</v>
      </c>
      <c r="H396" s="365">
        <v>27</v>
      </c>
      <c r="I396" s="365">
        <v>1080</v>
      </c>
      <c r="J396" t="s">
        <v>209</v>
      </c>
      <c r="K396">
        <v>27</v>
      </c>
    </row>
    <row r="397" spans="1:11">
      <c r="A397" t="str">
        <f>IF(LEFT(E397,1)="1","SOL",IF(LEFT(E397,1)="2","CO",IF(LEFT(E397,1)="3","ALM",IF(LEFT(E397,1)="4","FAC","TRX")))) &amp; "-" &amp; B397 &amp; "-" &amp; TEXT(COUNTIFS($E$2:$E397,E397,$B$2:$B397,B397),"000")</f>
        <v>SOL-26-020</v>
      </c>
      <c r="B397">
        <v>26</v>
      </c>
      <c r="C397" s="364">
        <v>46195</v>
      </c>
      <c r="D397" t="s">
        <v>2</v>
      </c>
      <c r="E397" t="s">
        <v>208</v>
      </c>
      <c r="F397" t="s">
        <v>218</v>
      </c>
      <c r="G397" s="3">
        <v>24</v>
      </c>
      <c r="H397" s="365">
        <v>27</v>
      </c>
      <c r="I397" s="365">
        <v>648</v>
      </c>
      <c r="J397" t="s">
        <v>209</v>
      </c>
      <c r="K397">
        <v>27</v>
      </c>
    </row>
    <row r="398" spans="1:11">
      <c r="A398" t="str">
        <f>IF(LEFT(E398,1)="1","SOL",IF(LEFT(E398,1)="2","CO",IF(LEFT(E398,1)="3","ALM",IF(LEFT(E398,1)="4","FAC","TRX")))) &amp; "-" &amp; B398 &amp; "-" &amp; TEXT(COUNTIFS($E$2:$E398,E398,$B$2:$B398,B398),"000")</f>
        <v>SOL-26-021</v>
      </c>
      <c r="B398">
        <v>26</v>
      </c>
      <c r="C398" s="364">
        <v>46195</v>
      </c>
      <c r="D398" t="s">
        <v>2</v>
      </c>
      <c r="E398" t="s">
        <v>208</v>
      </c>
      <c r="F398" t="s">
        <v>219</v>
      </c>
      <c r="G398" s="3">
        <v>60</v>
      </c>
      <c r="H398" s="365">
        <v>27</v>
      </c>
      <c r="I398" s="365">
        <v>1620</v>
      </c>
      <c r="J398" t="s">
        <v>209</v>
      </c>
      <c r="K398">
        <v>27</v>
      </c>
    </row>
    <row r="399" spans="1:11">
      <c r="A399" t="str">
        <f>IF(LEFT(E399,1)="1","SOL",IF(LEFT(E399,1)="2","CO",IF(LEFT(E399,1)="3","ALM",IF(LEFT(E399,1)="4","FAC","TRX")))) &amp; "-" &amp; B399 &amp; "-" &amp; TEXT(COUNTIFS($E$2:$E399,E399,$B$2:$B399,B399),"000")</f>
        <v>SOL-26-022</v>
      </c>
      <c r="B399">
        <v>26</v>
      </c>
      <c r="C399" s="364">
        <v>46195</v>
      </c>
      <c r="D399" t="s">
        <v>2</v>
      </c>
      <c r="E399" t="s">
        <v>208</v>
      </c>
      <c r="F399" t="s">
        <v>220</v>
      </c>
      <c r="G399" s="3">
        <v>24</v>
      </c>
      <c r="H399" s="365">
        <v>27</v>
      </c>
      <c r="I399" s="365">
        <v>648</v>
      </c>
      <c r="J399" t="s">
        <v>209</v>
      </c>
      <c r="K399">
        <v>27</v>
      </c>
    </row>
    <row r="400" spans="1:11">
      <c r="A400" t="str">
        <f>IF(LEFT(E400,1)="1","SOL",IF(LEFT(E400,1)="2","CO",IF(LEFT(E400,1)="3","ALM",IF(LEFT(E400,1)="4","FAC","TRX")))) &amp; "-" &amp; B400 &amp; "-" &amp; TEXT(COUNTIFS($E$2:$E400,E400,$B$2:$B400,B400),"000")</f>
        <v>SOL-26-023</v>
      </c>
      <c r="B400">
        <v>26</v>
      </c>
      <c r="C400" s="364">
        <v>46195</v>
      </c>
      <c r="D400" t="s">
        <v>2</v>
      </c>
      <c r="E400" t="s">
        <v>208</v>
      </c>
      <c r="F400" t="s">
        <v>221</v>
      </c>
      <c r="G400" s="3">
        <v>60</v>
      </c>
      <c r="H400" s="365">
        <v>27</v>
      </c>
      <c r="I400" s="365">
        <v>1620</v>
      </c>
      <c r="J400" t="s">
        <v>209</v>
      </c>
      <c r="K400">
        <v>27</v>
      </c>
    </row>
    <row r="401" spans="1:11">
      <c r="A401" t="str">
        <f>IF(LEFT(E401,1)="1","SOL",IF(LEFT(E401,1)="2","CO",IF(LEFT(E401,1)="3","ALM",IF(LEFT(E401,1)="4","FAC","TRX")))) &amp; "-" &amp; B401 &amp; "-" &amp; TEXT(COUNTIFS($E$2:$E401,E401,$B$2:$B401,B401),"000")</f>
        <v>SOL-26-024</v>
      </c>
      <c r="B401">
        <v>26</v>
      </c>
      <c r="C401" s="364">
        <v>46195</v>
      </c>
      <c r="D401" t="s">
        <v>140</v>
      </c>
      <c r="E401" t="s">
        <v>208</v>
      </c>
      <c r="F401" t="s">
        <v>222</v>
      </c>
      <c r="G401" s="3">
        <v>300</v>
      </c>
      <c r="H401" s="365">
        <v>27</v>
      </c>
      <c r="I401" s="365">
        <v>8100</v>
      </c>
      <c r="J401" t="s">
        <v>209</v>
      </c>
      <c r="K401">
        <v>27</v>
      </c>
    </row>
    <row r="402" spans="1:11">
      <c r="A402" t="str">
        <f>IF(LEFT(E402,1)="1","SOL",IF(LEFT(E402,1)="2","CO",IF(LEFT(E402,1)="3","ALM",IF(LEFT(E402,1)="4","FAC","TRX")))) &amp; "-" &amp; B402 &amp; "-" &amp; TEXT(COUNTIFS($E$2:$E402,E402,$B$2:$B402,B402),"000")</f>
        <v>SOL-26-025</v>
      </c>
      <c r="B402">
        <v>26</v>
      </c>
      <c r="C402" s="364">
        <v>46195</v>
      </c>
      <c r="D402" t="s">
        <v>140</v>
      </c>
      <c r="E402" t="s">
        <v>208</v>
      </c>
      <c r="F402" t="s">
        <v>223</v>
      </c>
      <c r="G402" s="3">
        <v>100</v>
      </c>
      <c r="H402" s="365">
        <v>27</v>
      </c>
      <c r="I402" s="365">
        <v>2700</v>
      </c>
      <c r="J402" t="s">
        <v>209</v>
      </c>
      <c r="K402">
        <v>27</v>
      </c>
    </row>
    <row r="403" spans="1:11">
      <c r="A403" t="str">
        <f>IF(LEFT(E403,1)="1","SOL",IF(LEFT(E403,1)="2","CO",IF(LEFT(E403,1)="3","ALM",IF(LEFT(E403,1)="4","FAC","TRX")))) &amp; "-" &amp; B403 &amp; "-" &amp; TEXT(COUNTIFS($E$2:$E403,E403,$B$2:$B403,B403),"000")</f>
        <v>SOL-26-026</v>
      </c>
      <c r="B403">
        <v>26</v>
      </c>
      <c r="C403" s="364">
        <v>46195</v>
      </c>
      <c r="D403" t="s">
        <v>140</v>
      </c>
      <c r="E403" t="s">
        <v>208</v>
      </c>
      <c r="F403" t="s">
        <v>224</v>
      </c>
      <c r="G403" s="3">
        <v>100</v>
      </c>
      <c r="H403" s="365">
        <v>27</v>
      </c>
      <c r="I403" s="365">
        <v>2700</v>
      </c>
      <c r="J403" t="s">
        <v>209</v>
      </c>
      <c r="K403">
        <v>27</v>
      </c>
    </row>
    <row r="404" spans="1:11">
      <c r="A404" t="str">
        <f>IF(LEFT(E404,1)="1","SOL",IF(LEFT(E404,1)="2","CO",IF(LEFT(E404,1)="3","ALM",IF(LEFT(E404,1)="4","FAC","TRX")))) &amp; "-" &amp; B404 &amp; "-" &amp; TEXT(COUNTIFS($E$2:$E404,E404,$B$2:$B404,B404),"000")</f>
        <v>SOL-26-027</v>
      </c>
      <c r="B404">
        <v>26</v>
      </c>
      <c r="C404" s="364">
        <v>46195</v>
      </c>
      <c r="D404" t="s">
        <v>140</v>
      </c>
      <c r="E404" t="s">
        <v>208</v>
      </c>
      <c r="F404" t="s">
        <v>225</v>
      </c>
      <c r="G404" s="3">
        <v>100</v>
      </c>
      <c r="H404" s="365">
        <v>27</v>
      </c>
      <c r="I404" s="365">
        <v>2700</v>
      </c>
      <c r="J404" t="s">
        <v>209</v>
      </c>
      <c r="K404">
        <v>27</v>
      </c>
    </row>
    <row r="405" spans="1:11">
      <c r="A405" t="str">
        <f>IF(LEFT(E405,1)="1","SOL",IF(LEFT(E405,1)="2","CO",IF(LEFT(E405,1)="3","ALM",IF(LEFT(E405,1)="4","FAC","TRX")))) &amp; "-" &amp; B405 &amp; "-" &amp; TEXT(COUNTIFS($E$2:$E405,E405,$B$2:$B405,B405),"000")</f>
        <v>SOL-26-028</v>
      </c>
      <c r="B405">
        <v>26</v>
      </c>
      <c r="C405" s="364">
        <v>46195</v>
      </c>
      <c r="D405" t="s">
        <v>1</v>
      </c>
      <c r="E405" t="s">
        <v>208</v>
      </c>
      <c r="F405" t="s">
        <v>213</v>
      </c>
      <c r="G405" s="3">
        <v>250</v>
      </c>
      <c r="H405" s="365">
        <v>27</v>
      </c>
      <c r="I405" s="365">
        <v>6750</v>
      </c>
      <c r="J405" t="s">
        <v>209</v>
      </c>
      <c r="K405">
        <v>27</v>
      </c>
    </row>
    <row r="406" spans="1:11">
      <c r="A406" t="str">
        <f>IF(LEFT(E406,1)="1","SOL",IF(LEFT(E406,1)="2","CO",IF(LEFT(E406,1)="3","ALM",IF(LEFT(E406,1)="4","FAC","TRX")))) &amp; "-" &amp; B406 &amp; "-" &amp; TEXT(COUNTIFS($E$2:$E406,E406,$B$2:$B406,B406),"000")</f>
        <v>SOL-26-029</v>
      </c>
      <c r="B406">
        <v>26</v>
      </c>
      <c r="C406" s="364">
        <v>46195</v>
      </c>
      <c r="D406" t="s">
        <v>1</v>
      </c>
      <c r="E406" t="s">
        <v>208</v>
      </c>
      <c r="F406" t="s">
        <v>216</v>
      </c>
      <c r="G406" s="3">
        <v>120</v>
      </c>
      <c r="H406" s="365">
        <v>27</v>
      </c>
      <c r="I406" s="365">
        <v>3240</v>
      </c>
      <c r="J406" t="s">
        <v>209</v>
      </c>
      <c r="K406">
        <v>27</v>
      </c>
    </row>
    <row r="407" spans="1:11">
      <c r="A407" t="str">
        <f>IF(LEFT(E407,1)="1","SOL",IF(LEFT(E407,1)="2","CO",IF(LEFT(E407,1)="3","ALM",IF(LEFT(E407,1)="4","FAC","TRX")))) &amp; "-" &amp; B407 &amp; "-" &amp; TEXT(COUNTIFS($E$2:$E407,E407,$B$2:$B407,B407),"000")</f>
        <v>SOL-26-030</v>
      </c>
      <c r="B407">
        <v>26</v>
      </c>
      <c r="C407" s="364">
        <v>46195</v>
      </c>
      <c r="D407" t="s">
        <v>1</v>
      </c>
      <c r="E407" t="s">
        <v>208</v>
      </c>
      <c r="F407" t="s">
        <v>226</v>
      </c>
      <c r="G407" s="3">
        <v>50</v>
      </c>
      <c r="H407" s="365">
        <v>27</v>
      </c>
      <c r="I407" s="365">
        <v>1350</v>
      </c>
      <c r="J407" t="s">
        <v>209</v>
      </c>
      <c r="K407">
        <v>27</v>
      </c>
    </row>
    <row r="408" spans="1:11">
      <c r="A408" t="str">
        <f>IF(LEFT(E408,1)="1","SOL",IF(LEFT(E408,1)="2","CO",IF(LEFT(E408,1)="3","ALM",IF(LEFT(E408,1)="4","FAC","TRX")))) &amp; "-" &amp; B408 &amp; "-" &amp; TEXT(COUNTIFS($E$2:$E408,E408,$B$2:$B408,B408),"000")</f>
        <v>SOL-26-031</v>
      </c>
      <c r="B408">
        <v>26</v>
      </c>
      <c r="C408" s="364">
        <v>46195</v>
      </c>
      <c r="D408" t="s">
        <v>1</v>
      </c>
      <c r="E408" t="s">
        <v>208</v>
      </c>
      <c r="F408" t="s">
        <v>226</v>
      </c>
      <c r="G408" s="3">
        <v>50</v>
      </c>
      <c r="H408" s="365">
        <v>27</v>
      </c>
      <c r="I408" s="365">
        <v>1350</v>
      </c>
      <c r="J408" t="s">
        <v>209</v>
      </c>
      <c r="K408">
        <v>27</v>
      </c>
    </row>
    <row r="409" spans="1:11">
      <c r="A409" t="str">
        <f>IF(LEFT(E409,1)="1","SOL",IF(LEFT(E409,1)="2","CO",IF(LEFT(E409,1)="3","ALM",IF(LEFT(E409,1)="4","FAC","TRX")))) &amp; "-" &amp; B409 &amp; "-" &amp; TEXT(COUNTIFS($E$2:$E409,E409,$B$2:$B409,B409),"000")</f>
        <v>SOL-26-032</v>
      </c>
      <c r="B409">
        <v>26</v>
      </c>
      <c r="C409" s="364">
        <v>46195</v>
      </c>
      <c r="D409" t="s">
        <v>1</v>
      </c>
      <c r="E409" t="s">
        <v>208</v>
      </c>
      <c r="F409" t="s">
        <v>227</v>
      </c>
      <c r="G409" s="3">
        <v>50</v>
      </c>
      <c r="H409" s="365">
        <v>27</v>
      </c>
      <c r="I409" s="365">
        <v>1350</v>
      </c>
      <c r="J409" t="s">
        <v>209</v>
      </c>
      <c r="K409">
        <v>27</v>
      </c>
    </row>
    <row r="410" spans="1:11">
      <c r="A410" t="str">
        <f>IF(LEFT(E410,1)="1","SOL",IF(LEFT(E410,1)="2","CO",IF(LEFT(E410,1)="3","ALM",IF(LEFT(E410,1)="4","FAC","TRX")))) &amp; "-" &amp; B410 &amp; "-" &amp; TEXT(COUNTIFS($E$2:$E410,E410,$B$2:$B410,B410),"000")</f>
        <v>SOL-26-033</v>
      </c>
      <c r="B410">
        <v>26</v>
      </c>
      <c r="C410" s="364">
        <v>46195</v>
      </c>
      <c r="D410" t="s">
        <v>1</v>
      </c>
      <c r="E410" t="s">
        <v>208</v>
      </c>
      <c r="F410" t="s">
        <v>228</v>
      </c>
      <c r="G410" s="3">
        <v>30</v>
      </c>
      <c r="H410" s="365">
        <v>27</v>
      </c>
      <c r="I410" s="365">
        <v>810</v>
      </c>
      <c r="J410" t="s">
        <v>209</v>
      </c>
      <c r="K410">
        <v>27</v>
      </c>
    </row>
    <row r="411" spans="1:11">
      <c r="A411" t="str">
        <f>IF(LEFT(E411,1)="1","SOL",IF(LEFT(E411,1)="2","CO",IF(LEFT(E411,1)="3","ALM",IF(LEFT(E411,1)="4","FAC","TRX")))) &amp; "-" &amp; B411 &amp; "-" &amp; TEXT(COUNTIFS($E$2:$E411,E411,$B$2:$B411,B411),"000")</f>
        <v>SOL-26-034</v>
      </c>
      <c r="B411">
        <v>26</v>
      </c>
      <c r="C411" s="364">
        <v>46195</v>
      </c>
      <c r="D411" t="s">
        <v>1</v>
      </c>
      <c r="E411" t="s">
        <v>208</v>
      </c>
      <c r="F411" t="s">
        <v>215</v>
      </c>
      <c r="G411" s="3">
        <v>60</v>
      </c>
      <c r="H411" s="365">
        <v>27</v>
      </c>
      <c r="I411" s="365">
        <v>1620</v>
      </c>
      <c r="J411" t="s">
        <v>209</v>
      </c>
      <c r="K411">
        <v>27</v>
      </c>
    </row>
    <row r="412" spans="1:11">
      <c r="A412" t="str">
        <f>IF(LEFT(E412,1)="1","SOL",IF(LEFT(E412,1)="2","CO",IF(LEFT(E412,1)="3","ALM",IF(LEFT(E412,1)="4","FAC","TRX")))) &amp; "-" &amp; B412 &amp; "-" &amp; TEXT(COUNTIFS($E$2:$E412,E412,$B$2:$B412,B412),"000")</f>
        <v>SOL-26-035</v>
      </c>
      <c r="B412">
        <v>26</v>
      </c>
      <c r="C412" s="364">
        <v>46195</v>
      </c>
      <c r="D412" t="s">
        <v>1</v>
      </c>
      <c r="E412" t="s">
        <v>208</v>
      </c>
      <c r="F412" t="s">
        <v>221</v>
      </c>
      <c r="G412" s="3">
        <v>50</v>
      </c>
      <c r="H412" s="365">
        <v>27</v>
      </c>
      <c r="I412" s="365">
        <v>1350</v>
      </c>
      <c r="J412" t="s">
        <v>209</v>
      </c>
      <c r="K412">
        <v>27</v>
      </c>
    </row>
    <row r="413" spans="1:11">
      <c r="A413" t="str">
        <f>IF(LEFT(E413,1)="1","SOL",IF(LEFT(E413,1)="2","CO",IF(LEFT(E413,1)="3","ALM",IF(LEFT(E413,1)="4","FAC","TRX")))) &amp; "-" &amp; B413 &amp; "-" &amp; TEXT(COUNTIFS($E$2:$E413,E413,$B$2:$B413,B413),"000")</f>
        <v>SOL-26-036</v>
      </c>
      <c r="B413">
        <v>26</v>
      </c>
      <c r="C413" s="364">
        <v>46195</v>
      </c>
      <c r="D413" t="s">
        <v>126</v>
      </c>
      <c r="E413" t="s">
        <v>208</v>
      </c>
      <c r="F413" t="s">
        <v>223</v>
      </c>
      <c r="G413" s="3">
        <v>50</v>
      </c>
      <c r="H413" s="365">
        <v>27</v>
      </c>
      <c r="I413" s="365">
        <v>1350</v>
      </c>
      <c r="J413" t="s">
        <v>209</v>
      </c>
      <c r="K413">
        <v>27</v>
      </c>
    </row>
    <row r="414" spans="1:11">
      <c r="A414" t="str">
        <f>IF(LEFT(E414,1)="1","SOL",IF(LEFT(E414,1)="2","CO",IF(LEFT(E414,1)="3","ALM",IF(LEFT(E414,1)="4","FAC","TRX")))) &amp; "-" &amp; B414 &amp; "-" &amp; TEXT(COUNTIFS($E$2:$E414,E414,$B$2:$B414,B414),"000")</f>
        <v>SOL-26-037</v>
      </c>
      <c r="B414">
        <v>26</v>
      </c>
      <c r="C414" s="364">
        <v>46195</v>
      </c>
      <c r="D414" t="s">
        <v>126</v>
      </c>
      <c r="E414" t="s">
        <v>208</v>
      </c>
      <c r="F414" t="s">
        <v>223</v>
      </c>
      <c r="G414" s="3">
        <v>50</v>
      </c>
      <c r="H414" s="365">
        <v>27</v>
      </c>
      <c r="I414" s="365">
        <v>1350</v>
      </c>
      <c r="J414" t="s">
        <v>209</v>
      </c>
      <c r="K414">
        <v>27</v>
      </c>
    </row>
    <row r="415" spans="1:11">
      <c r="A415" t="str">
        <f>IF(LEFT(E415,1)="1","SOL",IF(LEFT(E415,1)="2","CO",IF(LEFT(E415,1)="3","ALM",IF(LEFT(E415,1)="4","FAC","TRX")))) &amp; "-" &amp; B415 &amp; "-" &amp; TEXT(COUNTIFS($E$2:$E415,E415,$B$2:$B415,B415),"000")</f>
        <v>SOL-26-038</v>
      </c>
      <c r="B415">
        <v>26</v>
      </c>
      <c r="C415" s="364">
        <v>46195</v>
      </c>
      <c r="D415" t="s">
        <v>126</v>
      </c>
      <c r="E415" t="s">
        <v>208</v>
      </c>
      <c r="F415" t="s">
        <v>229</v>
      </c>
      <c r="G415" s="3">
        <v>10</v>
      </c>
      <c r="H415" s="365">
        <v>27</v>
      </c>
      <c r="I415" s="365">
        <v>270</v>
      </c>
      <c r="J415" t="s">
        <v>209</v>
      </c>
      <c r="K415">
        <v>27</v>
      </c>
    </row>
    <row r="416" spans="1:11">
      <c r="A416" t="str">
        <f>IF(LEFT(E416,1)="1","SOL",IF(LEFT(E416,1)="2","CO",IF(LEFT(E416,1)="3","ALM",IF(LEFT(E416,1)="4","FAC","TRX")))) &amp; "-" &amp; B416 &amp; "-" &amp; TEXT(COUNTIFS($E$2:$E416,E416,$B$2:$B416,B416),"000")</f>
        <v>SOL-26-039</v>
      </c>
      <c r="B416">
        <v>26</v>
      </c>
      <c r="C416" s="364">
        <v>46195</v>
      </c>
      <c r="D416" t="s">
        <v>126</v>
      </c>
      <c r="E416" t="s">
        <v>208</v>
      </c>
      <c r="F416" t="s">
        <v>230</v>
      </c>
      <c r="G416" s="3">
        <v>8</v>
      </c>
      <c r="H416" s="365">
        <v>27</v>
      </c>
      <c r="I416" s="365">
        <v>216</v>
      </c>
      <c r="J416" t="s">
        <v>209</v>
      </c>
      <c r="K416">
        <v>27</v>
      </c>
    </row>
    <row r="417" spans="1:11">
      <c r="A417" t="str">
        <f>IF(LEFT(E417,1)="1","SOL",IF(LEFT(E417,1)="2","CO",IF(LEFT(E417,1)="3","ALM",IF(LEFT(E417,1)="4","FAC","TRX")))) &amp; "-" &amp; B417 &amp; "-" &amp; TEXT(COUNTIFS($E$2:$E417,E417,$B$2:$B417,B417),"000")</f>
        <v>SOL-26-040</v>
      </c>
      <c r="B417">
        <v>26</v>
      </c>
      <c r="C417" s="364">
        <v>46195</v>
      </c>
      <c r="D417" t="s">
        <v>2</v>
      </c>
      <c r="E417" t="s">
        <v>208</v>
      </c>
      <c r="F417" t="s">
        <v>234</v>
      </c>
      <c r="G417" s="3">
        <v>30</v>
      </c>
      <c r="H417" s="365">
        <v>27</v>
      </c>
      <c r="I417" s="365">
        <v>810</v>
      </c>
      <c r="J417" t="s">
        <v>209</v>
      </c>
      <c r="K417">
        <v>27</v>
      </c>
    </row>
    <row r="418" spans="1:11">
      <c r="A418" t="str">
        <f>IF(LEFT(E418,1)="1","SOL",IF(LEFT(E418,1)="2","CO",IF(LEFT(E418,1)="3","ALM",IF(LEFT(E418,1)="4","FAC","TRX")))) &amp; "-" &amp; B418 &amp; "-" &amp; TEXT(COUNTIFS($E$2:$E418,E418,$B$2:$B418,B418),"000")</f>
        <v>CO-26-001</v>
      </c>
      <c r="B418">
        <v>26</v>
      </c>
      <c r="C418" s="364">
        <v>46195</v>
      </c>
      <c r="D418" t="s">
        <v>1</v>
      </c>
      <c r="E418" t="s">
        <v>246</v>
      </c>
      <c r="F418" t="s">
        <v>216</v>
      </c>
      <c r="G418" s="3">
        <v>106</v>
      </c>
      <c r="H418" s="365">
        <v>27</v>
      </c>
      <c r="I418" s="365">
        <v>2862</v>
      </c>
      <c r="J418" t="s">
        <v>209</v>
      </c>
    </row>
    <row r="419" spans="1:11">
      <c r="A419" t="str">
        <f>IF(LEFT(E419,1)="1","SOL",IF(LEFT(E419,1)="2","CO",IF(LEFT(E419,1)="3","ALM",IF(LEFT(E419,1)="4","FAC","TRX")))) &amp; "-" &amp; B419 &amp; "-" &amp; TEXT(COUNTIFS($E$2:$E419,E419,$B$2:$B419,B419),"000")</f>
        <v>CO-26-002</v>
      </c>
      <c r="B419">
        <v>26</v>
      </c>
      <c r="C419" s="364">
        <v>46195</v>
      </c>
      <c r="D419" t="s">
        <v>1</v>
      </c>
      <c r="E419" t="s">
        <v>246</v>
      </c>
      <c r="F419" t="s">
        <v>227</v>
      </c>
      <c r="G419" s="3">
        <v>50</v>
      </c>
      <c r="H419" s="365">
        <v>27</v>
      </c>
      <c r="I419" s="365">
        <v>1350</v>
      </c>
      <c r="J419" t="s">
        <v>209</v>
      </c>
    </row>
    <row r="420" spans="1:11">
      <c r="A420" t="str">
        <f>IF(LEFT(E420,1)="1","SOL",IF(LEFT(E420,1)="2","CO",IF(LEFT(E420,1)="3","ALM",IF(LEFT(E420,1)="4","FAC","TRX")))) &amp; "-" &amp; B420 &amp; "-" &amp; TEXT(COUNTIFS($E$2:$E420,E420,$B$2:$B420,B420),"000")</f>
        <v>CO-26-003</v>
      </c>
      <c r="B420">
        <v>26</v>
      </c>
      <c r="C420" s="364">
        <v>46195</v>
      </c>
      <c r="D420" t="s">
        <v>1</v>
      </c>
      <c r="E420" t="s">
        <v>246</v>
      </c>
      <c r="F420" t="s">
        <v>241</v>
      </c>
      <c r="G420" s="3">
        <v>50</v>
      </c>
      <c r="H420" s="365">
        <v>27</v>
      </c>
      <c r="I420" s="365">
        <v>1350</v>
      </c>
      <c r="J420" t="s">
        <v>209</v>
      </c>
    </row>
    <row r="421" spans="1:11">
      <c r="A421" t="str">
        <f>IF(LEFT(E421,1)="1","SOL",IF(LEFT(E421,1)="2","CO",IF(LEFT(E421,1)="3","ALM",IF(LEFT(E421,1)="4","FAC","TRX")))) &amp; "-" &amp; B421 &amp; "-" &amp; TEXT(COUNTIFS($E$2:$E421,E421,$B$2:$B421,B421),"000")</f>
        <v>CO-26-004</v>
      </c>
      <c r="B421">
        <v>26</v>
      </c>
      <c r="C421" s="364">
        <v>46195</v>
      </c>
      <c r="D421" t="s">
        <v>1</v>
      </c>
      <c r="E421" t="s">
        <v>246</v>
      </c>
      <c r="F421" t="s">
        <v>215</v>
      </c>
      <c r="G421" s="3">
        <v>60</v>
      </c>
      <c r="H421" s="365">
        <v>27</v>
      </c>
      <c r="I421" s="365">
        <v>1620</v>
      </c>
      <c r="J421" t="s">
        <v>209</v>
      </c>
    </row>
    <row r="422" spans="1:11">
      <c r="A422" t="str">
        <f>IF(LEFT(E422,1)="1","SOL",IF(LEFT(E422,1)="2","CO",IF(LEFT(E422,1)="3","ALM",IF(LEFT(E422,1)="4","FAC","TRX")))) &amp; "-" &amp; B422 &amp; "-" &amp; TEXT(COUNTIFS($E$2:$E422,E422,$B$2:$B422,B422),"000")</f>
        <v>CO-26-005</v>
      </c>
      <c r="B422">
        <v>26</v>
      </c>
      <c r="C422" s="364">
        <v>46195</v>
      </c>
      <c r="D422" t="s">
        <v>1</v>
      </c>
      <c r="E422" t="s">
        <v>246</v>
      </c>
      <c r="F422" t="s">
        <v>255</v>
      </c>
      <c r="G422" s="3">
        <v>250</v>
      </c>
      <c r="H422" s="365">
        <v>27</v>
      </c>
      <c r="I422" s="365">
        <v>6750</v>
      </c>
      <c r="J422" t="s">
        <v>209</v>
      </c>
    </row>
    <row r="423" spans="1:11">
      <c r="A423" t="str">
        <f>IF(LEFT(E423,1)="1","SOL",IF(LEFT(E423,1)="2","CO",IF(LEFT(E423,1)="3","ALM",IF(LEFT(E423,1)="4","FAC","TRX")))) &amp; "-" &amp; B423 &amp; "-" &amp; TEXT(COUNTIFS($E$2:$E423,E423,$B$2:$B423,B423),"000")</f>
        <v>CO-26-006</v>
      </c>
      <c r="B423">
        <v>26</v>
      </c>
      <c r="C423" s="364">
        <v>46195</v>
      </c>
      <c r="D423" t="s">
        <v>2</v>
      </c>
      <c r="E423" t="s">
        <v>246</v>
      </c>
      <c r="F423" t="s">
        <v>221</v>
      </c>
      <c r="G423" s="3">
        <v>40</v>
      </c>
      <c r="H423" s="365">
        <v>27</v>
      </c>
      <c r="I423" s="365">
        <v>1080</v>
      </c>
      <c r="J423" t="s">
        <v>209</v>
      </c>
    </row>
    <row r="424" spans="1:11">
      <c r="A424" t="str">
        <f>IF(LEFT(E424,1)="1","SOL",IF(LEFT(E424,1)="2","CO",IF(LEFT(E424,1)="3","ALM",IF(LEFT(E424,1)="4","FAC","TRX")))) &amp; "-" &amp; B424 &amp; "-" &amp; TEXT(COUNTIFS($E$2:$E424,E424,$B$2:$B424,B424),"000")</f>
        <v>CO-26-007</v>
      </c>
      <c r="B424">
        <v>26</v>
      </c>
      <c r="C424" s="364">
        <v>46195</v>
      </c>
      <c r="D424" t="s">
        <v>256</v>
      </c>
      <c r="E424" t="s">
        <v>246</v>
      </c>
      <c r="F424" t="s">
        <v>221</v>
      </c>
      <c r="G424" s="3">
        <v>40</v>
      </c>
      <c r="H424" s="365">
        <v>27</v>
      </c>
      <c r="I424" s="365">
        <v>1080</v>
      </c>
      <c r="J424" t="s">
        <v>209</v>
      </c>
    </row>
    <row r="425" spans="1:11">
      <c r="A425" t="str">
        <f>IF(LEFT(E425,1)="1","SOL",IF(LEFT(E425,1)="2","CO",IF(LEFT(E425,1)="3","ALM",IF(LEFT(E425,1)="4","FAC","TRX")))) &amp; "-" &amp; B425 &amp; "-" &amp; TEXT(COUNTIFS($E$2:$E425,E425,$B$2:$B425,B425),"000")</f>
        <v>CO-26-008</v>
      </c>
      <c r="B425">
        <v>26</v>
      </c>
      <c r="C425" s="364">
        <v>46195</v>
      </c>
      <c r="D425" t="s">
        <v>126</v>
      </c>
      <c r="E425" t="s">
        <v>246</v>
      </c>
      <c r="F425" t="s">
        <v>243</v>
      </c>
      <c r="G425" s="3">
        <v>110</v>
      </c>
      <c r="H425" s="365">
        <v>27</v>
      </c>
      <c r="I425" s="365">
        <v>2970</v>
      </c>
      <c r="J425" t="s">
        <v>209</v>
      </c>
    </row>
    <row r="426" spans="1:11">
      <c r="A426" t="str">
        <f>IF(LEFT(E426,1)="1","SOL",IF(LEFT(E426,1)="2","CO",IF(LEFT(E426,1)="3","ALM",IF(LEFT(E426,1)="4","FAC","TRX")))) &amp; "-" &amp; B426 &amp; "-" &amp; TEXT(COUNTIFS($E$2:$E426,E426,$B$2:$B426,B426),"000")</f>
        <v>CO-26-009</v>
      </c>
      <c r="B426">
        <v>26</v>
      </c>
      <c r="C426" s="364">
        <v>46195</v>
      </c>
      <c r="D426" t="s">
        <v>2</v>
      </c>
      <c r="E426" t="s">
        <v>246</v>
      </c>
      <c r="F426" t="s">
        <v>245</v>
      </c>
      <c r="G426" s="3">
        <v>50</v>
      </c>
      <c r="H426" s="365">
        <v>27</v>
      </c>
      <c r="I426" s="365">
        <v>1350</v>
      </c>
      <c r="J426" t="s">
        <v>209</v>
      </c>
    </row>
    <row r="427" spans="1:11">
      <c r="A427" t="str">
        <f>IF(LEFT(E427,1)="1","SOL",IF(LEFT(E427,1)="2","CO",IF(LEFT(E427,1)="3","ALM",IF(LEFT(E427,1)="4","FAC","TRX")))) &amp; "-" &amp; B427 &amp; "-" &amp; TEXT(COUNTIFS($E$2:$E427,E427,$B$2:$B427,B427),"000")</f>
        <v>CO-26-010</v>
      </c>
      <c r="B427">
        <v>26</v>
      </c>
      <c r="C427" s="364">
        <v>46195</v>
      </c>
      <c r="D427" t="s">
        <v>1</v>
      </c>
      <c r="E427" t="s">
        <v>246</v>
      </c>
      <c r="F427" t="s">
        <v>213</v>
      </c>
      <c r="G427" s="3">
        <v>250</v>
      </c>
      <c r="H427" s="365">
        <v>27</v>
      </c>
      <c r="I427" s="365">
        <v>6750</v>
      </c>
      <c r="J427" t="s">
        <v>209</v>
      </c>
    </row>
    <row r="428" spans="1:11">
      <c r="A428" t="str">
        <f>IF(LEFT(E428,1)="1","SOL",IF(LEFT(E428,1)="2","CO",IF(LEFT(E428,1)="3","ALM",IF(LEFT(E428,1)="4","FAC","TRX")))) &amp; "-" &amp; B428 &amp; "-" &amp; TEXT(COUNTIFS($E$2:$E428,E428,$B$2:$B428,B428),"000")</f>
        <v>CO-26-011</v>
      </c>
      <c r="B428">
        <v>26</v>
      </c>
      <c r="C428" s="364">
        <v>46195</v>
      </c>
      <c r="D428" t="s">
        <v>2</v>
      </c>
      <c r="E428" t="s">
        <v>246</v>
      </c>
      <c r="F428" t="s">
        <v>218</v>
      </c>
      <c r="G428" s="3">
        <v>50</v>
      </c>
      <c r="H428" s="365">
        <v>27</v>
      </c>
      <c r="I428" s="365">
        <v>1350</v>
      </c>
      <c r="J428" t="s">
        <v>209</v>
      </c>
    </row>
    <row r="429" spans="1:11">
      <c r="A429" t="str">
        <f>IF(LEFT(E429,1)="1","SOL",IF(LEFT(E429,1)="2","CO",IF(LEFT(E429,1)="3","ALM",IF(LEFT(E429,1)="4","FAC","TRX")))) &amp; "-" &amp; B429 &amp; "-" &amp; TEXT(COUNTIFS($E$2:$E429,E429,$B$2:$B429,B429),"000")</f>
        <v>CO-26-012</v>
      </c>
      <c r="B429">
        <v>26</v>
      </c>
      <c r="C429" s="364">
        <v>46195</v>
      </c>
      <c r="D429" t="s">
        <v>2</v>
      </c>
      <c r="E429" t="s">
        <v>246</v>
      </c>
      <c r="F429" t="s">
        <v>257</v>
      </c>
      <c r="G429" s="3">
        <v>162</v>
      </c>
      <c r="H429" s="365">
        <v>27</v>
      </c>
      <c r="I429" s="365">
        <v>4374</v>
      </c>
      <c r="J429" t="s">
        <v>209</v>
      </c>
    </row>
    <row r="430" spans="1:11">
      <c r="A430" t="str">
        <f>IF(LEFT(E430,1)="1","SOL",IF(LEFT(E430,1)="2","CO",IF(LEFT(E430,1)="3","ALM",IF(LEFT(E430,1)="4","FAC","TRX")))) &amp; "-" &amp; B430 &amp; "-" &amp; TEXT(COUNTIFS($E$2:$E430,E430,$B$2:$B430,B430),"000")</f>
        <v>CO-26-013</v>
      </c>
      <c r="B430">
        <v>26</v>
      </c>
      <c r="C430" s="364">
        <v>46195</v>
      </c>
      <c r="D430" t="s">
        <v>2</v>
      </c>
      <c r="E430" t="s">
        <v>246</v>
      </c>
      <c r="F430" t="s">
        <v>234</v>
      </c>
      <c r="G430" s="3">
        <v>50</v>
      </c>
      <c r="H430" s="365">
        <v>27</v>
      </c>
      <c r="I430" s="365">
        <v>1350</v>
      </c>
      <c r="J430" t="s">
        <v>209</v>
      </c>
    </row>
    <row r="431" spans="1:11">
      <c r="A431" t="str">
        <f>IF(LEFT(E431,1)="1","SOL",IF(LEFT(E431,1)="2","CO",IF(LEFT(E431,1)="3","ALM",IF(LEFT(E431,1)="4","FAC","TRX")))) &amp; "-" &amp; B431 &amp; "-" &amp; TEXT(COUNTIFS($E$2:$E431,E431,$B$2:$B431,B431),"000")</f>
        <v>CO-26-014</v>
      </c>
      <c r="B431">
        <v>26</v>
      </c>
      <c r="C431" s="364">
        <v>46195</v>
      </c>
      <c r="D431" t="s">
        <v>2</v>
      </c>
      <c r="E431" t="s">
        <v>246</v>
      </c>
      <c r="F431" t="s">
        <v>218</v>
      </c>
      <c r="G431" s="3">
        <v>50</v>
      </c>
      <c r="H431" s="365">
        <v>27</v>
      </c>
      <c r="I431" s="365">
        <v>1350</v>
      </c>
      <c r="J431" t="s">
        <v>209</v>
      </c>
    </row>
    <row r="432" spans="1:11">
      <c r="A432" t="str">
        <f>IF(LEFT(E432,1)="1","SOL",IF(LEFT(E432,1)="2","CO",IF(LEFT(E432,1)="3","ALM",IF(LEFT(E432,1)="4","FAC","TRX")))) &amp; "-" &amp; B432 &amp; "-" &amp; TEXT(COUNTIFS($E$2:$E432,E432,$B$2:$B432,B432),"000")</f>
        <v>CO-26-015</v>
      </c>
      <c r="B432">
        <v>26</v>
      </c>
      <c r="C432" s="364">
        <v>46195</v>
      </c>
      <c r="D432" t="s">
        <v>289</v>
      </c>
      <c r="E432" t="s">
        <v>246</v>
      </c>
      <c r="F432" t="s">
        <v>297</v>
      </c>
      <c r="G432" s="3">
        <v>20</v>
      </c>
      <c r="H432" s="365">
        <v>27</v>
      </c>
      <c r="I432" s="365">
        <v>540</v>
      </c>
      <c r="J432" t="s">
        <v>209</v>
      </c>
    </row>
    <row r="433" spans="1:11">
      <c r="A433" t="str">
        <f>IF(LEFT(E433,1)="1","SOL",IF(LEFT(E433,1)="2","CO",IF(LEFT(E433,1)="3","ALM",IF(LEFT(E433,1)="4","FAC","TRX")))) &amp; "-" &amp; B433 &amp; "-" &amp; TEXT(COUNTIFS($E$2:$E433,E433,$B$2:$B433,B433),"000")</f>
        <v>CO-26-016</v>
      </c>
      <c r="B433">
        <v>26</v>
      </c>
      <c r="C433" s="364">
        <v>46195</v>
      </c>
      <c r="D433" t="s">
        <v>289</v>
      </c>
      <c r="E433" t="s">
        <v>246</v>
      </c>
      <c r="F433" t="s">
        <v>296</v>
      </c>
      <c r="G433" s="3">
        <v>140</v>
      </c>
      <c r="H433" s="365">
        <v>27</v>
      </c>
      <c r="I433" s="365">
        <v>3780</v>
      </c>
      <c r="J433" t="s">
        <v>209</v>
      </c>
    </row>
    <row r="434" spans="1:11">
      <c r="A434" t="str">
        <f>IF(LEFT(E434,1)="1","SOL",IF(LEFT(E434,1)="2","CO",IF(LEFT(E434,1)="3","ALM",IF(LEFT(E434,1)="4","FAC","TRX")))) &amp; "-" &amp; B434 &amp; "-" &amp; TEXT(COUNTIFS($E$2:$E434,E434,$B$2:$B434,B434),"000")</f>
        <v>CO-26-017</v>
      </c>
      <c r="B434">
        <v>26</v>
      </c>
      <c r="C434" s="364">
        <v>46195</v>
      </c>
      <c r="D434" t="s">
        <v>289</v>
      </c>
      <c r="E434" t="s">
        <v>246</v>
      </c>
      <c r="F434" t="s">
        <v>298</v>
      </c>
      <c r="G434" s="3">
        <v>100.74</v>
      </c>
      <c r="H434" s="365">
        <v>27</v>
      </c>
      <c r="I434" s="365">
        <v>2719.98</v>
      </c>
      <c r="J434" t="s">
        <v>209</v>
      </c>
    </row>
    <row r="435" spans="1:11">
      <c r="A435" t="str">
        <f>IF(LEFT(E435,1)="1","SOL",IF(LEFT(E435,1)="2","CO",IF(LEFT(E435,1)="3","ALM",IF(LEFT(E435,1)="4","FAC","TRX")))) &amp; "-" &amp; B435 &amp; "-" &amp; TEXT(COUNTIFS($E$2:$E435,E435,$B$2:$B435,B435),"000")</f>
        <v>FAC-26-001</v>
      </c>
      <c r="B435">
        <v>26</v>
      </c>
      <c r="C435" s="364">
        <v>46195</v>
      </c>
      <c r="D435" t="s">
        <v>1</v>
      </c>
      <c r="E435" t="s">
        <v>301</v>
      </c>
      <c r="F435" t="s">
        <v>306</v>
      </c>
      <c r="G435" s="3">
        <v>660</v>
      </c>
      <c r="H435" s="365">
        <v>27</v>
      </c>
      <c r="I435" s="365">
        <v>17820</v>
      </c>
      <c r="J435" t="s">
        <v>209</v>
      </c>
      <c r="K435" t="s">
        <v>303</v>
      </c>
    </row>
    <row r="436" spans="1:11">
      <c r="A436" t="str">
        <f>IF(LEFT(E436,1)="1","SOL",IF(LEFT(E436,1)="2","CO",IF(LEFT(E436,1)="3","ALM",IF(LEFT(E436,1)="4","FAC","TRX")))) &amp; "-" &amp; B436 &amp; "-" &amp; TEXT(COUNTIFS($E$2:$E436,E436,$B$2:$B436,B436),"000")</f>
        <v>SOL-26-041</v>
      </c>
      <c r="B436">
        <v>26</v>
      </c>
      <c r="C436" s="364">
        <v>46196</v>
      </c>
      <c r="D436" t="s">
        <v>2</v>
      </c>
      <c r="E436" t="s">
        <v>208</v>
      </c>
      <c r="F436" t="s">
        <v>213</v>
      </c>
      <c r="G436" s="3">
        <v>240</v>
      </c>
      <c r="H436" s="365">
        <v>27</v>
      </c>
      <c r="I436" s="365">
        <v>6480</v>
      </c>
      <c r="J436" t="s">
        <v>209</v>
      </c>
      <c r="K436">
        <v>27</v>
      </c>
    </row>
    <row r="437" spans="1:11">
      <c r="A437" t="str">
        <f>IF(LEFT(E437,1)="1","SOL",IF(LEFT(E437,1)="2","CO",IF(LEFT(E437,1)="3","ALM",IF(LEFT(E437,1)="4","FAC","TRX")))) &amp; "-" &amp; B437 &amp; "-" &amp; TEXT(COUNTIFS($E$2:$E437,E437,$B$2:$B437,B437),"000")</f>
        <v>SOL-26-042</v>
      </c>
      <c r="B437">
        <v>26</v>
      </c>
      <c r="C437" s="364">
        <v>46196</v>
      </c>
      <c r="D437" t="s">
        <v>2</v>
      </c>
      <c r="E437" t="s">
        <v>208</v>
      </c>
      <c r="F437" t="s">
        <v>214</v>
      </c>
      <c r="G437" s="3">
        <v>20</v>
      </c>
      <c r="H437" s="365">
        <v>27</v>
      </c>
      <c r="I437" s="365">
        <v>540</v>
      </c>
      <c r="J437" t="s">
        <v>209</v>
      </c>
      <c r="K437">
        <v>27</v>
      </c>
    </row>
    <row r="438" spans="1:11">
      <c r="A438" t="str">
        <f>IF(LEFT(E438,1)="1","SOL",IF(LEFT(E438,1)="2","CO",IF(LEFT(E438,1)="3","ALM",IF(LEFT(E438,1)="4","FAC","TRX")))) &amp; "-" &amp; B438 &amp; "-" &amp; TEXT(COUNTIFS($E$2:$E438,E438,$B$2:$B438,B438),"000")</f>
        <v>SOL-26-043</v>
      </c>
      <c r="B438">
        <v>26</v>
      </c>
      <c r="C438" s="364">
        <v>46196</v>
      </c>
      <c r="D438" t="s">
        <v>2</v>
      </c>
      <c r="E438" t="s">
        <v>208</v>
      </c>
      <c r="F438" t="s">
        <v>215</v>
      </c>
      <c r="G438" s="3">
        <v>30</v>
      </c>
      <c r="H438" s="365">
        <v>27</v>
      </c>
      <c r="I438" s="365">
        <v>810</v>
      </c>
      <c r="J438" t="s">
        <v>209</v>
      </c>
      <c r="K438">
        <v>27</v>
      </c>
    </row>
    <row r="439" spans="1:11">
      <c r="A439" t="str">
        <f>IF(LEFT(E439,1)="1","SOL",IF(LEFT(E439,1)="2","CO",IF(LEFT(E439,1)="3","ALM",IF(LEFT(E439,1)="4","FAC","TRX")))) &amp; "-" &amp; B439 &amp; "-" &amp; TEXT(COUNTIFS($E$2:$E439,E439,$B$2:$B439,B439),"000")</f>
        <v>SOL-26-044</v>
      </c>
      <c r="B439">
        <v>26</v>
      </c>
      <c r="C439" s="364">
        <v>46196</v>
      </c>
      <c r="D439" t="s">
        <v>2</v>
      </c>
      <c r="E439" t="s">
        <v>208</v>
      </c>
      <c r="F439" t="s">
        <v>216</v>
      </c>
      <c r="G439" s="3">
        <v>80</v>
      </c>
      <c r="H439" s="365">
        <v>27</v>
      </c>
      <c r="I439" s="365">
        <v>2160</v>
      </c>
      <c r="J439" t="s">
        <v>209</v>
      </c>
      <c r="K439">
        <v>27</v>
      </c>
    </row>
    <row r="440" spans="1:11">
      <c r="A440" t="str">
        <f>IF(LEFT(E440,1)="1","SOL",IF(LEFT(E440,1)="2","CO",IF(LEFT(E440,1)="3","ALM",IF(LEFT(E440,1)="4","FAC","TRX")))) &amp; "-" &amp; B440 &amp; "-" &amp; TEXT(COUNTIFS($E$2:$E440,E440,$B$2:$B440,B440),"000")</f>
        <v>SOL-26-045</v>
      </c>
      <c r="B440">
        <v>26</v>
      </c>
      <c r="C440" s="364">
        <v>46196</v>
      </c>
      <c r="D440" t="s">
        <v>2</v>
      </c>
      <c r="E440" t="s">
        <v>208</v>
      </c>
      <c r="F440" t="s">
        <v>217</v>
      </c>
      <c r="G440" s="3">
        <v>40</v>
      </c>
      <c r="H440" s="365">
        <v>27</v>
      </c>
      <c r="I440" s="365">
        <v>1080</v>
      </c>
      <c r="J440" t="s">
        <v>209</v>
      </c>
      <c r="K440">
        <v>27</v>
      </c>
    </row>
    <row r="441" spans="1:11">
      <c r="A441" t="str">
        <f>IF(LEFT(E441,1)="1","SOL",IF(LEFT(E441,1)="2","CO",IF(LEFT(E441,1)="3","ALM",IF(LEFT(E441,1)="4","FAC","TRX")))) &amp; "-" &amp; B441 &amp; "-" &amp; TEXT(COUNTIFS($E$2:$E441,E441,$B$2:$B441,B441),"000")</f>
        <v>SOL-26-046</v>
      </c>
      <c r="B441">
        <v>26</v>
      </c>
      <c r="C441" s="364">
        <v>46196</v>
      </c>
      <c r="D441" t="s">
        <v>2</v>
      </c>
      <c r="E441" t="s">
        <v>208</v>
      </c>
      <c r="F441" t="s">
        <v>218</v>
      </c>
      <c r="G441" s="3">
        <v>24</v>
      </c>
      <c r="H441" s="365">
        <v>27</v>
      </c>
      <c r="I441" s="365">
        <v>648</v>
      </c>
      <c r="J441" t="s">
        <v>209</v>
      </c>
      <c r="K441">
        <v>27</v>
      </c>
    </row>
    <row r="442" spans="1:11">
      <c r="A442" t="str">
        <f>IF(LEFT(E442,1)="1","SOL",IF(LEFT(E442,1)="2","CO",IF(LEFT(E442,1)="3","ALM",IF(LEFT(E442,1)="4","FAC","TRX")))) &amp; "-" &amp; B442 &amp; "-" &amp; TEXT(COUNTIFS($E$2:$E442,E442,$B$2:$B442,B442),"000")</f>
        <v>SOL-26-047</v>
      </c>
      <c r="B442">
        <v>26</v>
      </c>
      <c r="C442" s="364">
        <v>46196</v>
      </c>
      <c r="D442" t="s">
        <v>2</v>
      </c>
      <c r="E442" t="s">
        <v>208</v>
      </c>
      <c r="F442" t="s">
        <v>219</v>
      </c>
      <c r="G442" s="3">
        <v>60</v>
      </c>
      <c r="H442" s="365">
        <v>27</v>
      </c>
      <c r="I442" s="365">
        <v>1620</v>
      </c>
      <c r="J442" t="s">
        <v>209</v>
      </c>
      <c r="K442">
        <v>27</v>
      </c>
    </row>
    <row r="443" spans="1:11">
      <c r="A443" t="str">
        <f>IF(LEFT(E443,1)="1","SOL",IF(LEFT(E443,1)="2","CO",IF(LEFT(E443,1)="3","ALM",IF(LEFT(E443,1)="4","FAC","TRX")))) &amp; "-" &amp; B443 &amp; "-" &amp; TEXT(COUNTIFS($E$2:$E443,E443,$B$2:$B443,B443),"000")</f>
        <v>SOL-26-048</v>
      </c>
      <c r="B443">
        <v>26</v>
      </c>
      <c r="C443" s="364">
        <v>46196</v>
      </c>
      <c r="D443" t="s">
        <v>2</v>
      </c>
      <c r="E443" t="s">
        <v>208</v>
      </c>
      <c r="F443" t="s">
        <v>220</v>
      </c>
      <c r="G443" s="3">
        <v>24</v>
      </c>
      <c r="H443" s="365">
        <v>27</v>
      </c>
      <c r="I443" s="365">
        <v>648</v>
      </c>
      <c r="J443" t="s">
        <v>209</v>
      </c>
      <c r="K443">
        <v>27</v>
      </c>
    </row>
    <row r="444" spans="1:11">
      <c r="A444" t="str">
        <f>IF(LEFT(E444,1)="1","SOL",IF(LEFT(E444,1)="2","CO",IF(LEFT(E444,1)="3","ALM",IF(LEFT(E444,1)="4","FAC","TRX")))) &amp; "-" &amp; B444 &amp; "-" &amp; TEXT(COUNTIFS($E$2:$E444,E444,$B$2:$B444,B444),"000")</f>
        <v>SOL-26-049</v>
      </c>
      <c r="B444">
        <v>26</v>
      </c>
      <c r="C444" s="364">
        <v>46196</v>
      </c>
      <c r="D444" t="s">
        <v>2</v>
      </c>
      <c r="E444" t="s">
        <v>208</v>
      </c>
      <c r="F444" t="s">
        <v>221</v>
      </c>
      <c r="G444" s="3">
        <v>60</v>
      </c>
      <c r="H444" s="365">
        <v>27</v>
      </c>
      <c r="I444" s="365">
        <v>1620</v>
      </c>
      <c r="J444" t="s">
        <v>209</v>
      </c>
      <c r="K444">
        <v>27</v>
      </c>
    </row>
    <row r="445" spans="1:11">
      <c r="A445" t="str">
        <f>IF(LEFT(E445,1)="1","SOL",IF(LEFT(E445,1)="2","CO",IF(LEFT(E445,1)="3","ALM",IF(LEFT(E445,1)="4","FAC","TRX")))) &amp; "-" &amp; B445 &amp; "-" &amp; TEXT(COUNTIFS($E$2:$E445,E445,$B$2:$B445,B445),"000")</f>
        <v>SOL-26-050</v>
      </c>
      <c r="B445">
        <v>26</v>
      </c>
      <c r="C445" s="364">
        <v>46196</v>
      </c>
      <c r="D445" t="s">
        <v>140</v>
      </c>
      <c r="E445" t="s">
        <v>208</v>
      </c>
      <c r="F445" t="s">
        <v>222</v>
      </c>
      <c r="G445" s="3">
        <v>300</v>
      </c>
      <c r="H445" s="365">
        <v>27</v>
      </c>
      <c r="I445" s="365">
        <v>8100</v>
      </c>
      <c r="J445" t="s">
        <v>209</v>
      </c>
      <c r="K445">
        <v>27</v>
      </c>
    </row>
    <row r="446" spans="1:11">
      <c r="A446" t="str">
        <f>IF(LEFT(E446,1)="1","SOL",IF(LEFT(E446,1)="2","CO",IF(LEFT(E446,1)="3","ALM",IF(LEFT(E446,1)="4","FAC","TRX")))) &amp; "-" &amp; B446 &amp; "-" &amp; TEXT(COUNTIFS($E$2:$E446,E446,$B$2:$B446,B446),"000")</f>
        <v>SOL-26-051</v>
      </c>
      <c r="B446">
        <v>26</v>
      </c>
      <c r="C446" s="364">
        <v>46196</v>
      </c>
      <c r="D446" t="s">
        <v>140</v>
      </c>
      <c r="E446" t="s">
        <v>208</v>
      </c>
      <c r="F446" t="s">
        <v>223</v>
      </c>
      <c r="G446" s="3">
        <v>100</v>
      </c>
      <c r="H446" s="365">
        <v>27</v>
      </c>
      <c r="I446" s="365">
        <v>2700</v>
      </c>
      <c r="J446" t="s">
        <v>209</v>
      </c>
      <c r="K446">
        <v>27</v>
      </c>
    </row>
    <row r="447" spans="1:11">
      <c r="A447" t="str">
        <f>IF(LEFT(E447,1)="1","SOL",IF(LEFT(E447,1)="2","CO",IF(LEFT(E447,1)="3","ALM",IF(LEFT(E447,1)="4","FAC","TRX")))) &amp; "-" &amp; B447 &amp; "-" &amp; TEXT(COUNTIFS($E$2:$E447,E447,$B$2:$B447,B447),"000")</f>
        <v>SOL-26-052</v>
      </c>
      <c r="B447">
        <v>26</v>
      </c>
      <c r="C447" s="364">
        <v>46196</v>
      </c>
      <c r="D447" t="s">
        <v>1</v>
      </c>
      <c r="E447" t="s">
        <v>208</v>
      </c>
      <c r="F447" t="s">
        <v>216</v>
      </c>
      <c r="G447" s="3">
        <v>120</v>
      </c>
      <c r="H447" s="365">
        <v>27</v>
      </c>
      <c r="I447" s="365">
        <v>3240</v>
      </c>
      <c r="J447" t="s">
        <v>209</v>
      </c>
      <c r="K447">
        <v>27</v>
      </c>
    </row>
    <row r="448" spans="1:11">
      <c r="A448" t="str">
        <f>IF(LEFT(E448,1)="1","SOL",IF(LEFT(E448,1)="2","CO",IF(LEFT(E448,1)="3","ALM",IF(LEFT(E448,1)="4","FAC","TRX")))) &amp; "-" &amp; B448 &amp; "-" &amp; TEXT(COUNTIFS($E$2:$E448,E448,$B$2:$B448,B448),"000")</f>
        <v>SOL-26-053</v>
      </c>
      <c r="B448">
        <v>26</v>
      </c>
      <c r="C448" s="364">
        <v>46196</v>
      </c>
      <c r="D448" t="s">
        <v>1</v>
      </c>
      <c r="E448" t="s">
        <v>208</v>
      </c>
      <c r="F448" t="s">
        <v>226</v>
      </c>
      <c r="G448" s="3">
        <v>40</v>
      </c>
      <c r="H448" s="365">
        <v>27</v>
      </c>
      <c r="I448" s="365">
        <v>1080</v>
      </c>
      <c r="J448" t="s">
        <v>209</v>
      </c>
      <c r="K448">
        <v>27</v>
      </c>
    </row>
    <row r="449" spans="1:11">
      <c r="A449" t="str">
        <f>IF(LEFT(E449,1)="1","SOL",IF(LEFT(E449,1)="2","CO",IF(LEFT(E449,1)="3","ALM",IF(LEFT(E449,1)="4","FAC","TRX")))) &amp; "-" &amp; B449 &amp; "-" &amp; TEXT(COUNTIFS($E$2:$E449,E449,$B$2:$B449,B449),"000")</f>
        <v>SOL-26-054</v>
      </c>
      <c r="B449">
        <v>26</v>
      </c>
      <c r="C449" s="364">
        <v>46196</v>
      </c>
      <c r="D449" t="s">
        <v>1</v>
      </c>
      <c r="E449" t="s">
        <v>208</v>
      </c>
      <c r="F449" t="s">
        <v>226</v>
      </c>
      <c r="G449" s="3">
        <v>40</v>
      </c>
      <c r="H449" s="365">
        <v>27</v>
      </c>
      <c r="I449" s="365">
        <v>1080</v>
      </c>
      <c r="J449" t="s">
        <v>209</v>
      </c>
      <c r="K449">
        <v>27</v>
      </c>
    </row>
    <row r="450" spans="1:11">
      <c r="A450" t="str">
        <f>IF(LEFT(E450,1)="1","SOL",IF(LEFT(E450,1)="2","CO",IF(LEFT(E450,1)="3","ALM",IF(LEFT(E450,1)="4","FAC","TRX")))) &amp; "-" &amp; B450 &amp; "-" &amp; TEXT(COUNTIFS($E$2:$E450,E450,$B$2:$B450,B450),"000")</f>
        <v>SOL-26-055</v>
      </c>
      <c r="B450">
        <v>26</v>
      </c>
      <c r="C450" s="364">
        <v>46196</v>
      </c>
      <c r="D450" t="s">
        <v>1</v>
      </c>
      <c r="E450" t="s">
        <v>208</v>
      </c>
      <c r="F450" t="s">
        <v>227</v>
      </c>
      <c r="G450" s="3">
        <v>50</v>
      </c>
      <c r="H450" s="365">
        <v>27</v>
      </c>
      <c r="I450" s="365">
        <v>1350</v>
      </c>
      <c r="J450" t="s">
        <v>209</v>
      </c>
      <c r="K450">
        <v>27</v>
      </c>
    </row>
    <row r="451" spans="1:11">
      <c r="A451" t="str">
        <f>IF(LEFT(E451,1)="1","SOL",IF(LEFT(E451,1)="2","CO",IF(LEFT(E451,1)="3","ALM",IF(LEFT(E451,1)="4","FAC","TRX")))) &amp; "-" &amp; B451 &amp; "-" &amp; TEXT(COUNTIFS($E$2:$E451,E451,$B$2:$B451,B451),"000")</f>
        <v>SOL-26-056</v>
      </c>
      <c r="B451">
        <v>26</v>
      </c>
      <c r="C451" s="364">
        <v>46196</v>
      </c>
      <c r="D451" t="s">
        <v>1</v>
      </c>
      <c r="E451" t="s">
        <v>208</v>
      </c>
      <c r="F451" t="s">
        <v>228</v>
      </c>
      <c r="G451" s="3">
        <v>30</v>
      </c>
      <c r="H451" s="365">
        <v>27</v>
      </c>
      <c r="I451" s="365">
        <v>810</v>
      </c>
      <c r="J451" t="s">
        <v>209</v>
      </c>
      <c r="K451">
        <v>27</v>
      </c>
    </row>
    <row r="452" spans="1:11">
      <c r="A452" t="str">
        <f>IF(LEFT(E452,1)="1","SOL",IF(LEFT(E452,1)="2","CO",IF(LEFT(E452,1)="3","ALM",IF(LEFT(E452,1)="4","FAC","TRX")))) &amp; "-" &amp; B452 &amp; "-" &amp; TEXT(COUNTIFS($E$2:$E452,E452,$B$2:$B452,B452),"000")</f>
        <v>SOL-26-057</v>
      </c>
      <c r="B452">
        <v>26</v>
      </c>
      <c r="C452" s="364">
        <v>46196</v>
      </c>
      <c r="D452" t="s">
        <v>1</v>
      </c>
      <c r="E452" t="s">
        <v>208</v>
      </c>
      <c r="F452" t="s">
        <v>215</v>
      </c>
      <c r="G452" s="3">
        <v>50</v>
      </c>
      <c r="H452" s="365">
        <v>27</v>
      </c>
      <c r="I452" s="365">
        <v>1350</v>
      </c>
      <c r="J452" t="s">
        <v>209</v>
      </c>
      <c r="K452">
        <v>27</v>
      </c>
    </row>
    <row r="453" spans="1:11">
      <c r="A453" t="str">
        <f>IF(LEFT(E453,1)="1","SOL",IF(LEFT(E453,1)="2","CO",IF(LEFT(E453,1)="3","ALM",IF(LEFT(E453,1)="4","FAC","TRX")))) &amp; "-" &amp; B453 &amp; "-" &amp; TEXT(COUNTIFS($E$2:$E453,E453,$B$2:$B453,B453),"000")</f>
        <v>SOL-26-058</v>
      </c>
      <c r="B453">
        <v>26</v>
      </c>
      <c r="C453" s="364">
        <v>46196</v>
      </c>
      <c r="D453" t="s">
        <v>1</v>
      </c>
      <c r="E453" t="s">
        <v>208</v>
      </c>
      <c r="F453" t="s">
        <v>221</v>
      </c>
      <c r="G453" s="3">
        <v>50</v>
      </c>
      <c r="H453" s="365">
        <v>27</v>
      </c>
      <c r="I453" s="365">
        <v>1350</v>
      </c>
      <c r="J453" t="s">
        <v>209</v>
      </c>
      <c r="K453">
        <v>27</v>
      </c>
    </row>
    <row r="454" spans="1:11">
      <c r="A454" t="str">
        <f>IF(LEFT(E454,1)="1","SOL",IF(LEFT(E454,1)="2","CO",IF(LEFT(E454,1)="3","ALM",IF(LEFT(E454,1)="4","FAC","TRX")))) &amp; "-" &amp; B454 &amp; "-" &amp; TEXT(COUNTIFS($E$2:$E454,E454,$B$2:$B454,B454),"000")</f>
        <v>SOL-26-059</v>
      </c>
      <c r="B454">
        <v>26</v>
      </c>
      <c r="C454" s="364">
        <v>46196</v>
      </c>
      <c r="D454" t="s">
        <v>126</v>
      </c>
      <c r="E454" t="s">
        <v>208</v>
      </c>
      <c r="F454" t="s">
        <v>223</v>
      </c>
      <c r="G454" s="3">
        <v>50</v>
      </c>
      <c r="H454" s="365">
        <v>27</v>
      </c>
      <c r="I454" s="365">
        <v>1350</v>
      </c>
      <c r="J454" t="s">
        <v>209</v>
      </c>
      <c r="K454">
        <v>27</v>
      </c>
    </row>
    <row r="455" spans="1:11">
      <c r="A455" t="str">
        <f>IF(LEFT(E455,1)="1","SOL",IF(LEFT(E455,1)="2","CO",IF(LEFT(E455,1)="3","ALM",IF(LEFT(E455,1)="4","FAC","TRX")))) &amp; "-" &amp; B455 &amp; "-" &amp; TEXT(COUNTIFS($E$2:$E455,E455,$B$2:$B455,B455),"000")</f>
        <v>SOL-26-060</v>
      </c>
      <c r="B455">
        <v>26</v>
      </c>
      <c r="C455" s="364">
        <v>46196</v>
      </c>
      <c r="D455" t="s">
        <v>126</v>
      </c>
      <c r="E455" t="s">
        <v>208</v>
      </c>
      <c r="F455" t="s">
        <v>223</v>
      </c>
      <c r="G455" s="3">
        <v>40</v>
      </c>
      <c r="H455" s="365">
        <v>27</v>
      </c>
      <c r="I455" s="365">
        <v>1080</v>
      </c>
      <c r="J455" t="s">
        <v>209</v>
      </c>
      <c r="K455">
        <v>27</v>
      </c>
    </row>
    <row r="456" spans="1:11">
      <c r="A456" t="str">
        <f>IF(LEFT(E456,1)="1","SOL",IF(LEFT(E456,1)="2","CO",IF(LEFT(E456,1)="3","ALM",IF(LEFT(E456,1)="4","FAC","TRX")))) &amp; "-" &amp; B456 &amp; "-" &amp; TEXT(COUNTIFS($E$2:$E456,E456,$B$2:$B456,B456),"000")</f>
        <v>SOL-26-061</v>
      </c>
      <c r="B456">
        <v>26</v>
      </c>
      <c r="C456" s="364">
        <v>46196</v>
      </c>
      <c r="D456" t="s">
        <v>126</v>
      </c>
      <c r="E456" t="s">
        <v>208</v>
      </c>
      <c r="F456" t="s">
        <v>229</v>
      </c>
      <c r="G456" s="3">
        <v>10</v>
      </c>
      <c r="H456" s="365">
        <v>27</v>
      </c>
      <c r="I456" s="365">
        <v>270</v>
      </c>
      <c r="J456" t="s">
        <v>209</v>
      </c>
      <c r="K456">
        <v>27</v>
      </c>
    </row>
    <row r="457" spans="1:11">
      <c r="A457" t="str">
        <f>IF(LEFT(E457,1)="1","SOL",IF(LEFT(E457,1)="2","CO",IF(LEFT(E457,1)="3","ALM",IF(LEFT(E457,1)="4","FAC","TRX")))) &amp; "-" &amp; B457 &amp; "-" &amp; TEXT(COUNTIFS($E$2:$E457,E457,$B$2:$B457,B457),"000")</f>
        <v>SOL-26-062</v>
      </c>
      <c r="B457">
        <v>26</v>
      </c>
      <c r="C457" s="364">
        <v>46196</v>
      </c>
      <c r="D457" t="s">
        <v>126</v>
      </c>
      <c r="E457" t="s">
        <v>208</v>
      </c>
      <c r="F457" t="s">
        <v>230</v>
      </c>
      <c r="G457" s="3">
        <v>5</v>
      </c>
      <c r="H457" s="365">
        <v>27</v>
      </c>
      <c r="I457" s="365">
        <v>135</v>
      </c>
      <c r="J457" t="s">
        <v>209</v>
      </c>
      <c r="K457">
        <v>27</v>
      </c>
    </row>
    <row r="458" spans="1:11">
      <c r="A458" t="str">
        <f>IF(LEFT(E458,1)="1","SOL",IF(LEFT(E458,1)="2","CO",IF(LEFT(E458,1)="3","ALM",IF(LEFT(E458,1)="4","FAC","TRX")))) &amp; "-" &amp; B458 &amp; "-" &amp; TEXT(COUNTIFS($E$2:$E458,E458,$B$2:$B458,B458),"000")</f>
        <v>SOL-26-063</v>
      </c>
      <c r="B458">
        <v>26</v>
      </c>
      <c r="C458" s="364">
        <v>46196</v>
      </c>
      <c r="D458" t="s">
        <v>130</v>
      </c>
      <c r="E458" t="s">
        <v>208</v>
      </c>
      <c r="F458" t="s">
        <v>231</v>
      </c>
      <c r="G458" s="3">
        <v>300</v>
      </c>
      <c r="H458" s="365">
        <v>27</v>
      </c>
      <c r="I458" s="365">
        <v>8100</v>
      </c>
      <c r="J458" t="s">
        <v>209</v>
      </c>
      <c r="K458">
        <v>27</v>
      </c>
    </row>
    <row r="459" spans="1:11">
      <c r="A459" t="str">
        <f>IF(LEFT(E459,1)="1","SOL",IF(LEFT(E459,1)="2","CO",IF(LEFT(E459,1)="3","ALM",IF(LEFT(E459,1)="4","FAC","TRX")))) &amp; "-" &amp; B459 &amp; "-" &amp; TEXT(COUNTIFS($E$2:$E459,E459,$B$2:$B459,B459),"000")</f>
        <v>SOL-26-064</v>
      </c>
      <c r="B459">
        <v>26</v>
      </c>
      <c r="C459" s="364">
        <v>46196</v>
      </c>
      <c r="D459" t="s">
        <v>2</v>
      </c>
      <c r="E459" t="s">
        <v>208</v>
      </c>
      <c r="F459" t="s">
        <v>234</v>
      </c>
      <c r="G459" s="3">
        <v>30</v>
      </c>
      <c r="H459" s="365">
        <v>27</v>
      </c>
      <c r="I459" s="365">
        <v>810</v>
      </c>
      <c r="J459" t="s">
        <v>209</v>
      </c>
      <c r="K459">
        <v>27</v>
      </c>
    </row>
    <row r="460" spans="1:11">
      <c r="A460" t="str">
        <f>IF(LEFT(E460,1)="1","SOL",IF(LEFT(E460,1)="2","CO",IF(LEFT(E460,1)="3","ALM",IF(LEFT(E460,1)="4","FAC","TRX")))) &amp; "-" &amp; B460 &amp; "-" &amp; TEXT(COUNTIFS($E$2:$E460,E460,$B$2:$B460,B460),"000")</f>
        <v>CO-26-018</v>
      </c>
      <c r="B460">
        <v>26</v>
      </c>
      <c r="C460" s="364">
        <v>46196</v>
      </c>
      <c r="D460" t="s">
        <v>247</v>
      </c>
      <c r="E460" t="s">
        <v>246</v>
      </c>
      <c r="F460" t="s">
        <v>231</v>
      </c>
      <c r="G460" s="3">
        <v>275</v>
      </c>
      <c r="H460" s="365">
        <v>27</v>
      </c>
      <c r="I460" s="365">
        <v>7425</v>
      </c>
      <c r="J460" t="s">
        <v>209</v>
      </c>
    </row>
    <row r="461" spans="1:11">
      <c r="A461" t="str">
        <f>IF(LEFT(E461,1)="1","SOL",IF(LEFT(E461,1)="2","CO",IF(LEFT(E461,1)="3","ALM",IF(LEFT(E461,1)="4","FAC","TRX")))) &amp; "-" &amp; B461 &amp; "-" &amp; TEXT(COUNTIFS($E$2:$E461,E461,$B$2:$B461,B461),"000")</f>
        <v>CO-26-019</v>
      </c>
      <c r="B461">
        <v>26</v>
      </c>
      <c r="C461" s="364">
        <v>46196</v>
      </c>
      <c r="D461" t="s">
        <v>247</v>
      </c>
      <c r="E461" t="s">
        <v>246</v>
      </c>
      <c r="F461" t="s">
        <v>230</v>
      </c>
      <c r="G461" s="3">
        <v>20</v>
      </c>
      <c r="H461" s="365">
        <v>27</v>
      </c>
      <c r="I461" s="365">
        <v>540</v>
      </c>
      <c r="J461" t="s">
        <v>209</v>
      </c>
    </row>
    <row r="462" spans="1:11">
      <c r="A462" t="str">
        <f>IF(LEFT(E462,1)="1","SOL",IF(LEFT(E462,1)="2","CO",IF(LEFT(E462,1)="3","ALM",IF(LEFT(E462,1)="4","FAC","TRX")))) &amp; "-" &amp; B462 &amp; "-" &amp; TEXT(COUNTIFS($E$2:$E462,E462,$B$2:$B462,B462),"000")</f>
        <v>CO-26-020</v>
      </c>
      <c r="B462">
        <v>26</v>
      </c>
      <c r="C462" s="364">
        <v>46196</v>
      </c>
      <c r="D462" t="s">
        <v>126</v>
      </c>
      <c r="E462" t="s">
        <v>246</v>
      </c>
      <c r="F462" t="s">
        <v>243</v>
      </c>
      <c r="G462" s="3">
        <v>110</v>
      </c>
      <c r="H462" s="365">
        <v>27</v>
      </c>
      <c r="I462" s="365">
        <v>2970</v>
      </c>
      <c r="J462" t="s">
        <v>209</v>
      </c>
    </row>
    <row r="463" spans="1:11">
      <c r="A463" t="str">
        <f>IF(LEFT(E463,1)="1","SOL",IF(LEFT(E463,1)="2","CO",IF(LEFT(E463,1)="3","ALM",IF(LEFT(E463,1)="4","FAC","TRX")))) &amp; "-" &amp; B463 &amp; "-" &amp; TEXT(COUNTIFS($E$2:$E463,E463,$B$2:$B463,B463),"000")</f>
        <v>CO-26-021</v>
      </c>
      <c r="B463">
        <v>26</v>
      </c>
      <c r="C463" s="364">
        <v>46196</v>
      </c>
      <c r="D463" t="s">
        <v>247</v>
      </c>
      <c r="E463" t="s">
        <v>246</v>
      </c>
      <c r="F463" t="s">
        <v>258</v>
      </c>
      <c r="G463" s="3">
        <v>100</v>
      </c>
      <c r="H463" s="365">
        <v>27</v>
      </c>
      <c r="I463" s="365">
        <v>2700</v>
      </c>
      <c r="J463" t="s">
        <v>209</v>
      </c>
    </row>
    <row r="464" spans="1:11">
      <c r="A464" t="str">
        <f>IF(LEFT(E464,1)="1","SOL",IF(LEFT(E464,1)="2","CO",IF(LEFT(E464,1)="3","ALM",IF(LEFT(E464,1)="4","FAC","TRX")))) &amp; "-" &amp; B464 &amp; "-" &amp; TEXT(COUNTIFS($E$2:$E464,E464,$B$2:$B464,B464),"000")</f>
        <v>CO-26-022</v>
      </c>
      <c r="B464">
        <v>26</v>
      </c>
      <c r="C464" s="364">
        <v>46196</v>
      </c>
      <c r="D464" t="s">
        <v>2</v>
      </c>
      <c r="E464" t="s">
        <v>246</v>
      </c>
      <c r="F464" t="s">
        <v>215</v>
      </c>
      <c r="G464" s="3">
        <v>50</v>
      </c>
      <c r="H464" s="365">
        <v>27</v>
      </c>
      <c r="I464" s="365">
        <v>1350</v>
      </c>
      <c r="J464" t="s">
        <v>209</v>
      </c>
    </row>
    <row r="465" spans="1:11">
      <c r="A465" t="str">
        <f>IF(LEFT(E465,1)="1","SOL",IF(LEFT(E465,1)="2","CO",IF(LEFT(E465,1)="3","ALM",IF(LEFT(E465,1)="4","FAC","TRX")))) &amp; "-" &amp; B465 &amp; "-" &amp; TEXT(COUNTIFS($E$2:$E465,E465,$B$2:$B465,B465),"000")</f>
        <v>CO-26-023</v>
      </c>
      <c r="B465">
        <v>26</v>
      </c>
      <c r="C465" s="364">
        <v>46196</v>
      </c>
      <c r="D465" t="s">
        <v>126</v>
      </c>
      <c r="E465" t="s">
        <v>246</v>
      </c>
      <c r="F465" t="s">
        <v>213</v>
      </c>
      <c r="G465" s="3">
        <v>96</v>
      </c>
      <c r="H465" s="365">
        <v>27</v>
      </c>
      <c r="I465" s="365">
        <v>2592</v>
      </c>
      <c r="J465" t="s">
        <v>209</v>
      </c>
    </row>
    <row r="466" spans="1:11">
      <c r="A466" t="str">
        <f>IF(LEFT(E466,1)="1","SOL",IF(LEFT(E466,1)="2","CO",IF(LEFT(E466,1)="3","ALM",IF(LEFT(E466,1)="4","FAC","TRX")))) &amp; "-" &amp; B466 &amp; "-" &amp; TEXT(COUNTIFS($E$2:$E466,E466,$B$2:$B466,B466),"000")</f>
        <v>CO-26-024</v>
      </c>
      <c r="B466">
        <v>26</v>
      </c>
      <c r="C466" s="364">
        <v>46196</v>
      </c>
      <c r="D466" t="s">
        <v>1</v>
      </c>
      <c r="E466" t="s">
        <v>246</v>
      </c>
      <c r="F466" t="s">
        <v>251</v>
      </c>
      <c r="G466" s="3">
        <v>21</v>
      </c>
      <c r="H466" s="365">
        <v>27</v>
      </c>
      <c r="I466" s="365">
        <v>567</v>
      </c>
      <c r="J466" t="s">
        <v>209</v>
      </c>
    </row>
    <row r="467" spans="1:11">
      <c r="A467" t="str">
        <f>IF(LEFT(E467,1)="1","SOL",IF(LEFT(E467,1)="2","CO",IF(LEFT(E467,1)="3","ALM",IF(LEFT(E467,1)="4","FAC","TRX")))) &amp; "-" &amp; B467 &amp; "-" &amp; TEXT(COUNTIFS($E$2:$E467,E467,$B$2:$B467,B467),"000")</f>
        <v>CO-26-025</v>
      </c>
      <c r="B467">
        <v>26</v>
      </c>
      <c r="C467" s="364">
        <v>46196</v>
      </c>
      <c r="D467" t="s">
        <v>1</v>
      </c>
      <c r="E467" t="s">
        <v>246</v>
      </c>
      <c r="F467" t="s">
        <v>249</v>
      </c>
      <c r="G467" s="3">
        <v>50</v>
      </c>
      <c r="H467" s="365">
        <v>27</v>
      </c>
      <c r="I467" s="365">
        <v>1350</v>
      </c>
      <c r="J467" t="s">
        <v>209</v>
      </c>
    </row>
    <row r="468" spans="1:11">
      <c r="A468" t="str">
        <f>IF(LEFT(E468,1)="1","SOL",IF(LEFT(E468,1)="2","CO",IF(LEFT(E468,1)="3","ALM",IF(LEFT(E468,1)="4","FAC","TRX")))) &amp; "-" &amp; B468 &amp; "-" &amp; TEXT(COUNTIFS($E$2:$E468,E468,$B$2:$B468,B468),"000")</f>
        <v>CO-26-026</v>
      </c>
      <c r="B468">
        <v>26</v>
      </c>
      <c r="C468" s="364">
        <v>46196</v>
      </c>
      <c r="D468" t="s">
        <v>1</v>
      </c>
      <c r="E468" t="s">
        <v>246</v>
      </c>
      <c r="F468" t="s">
        <v>242</v>
      </c>
      <c r="G468" s="3">
        <v>31</v>
      </c>
      <c r="H468" s="365">
        <v>27</v>
      </c>
      <c r="I468" s="365">
        <v>837</v>
      </c>
      <c r="J468" t="s">
        <v>209</v>
      </c>
    </row>
    <row r="469" spans="1:11">
      <c r="A469" t="str">
        <f>IF(LEFT(E469,1)="1","SOL",IF(LEFT(E469,1)="2","CO",IF(LEFT(E469,1)="3","ALM",IF(LEFT(E469,1)="4","FAC","TRX")))) &amp; "-" &amp; B469 &amp; "-" &amp; TEXT(COUNTIFS($E$2:$E469,E469,$B$2:$B469,B469),"000")</f>
        <v>CO-26-027</v>
      </c>
      <c r="B469">
        <v>26</v>
      </c>
      <c r="C469" s="364">
        <v>46196</v>
      </c>
      <c r="D469" t="s">
        <v>140</v>
      </c>
      <c r="E469" t="s">
        <v>246</v>
      </c>
      <c r="F469" t="s">
        <v>254</v>
      </c>
      <c r="G469" s="3">
        <v>100</v>
      </c>
      <c r="H469" s="365">
        <v>27</v>
      </c>
      <c r="I469" s="365">
        <v>2700</v>
      </c>
      <c r="J469" t="s">
        <v>209</v>
      </c>
    </row>
    <row r="470" spans="1:11">
      <c r="A470" t="str">
        <f>IF(LEFT(E470,1)="1","SOL",IF(LEFT(E470,1)="2","CO",IF(LEFT(E470,1)="3","ALM",IF(LEFT(E470,1)="4","FAC","TRX")))) &amp; "-" &amp; B470 &amp; "-" &amp; TEXT(COUNTIFS($E$2:$E470,E470,$B$2:$B470,B470),"000")</f>
        <v>CO-26-028</v>
      </c>
      <c r="B470">
        <v>26</v>
      </c>
      <c r="C470" s="364">
        <v>46196</v>
      </c>
      <c r="D470" t="s">
        <v>140</v>
      </c>
      <c r="E470" t="s">
        <v>246</v>
      </c>
      <c r="F470" t="s">
        <v>224</v>
      </c>
      <c r="G470" s="3">
        <v>50</v>
      </c>
      <c r="H470" s="365">
        <v>27</v>
      </c>
      <c r="I470" s="365">
        <v>1350</v>
      </c>
      <c r="J470" t="s">
        <v>209</v>
      </c>
    </row>
    <row r="471" spans="1:11">
      <c r="A471" t="str">
        <f>IF(LEFT(E471,1)="1","SOL",IF(LEFT(E471,1)="2","CO",IF(LEFT(E471,1)="3","ALM",IF(LEFT(E471,1)="4","FAC","TRX")))) &amp; "-" &amp; B471 &amp; "-" &amp; TEXT(COUNTIFS($E$2:$E471,E471,$B$2:$B471,B471),"000")</f>
        <v>CO-26-029</v>
      </c>
      <c r="B471">
        <v>26</v>
      </c>
      <c r="C471" s="364">
        <v>46196</v>
      </c>
      <c r="D471" t="s">
        <v>289</v>
      </c>
      <c r="E471" t="s">
        <v>246</v>
      </c>
      <c r="F471" t="s">
        <v>296</v>
      </c>
      <c r="G471" s="3">
        <v>140</v>
      </c>
      <c r="H471" s="365">
        <v>27</v>
      </c>
      <c r="I471" s="365">
        <v>3780</v>
      </c>
      <c r="J471" t="s">
        <v>209</v>
      </c>
    </row>
    <row r="472" spans="1:11">
      <c r="A472" t="str">
        <f>IF(LEFT(E472,1)="1","SOL",IF(LEFT(E472,1)="2","CO",IF(LEFT(E472,1)="3","ALM",IF(LEFT(E472,1)="4","FAC","TRX")))) &amp; "-" &amp; B472 &amp; "-" &amp; TEXT(COUNTIFS($E$2:$E472,E472,$B$2:$B472,B472),"000")</f>
        <v>CO-26-030</v>
      </c>
      <c r="B472">
        <v>26</v>
      </c>
      <c r="C472" s="364">
        <v>46196</v>
      </c>
      <c r="D472" t="s">
        <v>289</v>
      </c>
      <c r="E472" t="s">
        <v>246</v>
      </c>
      <c r="F472" t="s">
        <v>298</v>
      </c>
      <c r="G472" s="3">
        <v>119.26</v>
      </c>
      <c r="H472" s="365">
        <v>27</v>
      </c>
      <c r="I472" s="365">
        <v>3220.02</v>
      </c>
      <c r="J472" t="s">
        <v>209</v>
      </c>
    </row>
    <row r="473" spans="1:11">
      <c r="A473" t="str">
        <f>IF(LEFT(E473,1)="1","SOL",IF(LEFT(E473,1)="2","CO",IF(LEFT(E473,1)="3","ALM",IF(LEFT(E473,1)="4","FAC","TRX")))) &amp; "-" &amp; B473 &amp; "-" &amp; TEXT(COUNTIFS($E$2:$E473,E473,$B$2:$B473,B473),"000")</f>
        <v>FAC-26-002</v>
      </c>
      <c r="B473">
        <v>26</v>
      </c>
      <c r="C473" s="364">
        <v>46196</v>
      </c>
      <c r="D473" t="s">
        <v>1</v>
      </c>
      <c r="E473" t="s">
        <v>301</v>
      </c>
      <c r="F473" t="s">
        <v>307</v>
      </c>
      <c r="G473" s="3">
        <v>63</v>
      </c>
      <c r="H473" s="365">
        <v>23.80952380952381</v>
      </c>
      <c r="I473" s="365">
        <v>1500</v>
      </c>
      <c r="J473" t="s">
        <v>209</v>
      </c>
      <c r="K473" t="s">
        <v>303</v>
      </c>
    </row>
    <row r="474" spans="1:11">
      <c r="A474" t="str">
        <f>IF(LEFT(E474,1)="1","SOL",IF(LEFT(E474,1)="2","CO",IF(LEFT(E474,1)="3","ALM",IF(LEFT(E474,1)="4","FAC","TRX")))) &amp; "-" &amp; B474 &amp; "-" &amp; TEXT(COUNTIFS($E$2:$E474,E474,$B$2:$B474,B474),"000")</f>
        <v>FAC-26-003</v>
      </c>
      <c r="B474">
        <v>26</v>
      </c>
      <c r="C474" s="364">
        <v>46196</v>
      </c>
      <c r="D474" t="s">
        <v>1</v>
      </c>
      <c r="E474" t="s">
        <v>301</v>
      </c>
      <c r="F474" t="s">
        <v>308</v>
      </c>
      <c r="G474" s="3">
        <v>42</v>
      </c>
      <c r="H474" s="365">
        <v>23.80952380952381</v>
      </c>
      <c r="I474" s="365">
        <v>1000</v>
      </c>
      <c r="J474" t="s">
        <v>209</v>
      </c>
      <c r="K474" t="s">
        <v>303</v>
      </c>
    </row>
    <row r="475" spans="1:11">
      <c r="A475" t="str">
        <f>IF(LEFT(E475,1)="1","SOL",IF(LEFT(E475,1)="2","CO",IF(LEFT(E475,1)="3","ALM",IF(LEFT(E475,1)="4","FAC","TRX")))) &amp; "-" &amp; B475 &amp; "-" &amp; TEXT(COUNTIFS($E$2:$E475,E475,$B$2:$B475,B475),"000")</f>
        <v>FAC-26-004</v>
      </c>
      <c r="B475">
        <v>26</v>
      </c>
      <c r="C475" s="364">
        <v>46196</v>
      </c>
      <c r="D475" t="s">
        <v>1</v>
      </c>
      <c r="E475" t="s">
        <v>301</v>
      </c>
      <c r="F475" t="s">
        <v>309</v>
      </c>
      <c r="G475" s="3">
        <v>63</v>
      </c>
      <c r="H475" s="365">
        <v>23.80952380952381</v>
      </c>
      <c r="I475" s="365">
        <v>1500</v>
      </c>
      <c r="J475" t="s">
        <v>209</v>
      </c>
      <c r="K475" t="s">
        <v>303</v>
      </c>
    </row>
    <row r="476" spans="1:11">
      <c r="A476" t="str">
        <f>IF(LEFT(E476,1)="1","SOL",IF(LEFT(E476,1)="2","CO",IF(LEFT(E476,1)="3","ALM",IF(LEFT(E476,1)="4","FAC","TRX")))) &amp; "-" &amp; B476 &amp; "-" &amp; TEXT(COUNTIFS($E$2:$E476,E476,$B$2:$B476,B476),"000")</f>
        <v>FAC-26-005</v>
      </c>
      <c r="B476">
        <v>26</v>
      </c>
      <c r="C476" s="364">
        <v>46196</v>
      </c>
      <c r="D476" t="s">
        <v>300</v>
      </c>
      <c r="E476" t="s">
        <v>301</v>
      </c>
      <c r="F476" t="s">
        <v>310</v>
      </c>
      <c r="G476" s="3">
        <v>3900</v>
      </c>
      <c r="H476" s="365">
        <v>27.692399999999999</v>
      </c>
      <c r="I476" s="365">
        <v>108000.36</v>
      </c>
      <c r="J476" t="s">
        <v>209</v>
      </c>
      <c r="K476" t="s">
        <v>303</v>
      </c>
    </row>
    <row r="477" spans="1:11">
      <c r="A477" t="str">
        <f>IF(LEFT(E477,1)="1","SOL",IF(LEFT(E477,1)="2","CO",IF(LEFT(E477,1)="3","ALM",IF(LEFT(E477,1)="4","FAC","TRX")))) &amp; "-" &amp; B477 &amp; "-" &amp; TEXT(COUNTIFS($E$2:$E477,E477,$B$2:$B477,B477),"000")</f>
        <v>SOL-26-065</v>
      </c>
      <c r="B477">
        <v>26</v>
      </c>
      <c r="C477" s="364">
        <v>46197</v>
      </c>
      <c r="D477" t="s">
        <v>2</v>
      </c>
      <c r="E477" t="s">
        <v>208</v>
      </c>
      <c r="F477" t="s">
        <v>213</v>
      </c>
      <c r="G477" s="3">
        <v>240</v>
      </c>
      <c r="H477" s="365">
        <v>27</v>
      </c>
      <c r="I477" s="365">
        <v>6480</v>
      </c>
      <c r="J477" t="s">
        <v>209</v>
      </c>
      <c r="K477">
        <v>27</v>
      </c>
    </row>
    <row r="478" spans="1:11">
      <c r="A478" t="str">
        <f>IF(LEFT(E478,1)="1","SOL",IF(LEFT(E478,1)="2","CO",IF(LEFT(E478,1)="3","ALM",IF(LEFT(E478,1)="4","FAC","TRX")))) &amp; "-" &amp; B478 &amp; "-" &amp; TEXT(COUNTIFS($E$2:$E478,E478,$B$2:$B478,B478),"000")</f>
        <v>SOL-26-066</v>
      </c>
      <c r="B478">
        <v>26</v>
      </c>
      <c r="C478" s="364">
        <v>46197</v>
      </c>
      <c r="D478" t="s">
        <v>2</v>
      </c>
      <c r="E478" t="s">
        <v>208</v>
      </c>
      <c r="F478" t="s">
        <v>214</v>
      </c>
      <c r="G478" s="3">
        <v>20</v>
      </c>
      <c r="H478" s="365">
        <v>27</v>
      </c>
      <c r="I478" s="365">
        <v>540</v>
      </c>
      <c r="J478" t="s">
        <v>209</v>
      </c>
      <c r="K478">
        <v>27</v>
      </c>
    </row>
    <row r="479" spans="1:11">
      <c r="A479" t="str">
        <f>IF(LEFT(E479,1)="1","SOL",IF(LEFT(E479,1)="2","CO",IF(LEFT(E479,1)="3","ALM",IF(LEFT(E479,1)="4","FAC","TRX")))) &amp; "-" &amp; B479 &amp; "-" &amp; TEXT(COUNTIFS($E$2:$E479,E479,$B$2:$B479,B479),"000")</f>
        <v>SOL-26-067</v>
      </c>
      <c r="B479">
        <v>26</v>
      </c>
      <c r="C479" s="364">
        <v>46197</v>
      </c>
      <c r="D479" t="s">
        <v>2</v>
      </c>
      <c r="E479" t="s">
        <v>208</v>
      </c>
      <c r="F479" t="s">
        <v>215</v>
      </c>
      <c r="G479" s="3">
        <v>30</v>
      </c>
      <c r="H479" s="365">
        <v>27</v>
      </c>
      <c r="I479" s="365">
        <v>810</v>
      </c>
      <c r="J479" t="s">
        <v>209</v>
      </c>
      <c r="K479">
        <v>27</v>
      </c>
    </row>
    <row r="480" spans="1:11">
      <c r="A480" t="str">
        <f>IF(LEFT(E480,1)="1","SOL",IF(LEFT(E480,1)="2","CO",IF(LEFT(E480,1)="3","ALM",IF(LEFT(E480,1)="4","FAC","TRX")))) &amp; "-" &amp; B480 &amp; "-" &amp; TEXT(COUNTIFS($E$2:$E480,E480,$B$2:$B480,B480),"000")</f>
        <v>SOL-26-068</v>
      </c>
      <c r="B480">
        <v>26</v>
      </c>
      <c r="C480" s="364">
        <v>46197</v>
      </c>
      <c r="D480" t="s">
        <v>2</v>
      </c>
      <c r="E480" t="s">
        <v>208</v>
      </c>
      <c r="F480" t="s">
        <v>216</v>
      </c>
      <c r="G480" s="3">
        <v>80</v>
      </c>
      <c r="H480" s="365">
        <v>27</v>
      </c>
      <c r="I480" s="365">
        <v>2160</v>
      </c>
      <c r="J480" t="s">
        <v>209</v>
      </c>
      <c r="K480">
        <v>27</v>
      </c>
    </row>
    <row r="481" spans="1:11">
      <c r="A481" t="str">
        <f>IF(LEFT(E481,1)="1","SOL",IF(LEFT(E481,1)="2","CO",IF(LEFT(E481,1)="3","ALM",IF(LEFT(E481,1)="4","FAC","TRX")))) &amp; "-" &amp; B481 &amp; "-" &amp; TEXT(COUNTIFS($E$2:$E481,E481,$B$2:$B481,B481),"000")</f>
        <v>SOL-26-069</v>
      </c>
      <c r="B481">
        <v>26</v>
      </c>
      <c r="C481" s="364">
        <v>46197</v>
      </c>
      <c r="D481" t="s">
        <v>2</v>
      </c>
      <c r="E481" t="s">
        <v>208</v>
      </c>
      <c r="F481" t="s">
        <v>217</v>
      </c>
      <c r="G481" s="3">
        <v>40</v>
      </c>
      <c r="H481" s="365">
        <v>27</v>
      </c>
      <c r="I481" s="365">
        <v>1080</v>
      </c>
      <c r="J481" t="s">
        <v>209</v>
      </c>
      <c r="K481">
        <v>27</v>
      </c>
    </row>
    <row r="482" spans="1:11">
      <c r="A482" t="str">
        <f>IF(LEFT(E482,1)="1","SOL",IF(LEFT(E482,1)="2","CO",IF(LEFT(E482,1)="3","ALM",IF(LEFT(E482,1)="4","FAC","TRX")))) &amp; "-" &amp; B482 &amp; "-" &amp; TEXT(COUNTIFS($E$2:$E482,E482,$B$2:$B482,B482),"000")</f>
        <v>SOL-26-070</v>
      </c>
      <c r="B482">
        <v>26</v>
      </c>
      <c r="C482" s="364">
        <v>46197</v>
      </c>
      <c r="D482" t="s">
        <v>2</v>
      </c>
      <c r="E482" t="s">
        <v>208</v>
      </c>
      <c r="F482" t="s">
        <v>218</v>
      </c>
      <c r="G482" s="3">
        <v>24</v>
      </c>
      <c r="H482" s="365">
        <v>27</v>
      </c>
      <c r="I482" s="365">
        <v>648</v>
      </c>
      <c r="J482" t="s">
        <v>209</v>
      </c>
      <c r="K482">
        <v>27</v>
      </c>
    </row>
    <row r="483" spans="1:11">
      <c r="A483" t="str">
        <f>IF(LEFT(E483,1)="1","SOL",IF(LEFT(E483,1)="2","CO",IF(LEFT(E483,1)="3","ALM",IF(LEFT(E483,1)="4","FAC","TRX")))) &amp; "-" &amp; B483 &amp; "-" &amp; TEXT(COUNTIFS($E$2:$E483,E483,$B$2:$B483,B483),"000")</f>
        <v>SOL-26-071</v>
      </c>
      <c r="B483">
        <v>26</v>
      </c>
      <c r="C483" s="364">
        <v>46197</v>
      </c>
      <c r="D483" t="s">
        <v>2</v>
      </c>
      <c r="E483" t="s">
        <v>208</v>
      </c>
      <c r="F483" t="s">
        <v>219</v>
      </c>
      <c r="G483" s="3">
        <v>60</v>
      </c>
      <c r="H483" s="365">
        <v>27</v>
      </c>
      <c r="I483" s="365">
        <v>1620</v>
      </c>
      <c r="J483" t="s">
        <v>209</v>
      </c>
      <c r="K483">
        <v>27</v>
      </c>
    </row>
    <row r="484" spans="1:11">
      <c r="A484" t="str">
        <f>IF(LEFT(E484,1)="1","SOL",IF(LEFT(E484,1)="2","CO",IF(LEFT(E484,1)="3","ALM",IF(LEFT(E484,1)="4","FAC","TRX")))) &amp; "-" &amp; B484 &amp; "-" &amp; TEXT(COUNTIFS($E$2:$E484,E484,$B$2:$B484,B484),"000")</f>
        <v>SOL-26-072</v>
      </c>
      <c r="B484">
        <v>26</v>
      </c>
      <c r="C484" s="364">
        <v>46197</v>
      </c>
      <c r="D484" t="s">
        <v>2</v>
      </c>
      <c r="E484" t="s">
        <v>208</v>
      </c>
      <c r="F484" t="s">
        <v>220</v>
      </c>
      <c r="G484" s="3">
        <v>24</v>
      </c>
      <c r="H484" s="365">
        <v>27</v>
      </c>
      <c r="I484" s="365">
        <v>648</v>
      </c>
      <c r="J484" t="s">
        <v>209</v>
      </c>
      <c r="K484">
        <v>27</v>
      </c>
    </row>
    <row r="485" spans="1:11">
      <c r="A485" t="str">
        <f>IF(LEFT(E485,1)="1","SOL",IF(LEFT(E485,1)="2","CO",IF(LEFT(E485,1)="3","ALM",IF(LEFT(E485,1)="4","FAC","TRX")))) &amp; "-" &amp; B485 &amp; "-" &amp; TEXT(COUNTIFS($E$2:$E485,E485,$B$2:$B485,B485),"000")</f>
        <v>SOL-26-073</v>
      </c>
      <c r="B485">
        <v>26</v>
      </c>
      <c r="C485" s="364">
        <v>46197</v>
      </c>
      <c r="D485" t="s">
        <v>2</v>
      </c>
      <c r="E485" t="s">
        <v>208</v>
      </c>
      <c r="F485" t="s">
        <v>221</v>
      </c>
      <c r="G485" s="3">
        <v>60</v>
      </c>
      <c r="H485" s="365">
        <v>27</v>
      </c>
      <c r="I485" s="365">
        <v>1620</v>
      </c>
      <c r="J485" t="s">
        <v>209</v>
      </c>
      <c r="K485">
        <v>27</v>
      </c>
    </row>
    <row r="486" spans="1:11">
      <c r="A486" t="str">
        <f>IF(LEFT(E486,1)="1","SOL",IF(LEFT(E486,1)="2","CO",IF(LEFT(E486,1)="3","ALM",IF(LEFT(E486,1)="4","FAC","TRX")))) &amp; "-" &amp; B486 &amp; "-" &amp; TEXT(COUNTIFS($E$2:$E486,E486,$B$2:$B486,B486),"000")</f>
        <v>SOL-26-074</v>
      </c>
      <c r="B486">
        <v>26</v>
      </c>
      <c r="C486" s="364">
        <v>46197</v>
      </c>
      <c r="D486" t="s">
        <v>140</v>
      </c>
      <c r="E486" t="s">
        <v>208</v>
      </c>
      <c r="F486" t="s">
        <v>222</v>
      </c>
      <c r="G486" s="3">
        <v>300</v>
      </c>
      <c r="H486" s="365">
        <v>27</v>
      </c>
      <c r="I486" s="365">
        <v>8100</v>
      </c>
      <c r="J486" t="s">
        <v>209</v>
      </c>
      <c r="K486">
        <v>27</v>
      </c>
    </row>
    <row r="487" spans="1:11">
      <c r="A487" t="str">
        <f>IF(LEFT(E487,1)="1","SOL",IF(LEFT(E487,1)="2","CO",IF(LEFT(E487,1)="3","ALM",IF(LEFT(E487,1)="4","FAC","TRX")))) &amp; "-" &amp; B487 &amp; "-" &amp; TEXT(COUNTIFS($E$2:$E487,E487,$B$2:$B487,B487),"000")</f>
        <v>SOL-26-075</v>
      </c>
      <c r="B487">
        <v>26</v>
      </c>
      <c r="C487" s="364">
        <v>46197</v>
      </c>
      <c r="D487" t="s">
        <v>140</v>
      </c>
      <c r="E487" t="s">
        <v>208</v>
      </c>
      <c r="F487" t="s">
        <v>223</v>
      </c>
      <c r="G487" s="3">
        <v>100</v>
      </c>
      <c r="H487" s="365">
        <v>27</v>
      </c>
      <c r="I487" s="365">
        <v>2700</v>
      </c>
      <c r="J487" t="s">
        <v>209</v>
      </c>
      <c r="K487">
        <v>27</v>
      </c>
    </row>
    <row r="488" spans="1:11">
      <c r="A488" t="str">
        <f>IF(LEFT(E488,1)="1","SOL",IF(LEFT(E488,1)="2","CO",IF(LEFT(E488,1)="3","ALM",IF(LEFT(E488,1)="4","FAC","TRX")))) &amp; "-" &amp; B488 &amp; "-" &amp; TEXT(COUNTIFS($E$2:$E488,E488,$B$2:$B488,B488),"000")</f>
        <v>SOL-26-076</v>
      </c>
      <c r="B488">
        <v>26</v>
      </c>
      <c r="C488" s="364">
        <v>46197</v>
      </c>
      <c r="D488" t="s">
        <v>140</v>
      </c>
      <c r="E488" t="s">
        <v>208</v>
      </c>
      <c r="F488" t="s">
        <v>225</v>
      </c>
      <c r="G488" s="3">
        <v>100</v>
      </c>
      <c r="H488" s="365">
        <v>27</v>
      </c>
      <c r="I488" s="365">
        <v>2700</v>
      </c>
      <c r="J488" t="s">
        <v>209</v>
      </c>
      <c r="K488">
        <v>27</v>
      </c>
    </row>
    <row r="489" spans="1:11">
      <c r="A489" t="str">
        <f>IF(LEFT(E489,1)="1","SOL",IF(LEFT(E489,1)="2","CO",IF(LEFT(E489,1)="3","ALM",IF(LEFT(E489,1)="4","FAC","TRX")))) &amp; "-" &amp; B489 &amp; "-" &amp; TEXT(COUNTIFS($E$2:$E489,E489,$B$2:$B489,B489),"000")</f>
        <v>SOL-26-077</v>
      </c>
      <c r="B489">
        <v>26</v>
      </c>
      <c r="C489" s="364">
        <v>46197</v>
      </c>
      <c r="D489" t="s">
        <v>1</v>
      </c>
      <c r="E489" t="s">
        <v>208</v>
      </c>
      <c r="F489" t="s">
        <v>213</v>
      </c>
      <c r="G489" s="3">
        <v>250</v>
      </c>
      <c r="H489" s="365">
        <v>27</v>
      </c>
      <c r="I489" s="365">
        <v>6750</v>
      </c>
      <c r="J489" t="s">
        <v>209</v>
      </c>
      <c r="K489">
        <v>27</v>
      </c>
    </row>
    <row r="490" spans="1:11">
      <c r="A490" t="str">
        <f>IF(LEFT(E490,1)="1","SOL",IF(LEFT(E490,1)="2","CO",IF(LEFT(E490,1)="3","ALM",IF(LEFT(E490,1)="4","FAC","TRX")))) &amp; "-" &amp; B490 &amp; "-" &amp; TEXT(COUNTIFS($E$2:$E490,E490,$B$2:$B490,B490),"000")</f>
        <v>SOL-26-078</v>
      </c>
      <c r="B490">
        <v>26</v>
      </c>
      <c r="C490" s="364">
        <v>46197</v>
      </c>
      <c r="D490" t="s">
        <v>1</v>
      </c>
      <c r="E490" t="s">
        <v>208</v>
      </c>
      <c r="F490" t="s">
        <v>216</v>
      </c>
      <c r="G490" s="3">
        <v>120</v>
      </c>
      <c r="H490" s="365">
        <v>27</v>
      </c>
      <c r="I490" s="365">
        <v>3240</v>
      </c>
      <c r="J490" t="s">
        <v>209</v>
      </c>
      <c r="K490">
        <v>27</v>
      </c>
    </row>
    <row r="491" spans="1:11">
      <c r="A491" t="str">
        <f>IF(LEFT(E491,1)="1","SOL",IF(LEFT(E491,1)="2","CO",IF(LEFT(E491,1)="3","ALM",IF(LEFT(E491,1)="4","FAC","TRX")))) &amp; "-" &amp; B491 &amp; "-" &amp; TEXT(COUNTIFS($E$2:$E491,E491,$B$2:$B491,B491),"000")</f>
        <v>SOL-26-079</v>
      </c>
      <c r="B491">
        <v>26</v>
      </c>
      <c r="C491" s="364">
        <v>46197</v>
      </c>
      <c r="D491" t="s">
        <v>1</v>
      </c>
      <c r="E491" t="s">
        <v>208</v>
      </c>
      <c r="F491" t="s">
        <v>226</v>
      </c>
      <c r="G491" s="3">
        <v>40</v>
      </c>
      <c r="H491" s="365">
        <v>27</v>
      </c>
      <c r="I491" s="365">
        <v>1080</v>
      </c>
      <c r="J491" t="s">
        <v>209</v>
      </c>
      <c r="K491">
        <v>27</v>
      </c>
    </row>
    <row r="492" spans="1:11">
      <c r="A492" t="str">
        <f>IF(LEFT(E492,1)="1","SOL",IF(LEFT(E492,1)="2","CO",IF(LEFT(E492,1)="3","ALM",IF(LEFT(E492,1)="4","FAC","TRX")))) &amp; "-" &amp; B492 &amp; "-" &amp; TEXT(COUNTIFS($E$2:$E492,E492,$B$2:$B492,B492),"000")</f>
        <v>SOL-26-080</v>
      </c>
      <c r="B492">
        <v>26</v>
      </c>
      <c r="C492" s="364">
        <v>46197</v>
      </c>
      <c r="D492" t="s">
        <v>1</v>
      </c>
      <c r="E492" t="s">
        <v>208</v>
      </c>
      <c r="F492" t="s">
        <v>226</v>
      </c>
      <c r="G492" s="3">
        <v>40</v>
      </c>
      <c r="H492" s="365">
        <v>27</v>
      </c>
      <c r="I492" s="365">
        <v>1080</v>
      </c>
      <c r="J492" t="s">
        <v>209</v>
      </c>
      <c r="K492">
        <v>27</v>
      </c>
    </row>
    <row r="493" spans="1:11">
      <c r="A493" t="str">
        <f>IF(LEFT(E493,1)="1","SOL",IF(LEFT(E493,1)="2","CO",IF(LEFT(E493,1)="3","ALM",IF(LEFT(E493,1)="4","FAC","TRX")))) &amp; "-" &amp; B493 &amp; "-" &amp; TEXT(COUNTIFS($E$2:$E493,E493,$B$2:$B493,B493),"000")</f>
        <v>SOL-26-081</v>
      </c>
      <c r="B493">
        <v>26</v>
      </c>
      <c r="C493" s="364">
        <v>46197</v>
      </c>
      <c r="D493" t="s">
        <v>1</v>
      </c>
      <c r="E493" t="s">
        <v>208</v>
      </c>
      <c r="F493" t="s">
        <v>227</v>
      </c>
      <c r="G493" s="3">
        <v>50</v>
      </c>
      <c r="H493" s="365">
        <v>27</v>
      </c>
      <c r="I493" s="365">
        <v>1350</v>
      </c>
      <c r="J493" t="s">
        <v>209</v>
      </c>
      <c r="K493">
        <v>27</v>
      </c>
    </row>
    <row r="494" spans="1:11">
      <c r="A494" t="str">
        <f>IF(LEFT(E494,1)="1","SOL",IF(LEFT(E494,1)="2","CO",IF(LEFT(E494,1)="3","ALM",IF(LEFT(E494,1)="4","FAC","TRX")))) &amp; "-" &amp; B494 &amp; "-" &amp; TEXT(COUNTIFS($E$2:$E494,E494,$B$2:$B494,B494),"000")</f>
        <v>SOL-26-082</v>
      </c>
      <c r="B494">
        <v>26</v>
      </c>
      <c r="C494" s="364">
        <v>46197</v>
      </c>
      <c r="D494" t="s">
        <v>1</v>
      </c>
      <c r="E494" t="s">
        <v>208</v>
      </c>
      <c r="F494" t="s">
        <v>228</v>
      </c>
      <c r="G494" s="3">
        <v>20</v>
      </c>
      <c r="H494" s="365">
        <v>27</v>
      </c>
      <c r="I494" s="365">
        <v>540</v>
      </c>
      <c r="J494" t="s">
        <v>209</v>
      </c>
      <c r="K494">
        <v>27</v>
      </c>
    </row>
    <row r="495" spans="1:11">
      <c r="A495" t="str">
        <f>IF(LEFT(E495,1)="1","SOL",IF(LEFT(E495,1)="2","CO",IF(LEFT(E495,1)="3","ALM",IF(LEFT(E495,1)="4","FAC","TRX")))) &amp; "-" &amp; B495 &amp; "-" &amp; TEXT(COUNTIFS($E$2:$E495,E495,$B$2:$B495,B495),"000")</f>
        <v>SOL-26-083</v>
      </c>
      <c r="B495">
        <v>26</v>
      </c>
      <c r="C495" s="364">
        <v>46197</v>
      </c>
      <c r="D495" t="s">
        <v>1</v>
      </c>
      <c r="E495" t="s">
        <v>208</v>
      </c>
      <c r="F495" t="s">
        <v>215</v>
      </c>
      <c r="G495" s="3">
        <v>50</v>
      </c>
      <c r="H495" s="365">
        <v>27</v>
      </c>
      <c r="I495" s="365">
        <v>1350</v>
      </c>
      <c r="J495" t="s">
        <v>209</v>
      </c>
      <c r="K495">
        <v>27</v>
      </c>
    </row>
    <row r="496" spans="1:11">
      <c r="A496" t="str">
        <f>IF(LEFT(E496,1)="1","SOL",IF(LEFT(E496,1)="2","CO",IF(LEFT(E496,1)="3","ALM",IF(LEFT(E496,1)="4","FAC","TRX")))) &amp; "-" &amp; B496 &amp; "-" &amp; TEXT(COUNTIFS($E$2:$E496,E496,$B$2:$B496,B496),"000")</f>
        <v>SOL-26-084</v>
      </c>
      <c r="B496">
        <v>26</v>
      </c>
      <c r="C496" s="364">
        <v>46197</v>
      </c>
      <c r="D496" t="s">
        <v>1</v>
      </c>
      <c r="E496" t="s">
        <v>208</v>
      </c>
      <c r="F496" t="s">
        <v>221</v>
      </c>
      <c r="G496" s="3">
        <v>50</v>
      </c>
      <c r="H496" s="365">
        <v>27</v>
      </c>
      <c r="I496" s="365">
        <v>1350</v>
      </c>
      <c r="J496" t="s">
        <v>209</v>
      </c>
      <c r="K496">
        <v>27</v>
      </c>
    </row>
    <row r="497" spans="1:11">
      <c r="A497" t="str">
        <f>IF(LEFT(E497,1)="1","SOL",IF(LEFT(E497,1)="2","CO",IF(LEFT(E497,1)="3","ALM",IF(LEFT(E497,1)="4","FAC","TRX")))) &amp; "-" &amp; B497 &amp; "-" &amp; TEXT(COUNTIFS($E$2:$E497,E497,$B$2:$B497,B497),"000")</f>
        <v>SOL-26-085</v>
      </c>
      <c r="B497">
        <v>26</v>
      </c>
      <c r="C497" s="364">
        <v>46197</v>
      </c>
      <c r="D497" t="s">
        <v>126</v>
      </c>
      <c r="E497" t="s">
        <v>208</v>
      </c>
      <c r="F497" t="s">
        <v>223</v>
      </c>
      <c r="G497" s="3">
        <v>50</v>
      </c>
      <c r="H497" s="365">
        <v>27</v>
      </c>
      <c r="I497" s="365">
        <v>1350</v>
      </c>
      <c r="J497" t="s">
        <v>209</v>
      </c>
      <c r="K497">
        <v>27</v>
      </c>
    </row>
    <row r="498" spans="1:11">
      <c r="A498" t="str">
        <f>IF(LEFT(E498,1)="1","SOL",IF(LEFT(E498,1)="2","CO",IF(LEFT(E498,1)="3","ALM",IF(LEFT(E498,1)="4","FAC","TRX")))) &amp; "-" &amp; B498 &amp; "-" &amp; TEXT(COUNTIFS($E$2:$E498,E498,$B$2:$B498,B498),"000")</f>
        <v>SOL-26-086</v>
      </c>
      <c r="B498">
        <v>26</v>
      </c>
      <c r="C498" s="364">
        <v>46197</v>
      </c>
      <c r="D498" t="s">
        <v>126</v>
      </c>
      <c r="E498" t="s">
        <v>208</v>
      </c>
      <c r="F498" t="s">
        <v>223</v>
      </c>
      <c r="G498" s="3">
        <v>40</v>
      </c>
      <c r="H498" s="365">
        <v>27</v>
      </c>
      <c r="I498" s="365">
        <v>1080</v>
      </c>
      <c r="J498" t="s">
        <v>209</v>
      </c>
      <c r="K498">
        <v>27</v>
      </c>
    </row>
    <row r="499" spans="1:11">
      <c r="A499" t="str">
        <f>IF(LEFT(E499,1)="1","SOL",IF(LEFT(E499,1)="2","CO",IF(LEFT(E499,1)="3","ALM",IF(LEFT(E499,1)="4","FAC","TRX")))) &amp; "-" &amp; B499 &amp; "-" &amp; TEXT(COUNTIFS($E$2:$E499,E499,$B$2:$B499,B499),"000")</f>
        <v>SOL-26-087</v>
      </c>
      <c r="B499">
        <v>26</v>
      </c>
      <c r="C499" s="364">
        <v>46197</v>
      </c>
      <c r="D499" t="s">
        <v>126</v>
      </c>
      <c r="E499" t="s">
        <v>208</v>
      </c>
      <c r="F499" t="s">
        <v>229</v>
      </c>
      <c r="G499" s="3">
        <v>10</v>
      </c>
      <c r="H499" s="365">
        <v>27</v>
      </c>
      <c r="I499" s="365">
        <v>270</v>
      </c>
      <c r="J499" t="s">
        <v>209</v>
      </c>
      <c r="K499">
        <v>27</v>
      </c>
    </row>
    <row r="500" spans="1:11">
      <c r="A500" t="str">
        <f>IF(LEFT(E500,1)="1","SOL",IF(LEFT(E500,1)="2","CO",IF(LEFT(E500,1)="3","ALM",IF(LEFT(E500,1)="4","FAC","TRX")))) &amp; "-" &amp; B500 &amp; "-" &amp; TEXT(COUNTIFS($E$2:$E500,E500,$B$2:$B500,B500),"000")</f>
        <v>SOL-26-088</v>
      </c>
      <c r="B500">
        <v>26</v>
      </c>
      <c r="C500" s="364">
        <v>46197</v>
      </c>
      <c r="D500" t="s">
        <v>126</v>
      </c>
      <c r="E500" t="s">
        <v>208</v>
      </c>
      <c r="F500" t="s">
        <v>230</v>
      </c>
      <c r="G500" s="3">
        <v>8</v>
      </c>
      <c r="H500" s="365">
        <v>27</v>
      </c>
      <c r="I500" s="365">
        <v>216</v>
      </c>
      <c r="J500" t="s">
        <v>209</v>
      </c>
      <c r="K500">
        <v>27</v>
      </c>
    </row>
    <row r="501" spans="1:11">
      <c r="A501" t="str">
        <f>IF(LEFT(E501,1)="1","SOL",IF(LEFT(E501,1)="2","CO",IF(LEFT(E501,1)="3","ALM",IF(LEFT(E501,1)="4","FAC","TRX")))) &amp; "-" &amp; B501 &amp; "-" &amp; TEXT(COUNTIFS($E$2:$E501,E501,$B$2:$B501,B501),"000")</f>
        <v>SOL-26-089</v>
      </c>
      <c r="B501">
        <v>26</v>
      </c>
      <c r="C501" s="364">
        <v>46197</v>
      </c>
      <c r="D501" t="s">
        <v>130</v>
      </c>
      <c r="E501" t="s">
        <v>208</v>
      </c>
      <c r="F501" t="s">
        <v>232</v>
      </c>
      <c r="G501" s="3">
        <v>600</v>
      </c>
      <c r="H501" s="365">
        <v>27</v>
      </c>
      <c r="I501" s="365">
        <v>16200</v>
      </c>
      <c r="J501" t="s">
        <v>209</v>
      </c>
      <c r="K501">
        <v>27</v>
      </c>
    </row>
    <row r="502" spans="1:11">
      <c r="A502" t="str">
        <f>IF(LEFT(E502,1)="1","SOL",IF(LEFT(E502,1)="2","CO",IF(LEFT(E502,1)="3","ALM",IF(LEFT(E502,1)="4","FAC","TRX")))) &amp; "-" &amp; B502 &amp; "-" &amp; TEXT(COUNTIFS($E$2:$E502,E502,$B$2:$B502,B502),"000")</f>
        <v>SOL-26-090</v>
      </c>
      <c r="B502">
        <v>26</v>
      </c>
      <c r="C502" s="364">
        <v>46197</v>
      </c>
      <c r="D502" t="s">
        <v>130</v>
      </c>
      <c r="E502" t="s">
        <v>208</v>
      </c>
      <c r="F502" t="s">
        <v>233</v>
      </c>
      <c r="G502" s="3">
        <v>400</v>
      </c>
      <c r="H502" s="365">
        <v>27</v>
      </c>
      <c r="I502" s="365">
        <v>10800</v>
      </c>
      <c r="J502" t="s">
        <v>209</v>
      </c>
      <c r="K502">
        <v>27</v>
      </c>
    </row>
    <row r="503" spans="1:11">
      <c r="A503" t="str">
        <f>IF(LEFT(E503,1)="1","SOL",IF(LEFT(E503,1)="2","CO",IF(LEFT(E503,1)="3","ALM",IF(LEFT(E503,1)="4","FAC","TRX")))) &amp; "-" &amp; B503 &amp; "-" &amp; TEXT(COUNTIFS($E$2:$E503,E503,$B$2:$B503,B503),"000")</f>
        <v>SOL-26-091</v>
      </c>
      <c r="B503">
        <v>26</v>
      </c>
      <c r="C503" s="364">
        <v>46197</v>
      </c>
      <c r="D503" t="s">
        <v>2</v>
      </c>
      <c r="E503" t="s">
        <v>208</v>
      </c>
      <c r="F503" t="s">
        <v>234</v>
      </c>
      <c r="G503" s="3">
        <v>30</v>
      </c>
      <c r="H503" s="365">
        <v>27</v>
      </c>
      <c r="I503" s="365">
        <v>810</v>
      </c>
      <c r="J503" t="s">
        <v>209</v>
      </c>
      <c r="K503">
        <v>27</v>
      </c>
    </row>
    <row r="504" spans="1:11">
      <c r="A504" t="str">
        <f>IF(LEFT(E504,1)="1","SOL",IF(LEFT(E504,1)="2","CO",IF(LEFT(E504,1)="3","ALM",IF(LEFT(E504,1)="4","FAC","TRX")))) &amp; "-" &amp; B504 &amp; "-" &amp; TEXT(COUNTIFS($E$2:$E504,E504,$B$2:$B504,B504),"000")</f>
        <v>CO-26-031</v>
      </c>
      <c r="B504">
        <v>26</v>
      </c>
      <c r="C504" s="364">
        <v>46197</v>
      </c>
      <c r="D504" t="s">
        <v>1</v>
      </c>
      <c r="E504" t="s">
        <v>246</v>
      </c>
      <c r="F504" t="s">
        <v>226</v>
      </c>
      <c r="G504" s="3">
        <v>35</v>
      </c>
      <c r="H504" s="365">
        <v>27</v>
      </c>
      <c r="I504" s="365">
        <v>945</v>
      </c>
      <c r="J504" t="s">
        <v>209</v>
      </c>
    </row>
    <row r="505" spans="1:11">
      <c r="A505" t="str">
        <f>IF(LEFT(E505,1)="1","SOL",IF(LEFT(E505,1)="2","CO",IF(LEFT(E505,1)="3","ALM",IF(LEFT(E505,1)="4","FAC","TRX")))) &amp; "-" &amp; B505 &amp; "-" &amp; TEXT(COUNTIFS($E$2:$E505,E505,$B$2:$B505,B505),"000")</f>
        <v>CO-26-032</v>
      </c>
      <c r="B505">
        <v>26</v>
      </c>
      <c r="C505" s="364">
        <v>46197</v>
      </c>
      <c r="D505" t="s">
        <v>1</v>
      </c>
      <c r="E505" t="s">
        <v>246</v>
      </c>
      <c r="F505" t="s">
        <v>257</v>
      </c>
      <c r="G505" s="3">
        <v>76</v>
      </c>
      <c r="H505" s="365">
        <v>27</v>
      </c>
      <c r="I505" s="365">
        <v>2052</v>
      </c>
      <c r="J505" t="s">
        <v>209</v>
      </c>
    </row>
    <row r="506" spans="1:11">
      <c r="A506" t="str">
        <f>IF(LEFT(E506,1)="1","SOL",IF(LEFT(E506,1)="2","CO",IF(LEFT(E506,1)="3","ALM",IF(LEFT(E506,1)="4","FAC","TRX")))) &amp; "-" &amp; B506 &amp; "-" &amp; TEXT(COUNTIFS($E$2:$E506,E506,$B$2:$B506,B506),"000")</f>
        <v>CO-26-033</v>
      </c>
      <c r="B506">
        <v>26</v>
      </c>
      <c r="C506" s="364">
        <v>46197</v>
      </c>
      <c r="D506" t="s">
        <v>1</v>
      </c>
      <c r="E506" t="s">
        <v>246</v>
      </c>
      <c r="F506" t="s">
        <v>226</v>
      </c>
      <c r="G506" s="3">
        <v>40</v>
      </c>
      <c r="H506" s="365">
        <v>27</v>
      </c>
      <c r="I506" s="365">
        <v>1080</v>
      </c>
      <c r="J506" t="s">
        <v>209</v>
      </c>
    </row>
    <row r="507" spans="1:11">
      <c r="A507" t="str">
        <f>IF(LEFT(E507,1)="1","SOL",IF(LEFT(E507,1)="2","CO",IF(LEFT(E507,1)="3","ALM",IF(LEFT(E507,1)="4","FAC","TRX")))) &amp; "-" &amp; B507 &amp; "-" &amp; TEXT(COUNTIFS($E$2:$E507,E507,$B$2:$B507,B507),"000")</f>
        <v>CO-26-034</v>
      </c>
      <c r="B507">
        <v>26</v>
      </c>
      <c r="C507" s="364">
        <v>46197</v>
      </c>
      <c r="D507" t="s">
        <v>1</v>
      </c>
      <c r="E507" t="s">
        <v>246</v>
      </c>
      <c r="F507" t="s">
        <v>249</v>
      </c>
      <c r="G507" s="3">
        <v>40</v>
      </c>
      <c r="H507" s="365">
        <v>27</v>
      </c>
      <c r="I507" s="365">
        <v>1080</v>
      </c>
      <c r="J507" t="s">
        <v>209</v>
      </c>
    </row>
    <row r="508" spans="1:11">
      <c r="A508" t="str">
        <f>IF(LEFT(E508,1)="1","SOL",IF(LEFT(E508,1)="2","CO",IF(LEFT(E508,1)="3","ALM",IF(LEFT(E508,1)="4","FAC","TRX")))) &amp; "-" &amp; B508 &amp; "-" &amp; TEXT(COUNTIFS($E$2:$E508,E508,$B$2:$B508,B508),"000")</f>
        <v>CO-26-035</v>
      </c>
      <c r="B508">
        <v>26</v>
      </c>
      <c r="C508" s="364">
        <v>46197</v>
      </c>
      <c r="D508" t="s">
        <v>1</v>
      </c>
      <c r="E508" t="s">
        <v>246</v>
      </c>
      <c r="F508" t="s">
        <v>255</v>
      </c>
      <c r="G508" s="3">
        <v>200</v>
      </c>
      <c r="H508" s="365">
        <v>27</v>
      </c>
      <c r="I508" s="365">
        <v>5400</v>
      </c>
      <c r="J508" t="s">
        <v>209</v>
      </c>
    </row>
    <row r="509" spans="1:11">
      <c r="A509" t="str">
        <f>IF(LEFT(E509,1)="1","SOL",IF(LEFT(E509,1)="2","CO",IF(LEFT(E509,1)="3","ALM",IF(LEFT(E509,1)="4","FAC","TRX")))) &amp; "-" &amp; B509 &amp; "-" &amp; TEXT(COUNTIFS($E$2:$E509,E509,$B$2:$B509,B509),"000")</f>
        <v>CO-26-036</v>
      </c>
      <c r="B509">
        <v>26</v>
      </c>
      <c r="C509" s="364">
        <v>46197</v>
      </c>
      <c r="D509" t="s">
        <v>126</v>
      </c>
      <c r="E509" t="s">
        <v>246</v>
      </c>
      <c r="F509" t="s">
        <v>243</v>
      </c>
      <c r="G509" s="3">
        <v>120</v>
      </c>
      <c r="H509" s="365">
        <v>27</v>
      </c>
      <c r="I509" s="365">
        <v>3240</v>
      </c>
      <c r="J509" t="s">
        <v>209</v>
      </c>
    </row>
    <row r="510" spans="1:11">
      <c r="A510" t="str">
        <f>IF(LEFT(E510,1)="1","SOL",IF(LEFT(E510,1)="2","CO",IF(LEFT(E510,1)="3","ALM",IF(LEFT(E510,1)="4","FAC","TRX")))) &amp; "-" &amp; B510 &amp; "-" &amp; TEXT(COUNTIFS($E$2:$E510,E510,$B$2:$B510,B510),"000")</f>
        <v>CO-26-037</v>
      </c>
      <c r="B510">
        <v>26</v>
      </c>
      <c r="C510" s="364">
        <v>46197</v>
      </c>
      <c r="D510" t="s">
        <v>1</v>
      </c>
      <c r="E510" t="s">
        <v>246</v>
      </c>
      <c r="F510" t="s">
        <v>227</v>
      </c>
      <c r="G510" s="3">
        <v>50</v>
      </c>
      <c r="H510" s="365">
        <v>27</v>
      </c>
      <c r="I510" s="365">
        <v>1350</v>
      </c>
      <c r="J510" t="s">
        <v>209</v>
      </c>
    </row>
    <row r="511" spans="1:11">
      <c r="A511" t="str">
        <f>IF(LEFT(E511,1)="1","SOL",IF(LEFT(E511,1)="2","CO",IF(LEFT(E511,1)="3","ALM",IF(LEFT(E511,1)="4","FAC","TRX")))) &amp; "-" &amp; B511 &amp; "-" &amp; TEXT(COUNTIFS($E$2:$E511,E511,$B$2:$B511,B511),"000")</f>
        <v>CO-26-038</v>
      </c>
      <c r="B511">
        <v>26</v>
      </c>
      <c r="C511" s="364">
        <v>46197</v>
      </c>
      <c r="D511" t="s">
        <v>1</v>
      </c>
      <c r="E511" t="s">
        <v>246</v>
      </c>
      <c r="F511" t="s">
        <v>218</v>
      </c>
      <c r="G511" s="3">
        <v>30</v>
      </c>
      <c r="H511" s="365">
        <v>27</v>
      </c>
      <c r="I511" s="365">
        <v>810</v>
      </c>
      <c r="J511" t="s">
        <v>209</v>
      </c>
    </row>
    <row r="512" spans="1:11">
      <c r="A512" t="str">
        <f>IF(LEFT(E512,1)="1","SOL",IF(LEFT(E512,1)="2","CO",IF(LEFT(E512,1)="3","ALM",IF(LEFT(E512,1)="4","FAC","TRX")))) &amp; "-" &amp; B512 &amp; "-" &amp; TEXT(COUNTIFS($E$2:$E512,E512,$B$2:$B512,B512),"000")</f>
        <v>CO-26-039</v>
      </c>
      <c r="B512">
        <v>26</v>
      </c>
      <c r="C512" s="364">
        <v>46197</v>
      </c>
      <c r="D512" t="s">
        <v>2</v>
      </c>
      <c r="E512" t="s">
        <v>246</v>
      </c>
      <c r="F512" t="s">
        <v>219</v>
      </c>
      <c r="G512" s="3">
        <v>129</v>
      </c>
      <c r="H512" s="365">
        <v>27</v>
      </c>
      <c r="I512" s="365">
        <v>3483</v>
      </c>
      <c r="J512" t="s">
        <v>209</v>
      </c>
    </row>
    <row r="513" spans="1:11">
      <c r="A513" t="str">
        <f>IF(LEFT(E513,1)="1","SOL",IF(LEFT(E513,1)="2","CO",IF(LEFT(E513,1)="3","ALM",IF(LEFT(E513,1)="4","FAC","TRX")))) &amp; "-" &amp; B513 &amp; "-" &amp; TEXT(COUNTIFS($E$2:$E513,E513,$B$2:$B513,B513),"000")</f>
        <v>CO-26-040</v>
      </c>
      <c r="B513">
        <v>26</v>
      </c>
      <c r="C513" s="364">
        <v>46197</v>
      </c>
      <c r="D513" t="s">
        <v>2</v>
      </c>
      <c r="E513" t="s">
        <v>246</v>
      </c>
      <c r="F513" t="s">
        <v>259</v>
      </c>
      <c r="G513" s="3">
        <v>88</v>
      </c>
      <c r="H513" s="365">
        <v>27</v>
      </c>
      <c r="I513" s="365">
        <v>2376</v>
      </c>
      <c r="J513" t="s">
        <v>209</v>
      </c>
    </row>
    <row r="514" spans="1:11">
      <c r="A514" t="str">
        <f>IF(LEFT(E514,1)="1","SOL",IF(LEFT(E514,1)="2","CO",IF(LEFT(E514,1)="3","ALM",IF(LEFT(E514,1)="4","FAC","TRX")))) &amp; "-" &amp; B514 &amp; "-" &amp; TEXT(COUNTIFS($E$2:$E514,E514,$B$2:$B514,B514),"000")</f>
        <v>CO-26-041</v>
      </c>
      <c r="B514">
        <v>26</v>
      </c>
      <c r="C514" s="364">
        <v>46197</v>
      </c>
      <c r="D514" t="s">
        <v>2</v>
      </c>
      <c r="E514" t="s">
        <v>246</v>
      </c>
      <c r="F514" t="s">
        <v>234</v>
      </c>
      <c r="G514" s="3">
        <v>90</v>
      </c>
      <c r="H514" s="365">
        <v>27</v>
      </c>
      <c r="I514" s="365">
        <v>2430</v>
      </c>
      <c r="J514" t="s">
        <v>209</v>
      </c>
    </row>
    <row r="515" spans="1:11">
      <c r="A515" t="str">
        <f>IF(LEFT(E515,1)="1","SOL",IF(LEFT(E515,1)="2","CO",IF(LEFT(E515,1)="3","ALM",IF(LEFT(E515,1)="4","FAC","TRX")))) &amp; "-" &amp; B515 &amp; "-" &amp; TEXT(COUNTIFS($E$2:$E515,E515,$B$2:$B515,B515),"000")</f>
        <v>CO-26-042</v>
      </c>
      <c r="B515">
        <v>26</v>
      </c>
      <c r="C515" s="364">
        <v>46197</v>
      </c>
      <c r="D515" t="s">
        <v>2</v>
      </c>
      <c r="E515" t="s">
        <v>246</v>
      </c>
      <c r="F515" t="s">
        <v>252</v>
      </c>
      <c r="G515" s="3">
        <v>62</v>
      </c>
      <c r="H515" s="365">
        <v>27</v>
      </c>
      <c r="I515" s="365">
        <v>1674</v>
      </c>
      <c r="J515" t="s">
        <v>209</v>
      </c>
    </row>
    <row r="516" spans="1:11">
      <c r="A516" t="str">
        <f>IF(LEFT(E516,1)="1","SOL",IF(LEFT(E516,1)="2","CO",IF(LEFT(E516,1)="3","ALM",IF(LEFT(E516,1)="4","FAC","TRX")))) &amp; "-" &amp; B516 &amp; "-" &amp; TEXT(COUNTIFS($E$2:$E516,E516,$B$2:$B516,B516),"000")</f>
        <v>CO-26-043</v>
      </c>
      <c r="B516">
        <v>26</v>
      </c>
      <c r="C516" s="364">
        <v>46197</v>
      </c>
      <c r="D516" t="s">
        <v>256</v>
      </c>
      <c r="E516" t="s">
        <v>246</v>
      </c>
      <c r="F516" t="s">
        <v>252</v>
      </c>
      <c r="G516" s="3">
        <v>62</v>
      </c>
      <c r="H516" s="365">
        <v>27</v>
      </c>
      <c r="I516" s="365">
        <v>1674</v>
      </c>
      <c r="J516" t="s">
        <v>209</v>
      </c>
    </row>
    <row r="517" spans="1:11">
      <c r="A517" t="str">
        <f>IF(LEFT(E517,1)="1","SOL",IF(LEFT(E517,1)="2","CO",IF(LEFT(E517,1)="3","ALM",IF(LEFT(E517,1)="4","FAC","TRX")))) &amp; "-" &amp; B517 &amp; "-" &amp; TEXT(COUNTIFS($E$2:$E517,E517,$B$2:$B517,B517),"000")</f>
        <v>CO-26-044</v>
      </c>
      <c r="B517">
        <v>26</v>
      </c>
      <c r="C517" s="364">
        <v>46197</v>
      </c>
      <c r="D517" t="s">
        <v>289</v>
      </c>
      <c r="E517" t="s">
        <v>246</v>
      </c>
      <c r="F517" t="s">
        <v>299</v>
      </c>
      <c r="G517" s="3">
        <v>200</v>
      </c>
      <c r="H517" s="365">
        <v>27</v>
      </c>
      <c r="I517" s="365">
        <v>5400</v>
      </c>
      <c r="J517" t="s">
        <v>209</v>
      </c>
    </row>
    <row r="518" spans="1:11">
      <c r="A518" t="str">
        <f>IF(LEFT(E518,1)="1","SOL",IF(LEFT(E518,1)="2","CO",IF(LEFT(E518,1)="3","ALM",IF(LEFT(E518,1)="4","FAC","TRX")))) &amp; "-" &amp; B518 &amp; "-" &amp; TEXT(COUNTIFS($E$2:$E518,E518,$B$2:$B518,B518),"000")</f>
        <v>CO-26-045</v>
      </c>
      <c r="B518">
        <v>26</v>
      </c>
      <c r="C518" s="364">
        <v>46197</v>
      </c>
      <c r="D518" t="s">
        <v>289</v>
      </c>
      <c r="E518" t="s">
        <v>246</v>
      </c>
      <c r="F518" t="s">
        <v>299</v>
      </c>
      <c r="G518" s="3">
        <v>50</v>
      </c>
      <c r="H518" s="365">
        <v>27</v>
      </c>
      <c r="I518" s="365">
        <v>1350</v>
      </c>
      <c r="J518" t="s">
        <v>209</v>
      </c>
    </row>
    <row r="519" spans="1:11">
      <c r="A519" t="str">
        <f>IF(LEFT(E519,1)="1","SOL",IF(LEFT(E519,1)="2","CO",IF(LEFT(E519,1)="3","ALM",IF(LEFT(E519,1)="4","FAC","TRX")))) &amp; "-" &amp; B519 &amp; "-" &amp; TEXT(COUNTIFS($E$2:$E519,E519,$B$2:$B519,B519),"000")</f>
        <v>CO-26-046</v>
      </c>
      <c r="B519">
        <v>26</v>
      </c>
      <c r="C519" s="364">
        <v>46197</v>
      </c>
      <c r="D519" t="s">
        <v>289</v>
      </c>
      <c r="E519" t="s">
        <v>246</v>
      </c>
      <c r="F519" t="s">
        <v>296</v>
      </c>
      <c r="G519" s="3">
        <v>200</v>
      </c>
      <c r="H519" s="365">
        <v>27</v>
      </c>
      <c r="I519" s="365">
        <v>5400</v>
      </c>
      <c r="J519" t="s">
        <v>209</v>
      </c>
    </row>
    <row r="520" spans="1:11">
      <c r="A520" t="str">
        <f>IF(LEFT(E520,1)="1","SOL",IF(LEFT(E520,1)="2","CO",IF(LEFT(E520,1)="3","ALM",IF(LEFT(E520,1)="4","FAC","TRX")))) &amp; "-" &amp; B520 &amp; "-" &amp; TEXT(COUNTIFS($E$2:$E520,E520,$B$2:$B520,B520),"000")</f>
        <v>CO-26-047</v>
      </c>
      <c r="B520">
        <v>26</v>
      </c>
      <c r="C520" s="364">
        <v>46197</v>
      </c>
      <c r="D520" t="s">
        <v>289</v>
      </c>
      <c r="E520" t="s">
        <v>246</v>
      </c>
      <c r="F520" t="s">
        <v>298</v>
      </c>
      <c r="G520" s="3">
        <v>100</v>
      </c>
      <c r="H520" s="365">
        <v>27</v>
      </c>
      <c r="I520" s="365">
        <v>2700</v>
      </c>
      <c r="J520" t="s">
        <v>209</v>
      </c>
    </row>
    <row r="521" spans="1:11">
      <c r="A521" t="str">
        <f>IF(LEFT(E521,1)="1","SOL",IF(LEFT(E521,1)="2","CO",IF(LEFT(E521,1)="3","ALM",IF(LEFT(E521,1)="4","FAC","TRX")))) &amp; "-" &amp; B521 &amp; "-" &amp; TEXT(COUNTIFS($E$2:$E521,E521,$B$2:$B521,B521),"000")</f>
        <v>FAC-26-006</v>
      </c>
      <c r="B521">
        <v>26</v>
      </c>
      <c r="C521" s="364">
        <v>46197</v>
      </c>
      <c r="D521" t="s">
        <v>1</v>
      </c>
      <c r="E521" t="s">
        <v>301</v>
      </c>
      <c r="F521" t="s">
        <v>311</v>
      </c>
      <c r="G521" s="3">
        <v>550</v>
      </c>
      <c r="H521" s="365">
        <v>27</v>
      </c>
      <c r="I521" s="365">
        <v>14850</v>
      </c>
      <c r="J521" t="s">
        <v>209</v>
      </c>
      <c r="K521" t="s">
        <v>303</v>
      </c>
    </row>
    <row r="522" spans="1:11">
      <c r="A522" t="str">
        <f>IF(LEFT(E522,1)="1","SOL",IF(LEFT(E522,1)="2","CO",IF(LEFT(E522,1)="3","ALM",IF(LEFT(E522,1)="4","FAC","TRX")))) &amp; "-" &amp; B522 &amp; "-" &amp; TEXT(COUNTIFS($E$2:$E522,E522,$B$2:$B522,B522),"000")</f>
        <v>SOL-26-092</v>
      </c>
      <c r="B522">
        <v>26</v>
      </c>
      <c r="C522" s="364">
        <v>46198</v>
      </c>
      <c r="D522" t="s">
        <v>2</v>
      </c>
      <c r="E522" t="s">
        <v>208</v>
      </c>
      <c r="F522" t="s">
        <v>213</v>
      </c>
      <c r="G522" s="3">
        <v>240</v>
      </c>
      <c r="H522" s="365">
        <v>27</v>
      </c>
      <c r="I522" s="365">
        <v>6480</v>
      </c>
      <c r="J522" t="s">
        <v>209</v>
      </c>
      <c r="K522">
        <v>27</v>
      </c>
    </row>
    <row r="523" spans="1:11">
      <c r="A523" t="str">
        <f>IF(LEFT(E523,1)="1","SOL",IF(LEFT(E523,1)="2","CO",IF(LEFT(E523,1)="3","ALM",IF(LEFT(E523,1)="4","FAC","TRX")))) &amp; "-" &amp; B523 &amp; "-" &amp; TEXT(COUNTIFS($E$2:$E523,E523,$B$2:$B523,B523),"000")</f>
        <v>SOL-26-093</v>
      </c>
      <c r="B523">
        <v>26</v>
      </c>
      <c r="C523" s="364">
        <v>46198</v>
      </c>
      <c r="D523" t="s">
        <v>2</v>
      </c>
      <c r="E523" t="s">
        <v>208</v>
      </c>
      <c r="F523" t="s">
        <v>214</v>
      </c>
      <c r="G523" s="3">
        <v>20</v>
      </c>
      <c r="H523" s="365">
        <v>27</v>
      </c>
      <c r="I523" s="365">
        <v>540</v>
      </c>
      <c r="J523" t="s">
        <v>209</v>
      </c>
      <c r="K523">
        <v>27</v>
      </c>
    </row>
    <row r="524" spans="1:11">
      <c r="A524" t="str">
        <f>IF(LEFT(E524,1)="1","SOL",IF(LEFT(E524,1)="2","CO",IF(LEFT(E524,1)="3","ALM",IF(LEFT(E524,1)="4","FAC","TRX")))) &amp; "-" &amp; B524 &amp; "-" &amp; TEXT(COUNTIFS($E$2:$E524,E524,$B$2:$B524,B524),"000")</f>
        <v>SOL-26-094</v>
      </c>
      <c r="B524">
        <v>26</v>
      </c>
      <c r="C524" s="364">
        <v>46198</v>
      </c>
      <c r="D524" t="s">
        <v>2</v>
      </c>
      <c r="E524" t="s">
        <v>208</v>
      </c>
      <c r="F524" t="s">
        <v>215</v>
      </c>
      <c r="G524" s="3">
        <v>30</v>
      </c>
      <c r="H524" s="365">
        <v>27</v>
      </c>
      <c r="I524" s="365">
        <v>810</v>
      </c>
      <c r="J524" t="s">
        <v>209</v>
      </c>
      <c r="K524">
        <v>27</v>
      </c>
    </row>
    <row r="525" spans="1:11">
      <c r="A525" t="str">
        <f>IF(LEFT(E525,1)="1","SOL",IF(LEFT(E525,1)="2","CO",IF(LEFT(E525,1)="3","ALM",IF(LEFT(E525,1)="4","FAC","TRX")))) &amp; "-" &amp; B525 &amp; "-" &amp; TEXT(COUNTIFS($E$2:$E525,E525,$B$2:$B525,B525),"000")</f>
        <v>SOL-26-095</v>
      </c>
      <c r="B525">
        <v>26</v>
      </c>
      <c r="C525" s="364">
        <v>46198</v>
      </c>
      <c r="D525" t="s">
        <v>2</v>
      </c>
      <c r="E525" t="s">
        <v>208</v>
      </c>
      <c r="F525" t="s">
        <v>216</v>
      </c>
      <c r="G525" s="3">
        <v>80</v>
      </c>
      <c r="H525" s="365">
        <v>27</v>
      </c>
      <c r="I525" s="365">
        <v>2160</v>
      </c>
      <c r="J525" t="s">
        <v>209</v>
      </c>
      <c r="K525">
        <v>27</v>
      </c>
    </row>
    <row r="526" spans="1:11">
      <c r="A526" t="str">
        <f>IF(LEFT(E526,1)="1","SOL",IF(LEFT(E526,1)="2","CO",IF(LEFT(E526,1)="3","ALM",IF(LEFT(E526,1)="4","FAC","TRX")))) &amp; "-" &amp; B526 &amp; "-" &amp; TEXT(COUNTIFS($E$2:$E526,E526,$B$2:$B526,B526),"000")</f>
        <v>SOL-26-096</v>
      </c>
      <c r="B526">
        <v>26</v>
      </c>
      <c r="C526" s="364">
        <v>46198</v>
      </c>
      <c r="D526" t="s">
        <v>2</v>
      </c>
      <c r="E526" t="s">
        <v>208</v>
      </c>
      <c r="F526" t="s">
        <v>217</v>
      </c>
      <c r="G526" s="3">
        <v>40</v>
      </c>
      <c r="H526" s="365">
        <v>27</v>
      </c>
      <c r="I526" s="365">
        <v>1080</v>
      </c>
      <c r="J526" t="s">
        <v>209</v>
      </c>
      <c r="K526">
        <v>27</v>
      </c>
    </row>
    <row r="527" spans="1:11">
      <c r="A527" t="str">
        <f>IF(LEFT(E527,1)="1","SOL",IF(LEFT(E527,1)="2","CO",IF(LEFT(E527,1)="3","ALM",IF(LEFT(E527,1)="4","FAC","TRX")))) &amp; "-" &amp; B527 &amp; "-" &amp; TEXT(COUNTIFS($E$2:$E527,E527,$B$2:$B527,B527),"000")</f>
        <v>SOL-26-097</v>
      </c>
      <c r="B527">
        <v>26</v>
      </c>
      <c r="C527" s="364">
        <v>46198</v>
      </c>
      <c r="D527" t="s">
        <v>2</v>
      </c>
      <c r="E527" t="s">
        <v>208</v>
      </c>
      <c r="F527" t="s">
        <v>218</v>
      </c>
      <c r="G527" s="3">
        <v>24</v>
      </c>
      <c r="H527" s="365">
        <v>27</v>
      </c>
      <c r="I527" s="365">
        <v>648</v>
      </c>
      <c r="J527" t="s">
        <v>209</v>
      </c>
      <c r="K527">
        <v>27</v>
      </c>
    </row>
    <row r="528" spans="1:11">
      <c r="A528" t="str">
        <f>IF(LEFT(E528,1)="1","SOL",IF(LEFT(E528,1)="2","CO",IF(LEFT(E528,1)="3","ALM",IF(LEFT(E528,1)="4","FAC","TRX")))) &amp; "-" &amp; B528 &amp; "-" &amp; TEXT(COUNTIFS($E$2:$E528,E528,$B$2:$B528,B528),"000")</f>
        <v>SOL-26-098</v>
      </c>
      <c r="B528">
        <v>26</v>
      </c>
      <c r="C528" s="364">
        <v>46198</v>
      </c>
      <c r="D528" t="s">
        <v>2</v>
      </c>
      <c r="E528" t="s">
        <v>208</v>
      </c>
      <c r="F528" t="s">
        <v>219</v>
      </c>
      <c r="G528" s="3">
        <v>60</v>
      </c>
      <c r="H528" s="365">
        <v>27</v>
      </c>
      <c r="I528" s="365">
        <v>1620</v>
      </c>
      <c r="J528" t="s">
        <v>209</v>
      </c>
      <c r="K528">
        <v>27</v>
      </c>
    </row>
    <row r="529" spans="1:11">
      <c r="A529" t="str">
        <f>IF(LEFT(E529,1)="1","SOL",IF(LEFT(E529,1)="2","CO",IF(LEFT(E529,1)="3","ALM",IF(LEFT(E529,1)="4","FAC","TRX")))) &amp; "-" &amp; B529 &amp; "-" &amp; TEXT(COUNTIFS($E$2:$E529,E529,$B$2:$B529,B529),"000")</f>
        <v>SOL-26-099</v>
      </c>
      <c r="B529">
        <v>26</v>
      </c>
      <c r="C529" s="364">
        <v>46198</v>
      </c>
      <c r="D529" t="s">
        <v>2</v>
      </c>
      <c r="E529" t="s">
        <v>208</v>
      </c>
      <c r="F529" t="s">
        <v>220</v>
      </c>
      <c r="G529" s="3">
        <v>24</v>
      </c>
      <c r="H529" s="365">
        <v>27</v>
      </c>
      <c r="I529" s="365">
        <v>648</v>
      </c>
      <c r="J529" t="s">
        <v>209</v>
      </c>
      <c r="K529">
        <v>27</v>
      </c>
    </row>
    <row r="530" spans="1:11">
      <c r="A530" t="str">
        <f>IF(LEFT(E530,1)="1","SOL",IF(LEFT(E530,1)="2","CO",IF(LEFT(E530,1)="3","ALM",IF(LEFT(E530,1)="4","FAC","TRX")))) &amp; "-" &amp; B530 &amp; "-" &amp; TEXT(COUNTIFS($E$2:$E530,E530,$B$2:$B530,B530),"000")</f>
        <v>SOL-26-100</v>
      </c>
      <c r="B530">
        <v>26</v>
      </c>
      <c r="C530" s="364">
        <v>46198</v>
      </c>
      <c r="D530" t="s">
        <v>2</v>
      </c>
      <c r="E530" t="s">
        <v>208</v>
      </c>
      <c r="F530" t="s">
        <v>221</v>
      </c>
      <c r="G530" s="3">
        <v>60</v>
      </c>
      <c r="H530" s="365">
        <v>27</v>
      </c>
      <c r="I530" s="365">
        <v>1620</v>
      </c>
      <c r="J530" t="s">
        <v>209</v>
      </c>
      <c r="K530">
        <v>27</v>
      </c>
    </row>
    <row r="531" spans="1:11">
      <c r="A531" t="str">
        <f>IF(LEFT(E531,1)="1","SOL",IF(LEFT(E531,1)="2","CO",IF(LEFT(E531,1)="3","ALM",IF(LEFT(E531,1)="4","FAC","TRX")))) &amp; "-" &amp; B531 &amp; "-" &amp; TEXT(COUNTIFS($E$2:$E531,E531,$B$2:$B531,B531),"000")</f>
        <v>SOL-26-101</v>
      </c>
      <c r="B531">
        <v>26</v>
      </c>
      <c r="C531" s="364">
        <v>46198</v>
      </c>
      <c r="D531" t="s">
        <v>140</v>
      </c>
      <c r="E531" t="s">
        <v>208</v>
      </c>
      <c r="F531" t="s">
        <v>222</v>
      </c>
      <c r="G531" s="3">
        <v>300</v>
      </c>
      <c r="H531" s="365">
        <v>27</v>
      </c>
      <c r="I531" s="365">
        <v>8100</v>
      </c>
      <c r="J531" t="s">
        <v>209</v>
      </c>
      <c r="K531">
        <v>27</v>
      </c>
    </row>
    <row r="532" spans="1:11">
      <c r="A532" t="str">
        <f>IF(LEFT(E532,1)="1","SOL",IF(LEFT(E532,1)="2","CO",IF(LEFT(E532,1)="3","ALM",IF(LEFT(E532,1)="4","FAC","TRX")))) &amp; "-" &amp; B532 &amp; "-" &amp; TEXT(COUNTIFS($E$2:$E532,E532,$B$2:$B532,B532),"000")</f>
        <v>SOL-26-102</v>
      </c>
      <c r="B532">
        <v>26</v>
      </c>
      <c r="C532" s="364">
        <v>46198</v>
      </c>
      <c r="D532" t="s">
        <v>140</v>
      </c>
      <c r="E532" t="s">
        <v>208</v>
      </c>
      <c r="F532" t="s">
        <v>223</v>
      </c>
      <c r="G532" s="3">
        <v>100</v>
      </c>
      <c r="H532" s="365">
        <v>27</v>
      </c>
      <c r="I532" s="365">
        <v>2700</v>
      </c>
      <c r="J532" t="s">
        <v>209</v>
      </c>
      <c r="K532">
        <v>27</v>
      </c>
    </row>
    <row r="533" spans="1:11">
      <c r="A533" t="str">
        <f>IF(LEFT(E533,1)="1","SOL",IF(LEFT(E533,1)="2","CO",IF(LEFT(E533,1)="3","ALM",IF(LEFT(E533,1)="4","FAC","TRX")))) &amp; "-" &amp; B533 &amp; "-" &amp; TEXT(COUNTIFS($E$2:$E533,E533,$B$2:$B533,B533),"000")</f>
        <v>SOL-26-103</v>
      </c>
      <c r="B533">
        <v>26</v>
      </c>
      <c r="C533" s="364">
        <v>46198</v>
      </c>
      <c r="D533" t="s">
        <v>140</v>
      </c>
      <c r="E533" t="s">
        <v>208</v>
      </c>
      <c r="F533" t="s">
        <v>224</v>
      </c>
      <c r="G533" s="3">
        <v>100</v>
      </c>
      <c r="H533" s="365">
        <v>27</v>
      </c>
      <c r="I533" s="365">
        <v>2700</v>
      </c>
      <c r="J533" t="s">
        <v>209</v>
      </c>
      <c r="K533">
        <v>27</v>
      </c>
    </row>
    <row r="534" spans="1:11">
      <c r="A534" t="str">
        <f>IF(LEFT(E534,1)="1","SOL",IF(LEFT(E534,1)="2","CO",IF(LEFT(E534,1)="3","ALM",IF(LEFT(E534,1)="4","FAC","TRX")))) &amp; "-" &amp; B534 &amp; "-" &amp; TEXT(COUNTIFS($E$2:$E534,E534,$B$2:$B534,B534),"000")</f>
        <v>SOL-26-104</v>
      </c>
      <c r="B534">
        <v>26</v>
      </c>
      <c r="C534" s="364">
        <v>46198</v>
      </c>
      <c r="D534" t="s">
        <v>1</v>
      </c>
      <c r="E534" t="s">
        <v>208</v>
      </c>
      <c r="F534" t="s">
        <v>213</v>
      </c>
      <c r="G534" s="3">
        <v>250</v>
      </c>
      <c r="H534" s="365">
        <v>27</v>
      </c>
      <c r="I534" s="365">
        <v>6750</v>
      </c>
      <c r="J534" t="s">
        <v>209</v>
      </c>
      <c r="K534">
        <v>27</v>
      </c>
    </row>
    <row r="535" spans="1:11">
      <c r="A535" t="str">
        <f>IF(LEFT(E535,1)="1","SOL",IF(LEFT(E535,1)="2","CO",IF(LEFT(E535,1)="3","ALM",IF(LEFT(E535,1)="4","FAC","TRX")))) &amp; "-" &amp; B535 &amp; "-" &amp; TEXT(COUNTIFS($E$2:$E535,E535,$B$2:$B535,B535),"000")</f>
        <v>SOL-26-105</v>
      </c>
      <c r="B535">
        <v>26</v>
      </c>
      <c r="C535" s="364">
        <v>46198</v>
      </c>
      <c r="D535" t="s">
        <v>1</v>
      </c>
      <c r="E535" t="s">
        <v>208</v>
      </c>
      <c r="F535" t="s">
        <v>216</v>
      </c>
      <c r="G535" s="3">
        <v>120</v>
      </c>
      <c r="H535" s="365">
        <v>27</v>
      </c>
      <c r="I535" s="365">
        <v>3240</v>
      </c>
      <c r="J535" t="s">
        <v>209</v>
      </c>
      <c r="K535">
        <v>27</v>
      </c>
    </row>
    <row r="536" spans="1:11">
      <c r="A536" t="str">
        <f>IF(LEFT(E536,1)="1","SOL",IF(LEFT(E536,1)="2","CO",IF(LEFT(E536,1)="3","ALM",IF(LEFT(E536,1)="4","FAC","TRX")))) &amp; "-" &amp; B536 &amp; "-" &amp; TEXT(COUNTIFS($E$2:$E536,E536,$B$2:$B536,B536),"000")</f>
        <v>SOL-26-106</v>
      </c>
      <c r="B536">
        <v>26</v>
      </c>
      <c r="C536" s="364">
        <v>46198</v>
      </c>
      <c r="D536" t="s">
        <v>1</v>
      </c>
      <c r="E536" t="s">
        <v>208</v>
      </c>
      <c r="F536" t="s">
        <v>226</v>
      </c>
      <c r="G536" s="3">
        <v>40</v>
      </c>
      <c r="H536" s="365">
        <v>27</v>
      </c>
      <c r="I536" s="365">
        <v>1080</v>
      </c>
      <c r="J536" t="s">
        <v>209</v>
      </c>
      <c r="K536">
        <v>27</v>
      </c>
    </row>
    <row r="537" spans="1:11">
      <c r="A537" t="str">
        <f>IF(LEFT(E537,1)="1","SOL",IF(LEFT(E537,1)="2","CO",IF(LEFT(E537,1)="3","ALM",IF(LEFT(E537,1)="4","FAC","TRX")))) &amp; "-" &amp; B537 &amp; "-" &amp; TEXT(COUNTIFS($E$2:$E537,E537,$B$2:$B537,B537),"000")</f>
        <v>SOL-26-107</v>
      </c>
      <c r="B537">
        <v>26</v>
      </c>
      <c r="C537" s="364">
        <v>46198</v>
      </c>
      <c r="D537" t="s">
        <v>1</v>
      </c>
      <c r="E537" t="s">
        <v>208</v>
      </c>
      <c r="F537" t="s">
        <v>226</v>
      </c>
      <c r="G537" s="3">
        <v>40</v>
      </c>
      <c r="H537" s="365">
        <v>27</v>
      </c>
      <c r="I537" s="365">
        <v>1080</v>
      </c>
      <c r="J537" t="s">
        <v>209</v>
      </c>
      <c r="K537">
        <v>27</v>
      </c>
    </row>
    <row r="538" spans="1:11">
      <c r="A538" t="str">
        <f>IF(LEFT(E538,1)="1","SOL",IF(LEFT(E538,1)="2","CO",IF(LEFT(E538,1)="3","ALM",IF(LEFT(E538,1)="4","FAC","TRX")))) &amp; "-" &amp; B538 &amp; "-" &amp; TEXT(COUNTIFS($E$2:$E538,E538,$B$2:$B538,B538),"000")</f>
        <v>SOL-26-108</v>
      </c>
      <c r="B538">
        <v>26</v>
      </c>
      <c r="C538" s="364">
        <v>46198</v>
      </c>
      <c r="D538" t="s">
        <v>1</v>
      </c>
      <c r="E538" t="s">
        <v>208</v>
      </c>
      <c r="F538" t="s">
        <v>227</v>
      </c>
      <c r="G538" s="3">
        <v>50</v>
      </c>
      <c r="H538" s="365">
        <v>27</v>
      </c>
      <c r="I538" s="365">
        <v>1350</v>
      </c>
      <c r="J538" t="s">
        <v>209</v>
      </c>
      <c r="K538">
        <v>27</v>
      </c>
    </row>
    <row r="539" spans="1:11">
      <c r="A539" t="str">
        <f>IF(LEFT(E539,1)="1","SOL",IF(LEFT(E539,1)="2","CO",IF(LEFT(E539,1)="3","ALM",IF(LEFT(E539,1)="4","FAC","TRX")))) &amp; "-" &amp; B539 &amp; "-" &amp; TEXT(COUNTIFS($E$2:$E539,E539,$B$2:$B539,B539),"000")</f>
        <v>SOL-26-109</v>
      </c>
      <c r="B539">
        <v>26</v>
      </c>
      <c r="C539" s="364">
        <v>46198</v>
      </c>
      <c r="D539" t="s">
        <v>1</v>
      </c>
      <c r="E539" t="s">
        <v>208</v>
      </c>
      <c r="F539" t="s">
        <v>228</v>
      </c>
      <c r="G539" s="3">
        <v>20</v>
      </c>
      <c r="H539" s="365">
        <v>27</v>
      </c>
      <c r="I539" s="365">
        <v>540</v>
      </c>
      <c r="J539" t="s">
        <v>209</v>
      </c>
      <c r="K539">
        <v>27</v>
      </c>
    </row>
    <row r="540" spans="1:11">
      <c r="A540" t="str">
        <f>IF(LEFT(E540,1)="1","SOL",IF(LEFT(E540,1)="2","CO",IF(LEFT(E540,1)="3","ALM",IF(LEFT(E540,1)="4","FAC","TRX")))) &amp; "-" &amp; B540 &amp; "-" &amp; TEXT(COUNTIFS($E$2:$E540,E540,$B$2:$B540,B540),"000")</f>
        <v>SOL-26-110</v>
      </c>
      <c r="B540">
        <v>26</v>
      </c>
      <c r="C540" s="364">
        <v>46198</v>
      </c>
      <c r="D540" t="s">
        <v>1</v>
      </c>
      <c r="E540" t="s">
        <v>208</v>
      </c>
      <c r="F540" t="s">
        <v>215</v>
      </c>
      <c r="G540" s="3">
        <v>50</v>
      </c>
      <c r="H540" s="365">
        <v>27</v>
      </c>
      <c r="I540" s="365">
        <v>1350</v>
      </c>
      <c r="J540" t="s">
        <v>209</v>
      </c>
      <c r="K540">
        <v>27</v>
      </c>
    </row>
    <row r="541" spans="1:11">
      <c r="A541" t="str">
        <f>IF(LEFT(E541,1)="1","SOL",IF(LEFT(E541,1)="2","CO",IF(LEFT(E541,1)="3","ALM",IF(LEFT(E541,1)="4","FAC","TRX")))) &amp; "-" &amp; B541 &amp; "-" &amp; TEXT(COUNTIFS($E$2:$E541,E541,$B$2:$B541,B541),"000")</f>
        <v>SOL-26-111</v>
      </c>
      <c r="B541">
        <v>26</v>
      </c>
      <c r="C541" s="364">
        <v>46198</v>
      </c>
      <c r="D541" t="s">
        <v>1</v>
      </c>
      <c r="E541" t="s">
        <v>208</v>
      </c>
      <c r="F541" t="s">
        <v>221</v>
      </c>
      <c r="G541" s="3">
        <v>50</v>
      </c>
      <c r="H541" s="365">
        <v>27</v>
      </c>
      <c r="I541" s="365">
        <v>1350</v>
      </c>
      <c r="J541" t="s">
        <v>209</v>
      </c>
      <c r="K541">
        <v>27</v>
      </c>
    </row>
    <row r="542" spans="1:11">
      <c r="A542" t="str">
        <f>IF(LEFT(E542,1)="1","SOL",IF(LEFT(E542,1)="2","CO",IF(LEFT(E542,1)="3","ALM",IF(LEFT(E542,1)="4","FAC","TRX")))) &amp; "-" &amp; B542 &amp; "-" &amp; TEXT(COUNTIFS($E$2:$E542,E542,$B$2:$B542,B542),"000")</f>
        <v>SOL-26-112</v>
      </c>
      <c r="B542">
        <v>26</v>
      </c>
      <c r="C542" s="364">
        <v>46198</v>
      </c>
      <c r="D542" t="s">
        <v>126</v>
      </c>
      <c r="E542" t="s">
        <v>208</v>
      </c>
      <c r="F542" t="s">
        <v>223</v>
      </c>
      <c r="G542" s="3">
        <v>60</v>
      </c>
      <c r="H542" s="365">
        <v>27</v>
      </c>
      <c r="I542" s="365">
        <v>1620</v>
      </c>
      <c r="J542" t="s">
        <v>209</v>
      </c>
      <c r="K542">
        <v>27</v>
      </c>
    </row>
    <row r="543" spans="1:11">
      <c r="A543" t="str">
        <f>IF(LEFT(E543,1)="1","SOL",IF(LEFT(E543,1)="2","CO",IF(LEFT(E543,1)="3","ALM",IF(LEFT(E543,1)="4","FAC","TRX")))) &amp; "-" &amp; B543 &amp; "-" &amp; TEXT(COUNTIFS($E$2:$E543,E543,$B$2:$B543,B543),"000")</f>
        <v>SOL-26-113</v>
      </c>
      <c r="B543">
        <v>26</v>
      </c>
      <c r="C543" s="364">
        <v>46198</v>
      </c>
      <c r="D543" t="s">
        <v>126</v>
      </c>
      <c r="E543" t="s">
        <v>208</v>
      </c>
      <c r="F543" t="s">
        <v>223</v>
      </c>
      <c r="G543" s="3">
        <v>60</v>
      </c>
      <c r="H543" s="365">
        <v>27</v>
      </c>
      <c r="I543" s="365">
        <v>1620</v>
      </c>
      <c r="J543" t="s">
        <v>209</v>
      </c>
      <c r="K543">
        <v>27</v>
      </c>
    </row>
    <row r="544" spans="1:11">
      <c r="A544" t="str">
        <f>IF(LEFT(E544,1)="1","SOL",IF(LEFT(E544,1)="2","CO",IF(LEFT(E544,1)="3","ALM",IF(LEFT(E544,1)="4","FAC","TRX")))) &amp; "-" &amp; B544 &amp; "-" &amp; TEXT(COUNTIFS($E$2:$E544,E544,$B$2:$B544,B544),"000")</f>
        <v>SOL-26-114</v>
      </c>
      <c r="B544">
        <v>26</v>
      </c>
      <c r="C544" s="364">
        <v>46198</v>
      </c>
      <c r="D544" t="s">
        <v>126</v>
      </c>
      <c r="E544" t="s">
        <v>208</v>
      </c>
      <c r="F544" t="s">
        <v>230</v>
      </c>
      <c r="G544" s="3">
        <v>5</v>
      </c>
      <c r="H544" s="365">
        <v>27</v>
      </c>
      <c r="I544" s="365">
        <v>135</v>
      </c>
      <c r="J544" t="s">
        <v>209</v>
      </c>
      <c r="K544">
        <v>27</v>
      </c>
    </row>
    <row r="545" spans="1:11">
      <c r="A545" t="str">
        <f>IF(LEFT(E545,1)="1","SOL",IF(LEFT(E545,1)="2","CO",IF(LEFT(E545,1)="3","ALM",IF(LEFT(E545,1)="4","FAC","TRX")))) &amp; "-" &amp; B545 &amp; "-" &amp; TEXT(COUNTIFS($E$2:$E545,E545,$B$2:$B545,B545),"000")</f>
        <v>SOL-26-115</v>
      </c>
      <c r="B545">
        <v>26</v>
      </c>
      <c r="C545" s="364">
        <v>46198</v>
      </c>
      <c r="D545" t="s">
        <v>130</v>
      </c>
      <c r="E545" t="s">
        <v>208</v>
      </c>
      <c r="F545" t="s">
        <v>231</v>
      </c>
      <c r="G545" s="3">
        <v>300</v>
      </c>
      <c r="H545" s="365">
        <v>27</v>
      </c>
      <c r="I545" s="365">
        <v>8100</v>
      </c>
      <c r="J545" t="s">
        <v>209</v>
      </c>
      <c r="K545">
        <v>27</v>
      </c>
    </row>
    <row r="546" spans="1:11">
      <c r="A546" t="str">
        <f>IF(LEFT(E546,1)="1","SOL",IF(LEFT(E546,1)="2","CO",IF(LEFT(E546,1)="3","ALM",IF(LEFT(E546,1)="4","FAC","TRX")))) &amp; "-" &amp; B546 &amp; "-" &amp; TEXT(COUNTIFS($E$2:$E546,E546,$B$2:$B546,B546),"000")</f>
        <v>SOL-26-116</v>
      </c>
      <c r="B546">
        <v>26</v>
      </c>
      <c r="C546" s="364">
        <v>46198</v>
      </c>
      <c r="D546" t="s">
        <v>2</v>
      </c>
      <c r="E546" t="s">
        <v>208</v>
      </c>
      <c r="F546" t="s">
        <v>234</v>
      </c>
      <c r="G546" s="3">
        <v>30</v>
      </c>
      <c r="H546" s="365">
        <v>27</v>
      </c>
      <c r="I546" s="365">
        <v>810</v>
      </c>
      <c r="J546" t="s">
        <v>209</v>
      </c>
      <c r="K546">
        <v>27</v>
      </c>
    </row>
    <row r="547" spans="1:11">
      <c r="A547" t="str">
        <f>IF(LEFT(E547,1)="1","SOL",IF(LEFT(E547,1)="2","CO",IF(LEFT(E547,1)="3","ALM",IF(LEFT(E547,1)="4","FAC","TRX")))) &amp; "-" &amp; B547 &amp; "-" &amp; TEXT(COUNTIFS($E$2:$E547,E547,$B$2:$B547,B547),"000")</f>
        <v>CO-26-048</v>
      </c>
      <c r="B547">
        <v>26</v>
      </c>
      <c r="C547" s="364">
        <v>46198</v>
      </c>
      <c r="D547" t="s">
        <v>1</v>
      </c>
      <c r="E547" t="s">
        <v>246</v>
      </c>
      <c r="F547" t="s">
        <v>242</v>
      </c>
      <c r="G547" s="3">
        <v>26</v>
      </c>
      <c r="H547" s="365">
        <v>27</v>
      </c>
      <c r="I547" s="365">
        <v>702</v>
      </c>
      <c r="J547" t="s">
        <v>209</v>
      </c>
    </row>
    <row r="548" spans="1:11">
      <c r="A548" t="str">
        <f>IF(LEFT(E548,1)="1","SOL",IF(LEFT(E548,1)="2","CO",IF(LEFT(E548,1)="3","ALM",IF(LEFT(E548,1)="4","FAC","TRX")))) &amp; "-" &amp; B548 &amp; "-" &amp; TEXT(COUNTIFS($E$2:$E548,E548,$B$2:$B548,B548),"000")</f>
        <v>CO-26-049</v>
      </c>
      <c r="B548">
        <v>26</v>
      </c>
      <c r="C548" s="364">
        <v>46198</v>
      </c>
      <c r="D548" t="s">
        <v>1</v>
      </c>
      <c r="E548" t="s">
        <v>246</v>
      </c>
      <c r="F548" t="s">
        <v>252</v>
      </c>
      <c r="G548" s="3">
        <v>50</v>
      </c>
      <c r="H548" s="365">
        <v>27</v>
      </c>
      <c r="I548" s="365">
        <v>1350</v>
      </c>
      <c r="J548" t="s">
        <v>209</v>
      </c>
    </row>
    <row r="549" spans="1:11">
      <c r="A549" t="str">
        <f>IF(LEFT(E549,1)="1","SOL",IF(LEFT(E549,1)="2","CO",IF(LEFT(E549,1)="3","ALM",IF(LEFT(E549,1)="4","FAC","TRX")))) &amp; "-" &amp; B549 &amp; "-" &amp; TEXT(COUNTIFS($E$2:$E549,E549,$B$2:$B549,B549),"000")</f>
        <v>CO-26-050</v>
      </c>
      <c r="B549">
        <v>26</v>
      </c>
      <c r="C549" s="364">
        <v>46198</v>
      </c>
      <c r="D549" t="s">
        <v>1</v>
      </c>
      <c r="E549" t="s">
        <v>246</v>
      </c>
      <c r="F549" t="s">
        <v>226</v>
      </c>
      <c r="G549" s="3">
        <v>30</v>
      </c>
      <c r="H549" s="365">
        <v>27</v>
      </c>
      <c r="I549" s="365">
        <v>810</v>
      </c>
      <c r="J549" t="s">
        <v>209</v>
      </c>
    </row>
    <row r="550" spans="1:11">
      <c r="A550" t="str">
        <f>IF(LEFT(E550,1)="1","SOL",IF(LEFT(E550,1)="2","CO",IF(LEFT(E550,1)="3","ALM",IF(LEFT(E550,1)="4","FAC","TRX")))) &amp; "-" &amp; B550 &amp; "-" &amp; TEXT(COUNTIFS($E$2:$E550,E550,$B$2:$B550,B550),"000")</f>
        <v>CO-26-051</v>
      </c>
      <c r="B550">
        <v>26</v>
      </c>
      <c r="C550" s="364">
        <v>46198</v>
      </c>
      <c r="D550" t="s">
        <v>1</v>
      </c>
      <c r="E550" t="s">
        <v>246</v>
      </c>
      <c r="F550" t="s">
        <v>218</v>
      </c>
      <c r="G550" s="3">
        <v>14</v>
      </c>
      <c r="H550" s="365">
        <v>27</v>
      </c>
      <c r="I550" s="365">
        <v>378</v>
      </c>
      <c r="J550" t="s">
        <v>209</v>
      </c>
    </row>
    <row r="551" spans="1:11">
      <c r="A551" t="str">
        <f>IF(LEFT(E551,1)="1","SOL",IF(LEFT(E551,1)="2","CO",IF(LEFT(E551,1)="3","ALM",IF(LEFT(E551,1)="4","FAC","TRX")))) &amp; "-" &amp; B551 &amp; "-" &amp; TEXT(COUNTIFS($E$2:$E551,E551,$B$2:$B551,B551),"000")</f>
        <v>CO-26-052</v>
      </c>
      <c r="B551">
        <v>26</v>
      </c>
      <c r="C551" s="364">
        <v>46198</v>
      </c>
      <c r="D551" t="s">
        <v>1</v>
      </c>
      <c r="E551" t="s">
        <v>246</v>
      </c>
      <c r="F551" t="s">
        <v>227</v>
      </c>
      <c r="G551" s="3">
        <v>30</v>
      </c>
      <c r="H551" s="365">
        <v>27</v>
      </c>
      <c r="I551" s="365">
        <v>810</v>
      </c>
      <c r="J551" t="s">
        <v>209</v>
      </c>
    </row>
    <row r="552" spans="1:11">
      <c r="A552" t="str">
        <f>IF(LEFT(E552,1)="1","SOL",IF(LEFT(E552,1)="2","CO",IF(LEFT(E552,1)="3","ALM",IF(LEFT(E552,1)="4","FAC","TRX")))) &amp; "-" &amp; B552 &amp; "-" &amp; TEXT(COUNTIFS($E$2:$E552,E552,$B$2:$B552,B552),"000")</f>
        <v>CO-26-053</v>
      </c>
      <c r="B552">
        <v>26</v>
      </c>
      <c r="C552" s="364">
        <v>46198</v>
      </c>
      <c r="D552" t="s">
        <v>126</v>
      </c>
      <c r="E552" t="s">
        <v>246</v>
      </c>
      <c r="F552" t="s">
        <v>243</v>
      </c>
      <c r="G552" s="3">
        <v>120</v>
      </c>
      <c r="H552" s="365">
        <v>27</v>
      </c>
      <c r="I552" s="365">
        <v>3240</v>
      </c>
      <c r="J552" t="s">
        <v>209</v>
      </c>
    </row>
    <row r="553" spans="1:11">
      <c r="A553" t="str">
        <f>IF(LEFT(E553,1)="1","SOL",IF(LEFT(E553,1)="2","CO",IF(LEFT(E553,1)="3","ALM",IF(LEFT(E553,1)="4","FAC","TRX")))) &amp; "-" &amp; B553 &amp; "-" &amp; TEXT(COUNTIFS($E$2:$E553,E553,$B$2:$B553,B553),"000")</f>
        <v>CO-26-054</v>
      </c>
      <c r="B553">
        <v>26</v>
      </c>
      <c r="C553" s="364">
        <v>46198</v>
      </c>
      <c r="D553" t="s">
        <v>247</v>
      </c>
      <c r="E553" t="s">
        <v>246</v>
      </c>
      <c r="F553" t="s">
        <v>252</v>
      </c>
      <c r="G553" s="3">
        <v>160</v>
      </c>
      <c r="H553" s="365">
        <v>27</v>
      </c>
      <c r="I553" s="365">
        <v>4320</v>
      </c>
      <c r="J553" t="s">
        <v>209</v>
      </c>
    </row>
    <row r="554" spans="1:11">
      <c r="A554" t="str">
        <f>IF(LEFT(E554,1)="1","SOL",IF(LEFT(E554,1)="2","CO",IF(LEFT(E554,1)="3","ALM",IF(LEFT(E554,1)="4","FAC","TRX")))) &amp; "-" &amp; B554 &amp; "-" &amp; TEXT(COUNTIFS($E$2:$E554,E554,$B$2:$B554,B554),"000")</f>
        <v>CO-26-055</v>
      </c>
      <c r="B554">
        <v>26</v>
      </c>
      <c r="C554" s="364">
        <v>46198</v>
      </c>
      <c r="D554" t="s">
        <v>2</v>
      </c>
      <c r="E554" t="s">
        <v>246</v>
      </c>
      <c r="F554" t="s">
        <v>255</v>
      </c>
      <c r="G554" s="3">
        <v>140</v>
      </c>
      <c r="H554" s="365">
        <v>27</v>
      </c>
      <c r="I554" s="365">
        <v>3780</v>
      </c>
      <c r="J554" t="s">
        <v>209</v>
      </c>
    </row>
    <row r="555" spans="1:11">
      <c r="A555" t="str">
        <f>IF(LEFT(E555,1)="1","SOL",IF(LEFT(E555,1)="2","CO",IF(LEFT(E555,1)="3","ALM",IF(LEFT(E555,1)="4","FAC","TRX")))) &amp; "-" &amp; B555 &amp; "-" &amp; TEXT(COUNTIFS($E$2:$E555,E555,$B$2:$B555,B555),"000")</f>
        <v>CO-26-056</v>
      </c>
      <c r="B555">
        <v>26</v>
      </c>
      <c r="C555" s="364">
        <v>46198</v>
      </c>
      <c r="D555" t="s">
        <v>247</v>
      </c>
      <c r="E555" t="s">
        <v>246</v>
      </c>
      <c r="F555" t="s">
        <v>260</v>
      </c>
      <c r="G555" s="3">
        <v>222</v>
      </c>
      <c r="H555" s="365">
        <v>27</v>
      </c>
      <c r="I555" s="365">
        <v>5994</v>
      </c>
      <c r="J555" t="s">
        <v>209</v>
      </c>
    </row>
    <row r="556" spans="1:11">
      <c r="A556" t="str">
        <f>IF(LEFT(E556,1)="1","SOL",IF(LEFT(E556,1)="2","CO",IF(LEFT(E556,1)="3","ALM",IF(LEFT(E556,1)="4","FAC","TRX")))) &amp; "-" &amp; B556 &amp; "-" &amp; TEXT(COUNTIFS($E$2:$E556,E556,$B$2:$B556,B556),"000")</f>
        <v>CO-26-057</v>
      </c>
      <c r="B556">
        <v>26</v>
      </c>
      <c r="C556" s="364">
        <v>46198</v>
      </c>
      <c r="D556" t="s">
        <v>247</v>
      </c>
      <c r="E556" t="s">
        <v>246</v>
      </c>
      <c r="F556" t="s">
        <v>231</v>
      </c>
      <c r="G556" s="3">
        <v>217</v>
      </c>
      <c r="H556" s="365">
        <v>27</v>
      </c>
      <c r="I556" s="365">
        <v>5859</v>
      </c>
      <c r="J556" t="s">
        <v>209</v>
      </c>
    </row>
    <row r="557" spans="1:11">
      <c r="A557" t="str">
        <f>IF(LEFT(E557,1)="1","SOL",IF(LEFT(E557,1)="2","CO",IF(LEFT(E557,1)="3","ALM",IF(LEFT(E557,1)="4","FAC","TRX")))) &amp; "-" &amp; B557 &amp; "-" &amp; TEXT(COUNTIFS($E$2:$E557,E557,$B$2:$B557,B557),"000")</f>
        <v>CO-26-058</v>
      </c>
      <c r="B557">
        <v>26</v>
      </c>
      <c r="C557" s="364">
        <v>46198</v>
      </c>
      <c r="D557" t="s">
        <v>247</v>
      </c>
      <c r="E557" t="s">
        <v>246</v>
      </c>
      <c r="F557" t="s">
        <v>243</v>
      </c>
      <c r="G557" s="3">
        <v>850</v>
      </c>
      <c r="H557" s="365">
        <v>27</v>
      </c>
      <c r="I557" s="365">
        <v>22950</v>
      </c>
      <c r="J557" t="s">
        <v>209</v>
      </c>
    </row>
    <row r="558" spans="1:11">
      <c r="A558" t="str">
        <f>IF(LEFT(E558,1)="1","SOL",IF(LEFT(E558,1)="2","CO",IF(LEFT(E558,1)="3","ALM",IF(LEFT(E558,1)="4","FAC","TRX")))) &amp; "-" &amp; B558 &amp; "-" &amp; TEXT(COUNTIFS($E$2:$E558,E558,$B$2:$B558,B558),"000")</f>
        <v>CO-26-059</v>
      </c>
      <c r="B558">
        <v>26</v>
      </c>
      <c r="C558" s="364">
        <v>46198</v>
      </c>
      <c r="D558" t="s">
        <v>2</v>
      </c>
      <c r="E558" t="s">
        <v>246</v>
      </c>
      <c r="F558" t="s">
        <v>249</v>
      </c>
      <c r="G558" s="3">
        <v>50</v>
      </c>
      <c r="H558" s="365">
        <v>27</v>
      </c>
      <c r="I558" s="365">
        <v>1350</v>
      </c>
      <c r="J558" t="s">
        <v>209</v>
      </c>
    </row>
    <row r="559" spans="1:11">
      <c r="A559" t="str">
        <f>IF(LEFT(E559,1)="1","SOL",IF(LEFT(E559,1)="2","CO",IF(LEFT(E559,1)="3","ALM",IF(LEFT(E559,1)="4","FAC","TRX")))) &amp; "-" &amp; B559 &amp; "-" &amp; TEXT(COUNTIFS($E$2:$E559,E559,$B$2:$B559,B559),"000")</f>
        <v>CO-26-060</v>
      </c>
      <c r="B559">
        <v>26</v>
      </c>
      <c r="C559" s="364">
        <v>46198</v>
      </c>
      <c r="D559" t="s">
        <v>2</v>
      </c>
      <c r="E559" t="s">
        <v>246</v>
      </c>
      <c r="F559" t="s">
        <v>214</v>
      </c>
      <c r="G559" s="3">
        <v>50</v>
      </c>
      <c r="H559" s="365">
        <v>27</v>
      </c>
      <c r="I559" s="365">
        <v>1350</v>
      </c>
      <c r="J559" t="s">
        <v>209</v>
      </c>
    </row>
    <row r="560" spans="1:11">
      <c r="A560" t="str">
        <f>IF(LEFT(E560,1)="1","SOL",IF(LEFT(E560,1)="2","CO",IF(LEFT(E560,1)="3","ALM",IF(LEFT(E560,1)="4","FAC","TRX")))) &amp; "-" &amp; B560 &amp; "-" &amp; TEXT(COUNTIFS($E$2:$E560,E560,$B$2:$B560,B560),"000")</f>
        <v>CO-26-061</v>
      </c>
      <c r="B560">
        <v>26</v>
      </c>
      <c r="C560" s="364">
        <v>46198</v>
      </c>
      <c r="D560" t="s">
        <v>2</v>
      </c>
      <c r="E560" t="s">
        <v>246</v>
      </c>
      <c r="F560" t="s">
        <v>250</v>
      </c>
      <c r="G560" s="3">
        <v>177</v>
      </c>
      <c r="H560" s="365">
        <v>27</v>
      </c>
      <c r="I560" s="365">
        <v>4779</v>
      </c>
      <c r="J560" t="s">
        <v>209</v>
      </c>
    </row>
    <row r="561" spans="1:11">
      <c r="A561" t="str">
        <f>IF(LEFT(E561,1)="1","SOL",IF(LEFT(E561,1)="2","CO",IF(LEFT(E561,1)="3","ALM",IF(LEFT(E561,1)="4","FAC","TRX")))) &amp; "-" &amp; B561 &amp; "-" &amp; TEXT(COUNTIFS($E$2:$E561,E561,$B$2:$B561,B561),"000")</f>
        <v>CO-26-062</v>
      </c>
      <c r="B561">
        <v>26</v>
      </c>
      <c r="C561" s="364">
        <v>46198</v>
      </c>
      <c r="D561" t="s">
        <v>140</v>
      </c>
      <c r="E561" t="s">
        <v>246</v>
      </c>
      <c r="F561" t="s">
        <v>254</v>
      </c>
      <c r="G561" s="3">
        <v>100</v>
      </c>
      <c r="H561" s="365">
        <v>27</v>
      </c>
      <c r="I561" s="365">
        <v>2700</v>
      </c>
      <c r="J561" t="s">
        <v>209</v>
      </c>
    </row>
    <row r="562" spans="1:11">
      <c r="A562" t="str">
        <f>IF(LEFT(E562,1)="1","SOL",IF(LEFT(E562,1)="2","CO",IF(LEFT(E562,1)="3","ALM",IF(LEFT(E562,1)="4","FAC","TRX")))) &amp; "-" &amp; B562 &amp; "-" &amp; TEXT(COUNTIFS($E$2:$E562,E562,$B$2:$B562,B562),"000")</f>
        <v>FAC-26-007</v>
      </c>
      <c r="B562">
        <v>26</v>
      </c>
      <c r="C562" s="364">
        <v>46198</v>
      </c>
      <c r="D562" t="s">
        <v>1</v>
      </c>
      <c r="E562" t="s">
        <v>301</v>
      </c>
      <c r="F562" t="s">
        <v>312</v>
      </c>
      <c r="G562" s="3">
        <v>550</v>
      </c>
      <c r="H562" s="365">
        <v>27</v>
      </c>
      <c r="I562" s="365">
        <v>14850</v>
      </c>
      <c r="J562" t="s">
        <v>209</v>
      </c>
      <c r="K562" t="s">
        <v>303</v>
      </c>
    </row>
    <row r="563" spans="1:11">
      <c r="A563" t="str">
        <f>IF(LEFT(E563,1)="1","SOL",IF(LEFT(E563,1)="2","CO",IF(LEFT(E563,1)="3","ALM",IF(LEFT(E563,1)="4","FAC","TRX")))) &amp; "-" &amp; B563 &amp; "-" &amp; TEXT(COUNTIFS($E$2:$E563,E563,$B$2:$B563,B563),"000")</f>
        <v>FAC-26-008</v>
      </c>
      <c r="B563">
        <v>26</v>
      </c>
      <c r="C563" s="364">
        <v>46198</v>
      </c>
      <c r="D563" t="s">
        <v>1</v>
      </c>
      <c r="E563" t="s">
        <v>301</v>
      </c>
      <c r="F563" t="s">
        <v>313</v>
      </c>
      <c r="G563" s="3">
        <v>42</v>
      </c>
      <c r="H563" s="365">
        <v>23.80952380952381</v>
      </c>
      <c r="I563" s="365">
        <v>1000</v>
      </c>
      <c r="J563" t="s">
        <v>209</v>
      </c>
      <c r="K563" t="s">
        <v>303</v>
      </c>
    </row>
    <row r="564" spans="1:11">
      <c r="A564" t="str">
        <f>IF(LEFT(E564,1)="1","SOL",IF(LEFT(E564,1)="2","CO",IF(LEFT(E564,1)="3","ALM",IF(LEFT(E564,1)="4","FAC","TRX")))) &amp; "-" &amp; B564 &amp; "-" &amp; TEXT(COUNTIFS($E$2:$E564,E564,$B$2:$B564,B564),"000")</f>
        <v>FAC-26-009</v>
      </c>
      <c r="B564">
        <v>26</v>
      </c>
      <c r="C564" s="364">
        <v>46198</v>
      </c>
      <c r="D564" t="s">
        <v>1</v>
      </c>
      <c r="E564" t="s">
        <v>301</v>
      </c>
      <c r="F564" t="s">
        <v>314</v>
      </c>
      <c r="G564" s="3">
        <v>63</v>
      </c>
      <c r="H564" s="365">
        <v>23.810793650793649</v>
      </c>
      <c r="I564" s="365">
        <v>1500.08</v>
      </c>
      <c r="J564" t="s">
        <v>209</v>
      </c>
      <c r="K564" t="s">
        <v>303</v>
      </c>
    </row>
    <row r="565" spans="1:11">
      <c r="A565" t="str">
        <f>IF(LEFT(E565,1)="1","SOL",IF(LEFT(E565,1)="2","CO",IF(LEFT(E565,1)="3","ALM",IF(LEFT(E565,1)="4","FAC","TRX")))) &amp; "-" &amp; B565 &amp; "-" &amp; TEXT(COUNTIFS($E$2:$E565,E565,$B$2:$B565,B565),"000")</f>
        <v>FAC-26-010</v>
      </c>
      <c r="B565">
        <v>26</v>
      </c>
      <c r="C565" s="364">
        <v>46198</v>
      </c>
      <c r="D565" t="s">
        <v>140</v>
      </c>
      <c r="E565" t="s">
        <v>301</v>
      </c>
      <c r="F565" t="s">
        <v>315</v>
      </c>
      <c r="G565" s="3">
        <v>400</v>
      </c>
      <c r="H565" s="365">
        <v>40.500250000000001</v>
      </c>
      <c r="I565" s="365">
        <v>16200.1</v>
      </c>
      <c r="J565" t="s">
        <v>209</v>
      </c>
      <c r="K565" t="s">
        <v>303</v>
      </c>
    </row>
    <row r="566" spans="1:11">
      <c r="A566" t="str">
        <f>IF(LEFT(E566,1)="1","SOL",IF(LEFT(E566,1)="2","CO",IF(LEFT(E566,1)="3","ALM",IF(LEFT(E566,1)="4","FAC","TRX")))) &amp; "-" &amp; B566 &amp; "-" &amp; TEXT(COUNTIFS($E$2:$E566,E566,$B$2:$B566,B566),"000")</f>
        <v>FAC-26-011</v>
      </c>
      <c r="B566">
        <v>26</v>
      </c>
      <c r="C566" s="364">
        <v>46198</v>
      </c>
      <c r="D566" t="s">
        <v>300</v>
      </c>
      <c r="E566" t="s">
        <v>301</v>
      </c>
      <c r="F566" t="s">
        <v>316</v>
      </c>
      <c r="G566" s="3">
        <v>4000</v>
      </c>
      <c r="H566" s="365">
        <v>27.00009</v>
      </c>
      <c r="I566" s="365">
        <v>108000.36</v>
      </c>
      <c r="J566" t="s">
        <v>209</v>
      </c>
      <c r="K566" t="s">
        <v>303</v>
      </c>
    </row>
    <row r="567" spans="1:11">
      <c r="A567" t="str">
        <f>IF(LEFT(E567,1)="1","SOL",IF(LEFT(E567,1)="2","CO",IF(LEFT(E567,1)="3","ALM",IF(LEFT(E567,1)="4","FAC","TRX")))) &amp; "-" &amp; B567 &amp; "-" &amp; TEXT(COUNTIFS($E$2:$E567,E567,$B$2:$B567,B567),"000")</f>
        <v>SOL-26-117</v>
      </c>
      <c r="B567">
        <v>26</v>
      </c>
      <c r="C567" s="364">
        <v>46199</v>
      </c>
      <c r="D567" t="s">
        <v>2</v>
      </c>
      <c r="E567" t="s">
        <v>208</v>
      </c>
      <c r="F567" t="s">
        <v>213</v>
      </c>
      <c r="G567" s="3">
        <v>240</v>
      </c>
      <c r="H567" s="365">
        <v>27</v>
      </c>
      <c r="I567" s="365">
        <v>6480</v>
      </c>
      <c r="J567" t="s">
        <v>209</v>
      </c>
      <c r="K567">
        <v>27</v>
      </c>
    </row>
    <row r="568" spans="1:11">
      <c r="A568" t="str">
        <f>IF(LEFT(E568,1)="1","SOL",IF(LEFT(E568,1)="2","CO",IF(LEFT(E568,1)="3","ALM",IF(LEFT(E568,1)="4","FAC","TRX")))) &amp; "-" &amp; B568 &amp; "-" &amp; TEXT(COUNTIFS($E$2:$E568,E568,$B$2:$B568,B568),"000")</f>
        <v>SOL-26-118</v>
      </c>
      <c r="B568">
        <v>26</v>
      </c>
      <c r="C568" s="364">
        <v>46199</v>
      </c>
      <c r="D568" t="s">
        <v>2</v>
      </c>
      <c r="E568" t="s">
        <v>208</v>
      </c>
      <c r="F568" t="s">
        <v>214</v>
      </c>
      <c r="G568" s="3">
        <v>20</v>
      </c>
      <c r="H568" s="365">
        <v>27</v>
      </c>
      <c r="I568" s="365">
        <v>540</v>
      </c>
      <c r="J568" t="s">
        <v>209</v>
      </c>
      <c r="K568">
        <v>27</v>
      </c>
    </row>
    <row r="569" spans="1:11">
      <c r="A569" t="str">
        <f>IF(LEFT(E569,1)="1","SOL",IF(LEFT(E569,1)="2","CO",IF(LEFT(E569,1)="3","ALM",IF(LEFT(E569,1)="4","FAC","TRX")))) &amp; "-" &amp; B569 &amp; "-" &amp; TEXT(COUNTIFS($E$2:$E569,E569,$B$2:$B569,B569),"000")</f>
        <v>SOL-26-119</v>
      </c>
      <c r="B569">
        <v>26</v>
      </c>
      <c r="C569" s="364">
        <v>46199</v>
      </c>
      <c r="D569" t="s">
        <v>2</v>
      </c>
      <c r="E569" t="s">
        <v>208</v>
      </c>
      <c r="F569" t="s">
        <v>215</v>
      </c>
      <c r="G569" s="3">
        <v>30</v>
      </c>
      <c r="H569" s="365">
        <v>27</v>
      </c>
      <c r="I569" s="365">
        <v>810</v>
      </c>
      <c r="J569" t="s">
        <v>209</v>
      </c>
      <c r="K569">
        <v>27</v>
      </c>
    </row>
    <row r="570" spans="1:11">
      <c r="A570" t="str">
        <f>IF(LEFT(E570,1)="1","SOL",IF(LEFT(E570,1)="2","CO",IF(LEFT(E570,1)="3","ALM",IF(LEFT(E570,1)="4","FAC","TRX")))) &amp; "-" &amp; B570 &amp; "-" &amp; TEXT(COUNTIFS($E$2:$E570,E570,$B$2:$B570,B570),"000")</f>
        <v>SOL-26-120</v>
      </c>
      <c r="B570">
        <v>26</v>
      </c>
      <c r="C570" s="364">
        <v>46199</v>
      </c>
      <c r="D570" t="s">
        <v>2</v>
      </c>
      <c r="E570" t="s">
        <v>208</v>
      </c>
      <c r="F570" t="s">
        <v>216</v>
      </c>
      <c r="G570" s="3">
        <v>80</v>
      </c>
      <c r="H570" s="365">
        <v>27</v>
      </c>
      <c r="I570" s="365">
        <v>2160</v>
      </c>
      <c r="J570" t="s">
        <v>209</v>
      </c>
      <c r="K570">
        <v>27</v>
      </c>
    </row>
    <row r="571" spans="1:11">
      <c r="A571" t="str">
        <f>IF(LEFT(E571,1)="1","SOL",IF(LEFT(E571,1)="2","CO",IF(LEFT(E571,1)="3","ALM",IF(LEFT(E571,1)="4","FAC","TRX")))) &amp; "-" &amp; B571 &amp; "-" &amp; TEXT(COUNTIFS($E$2:$E571,E571,$B$2:$B571,B571),"000")</f>
        <v>SOL-26-121</v>
      </c>
      <c r="B571">
        <v>26</v>
      </c>
      <c r="C571" s="364">
        <v>46199</v>
      </c>
      <c r="D571" t="s">
        <v>2</v>
      </c>
      <c r="E571" t="s">
        <v>208</v>
      </c>
      <c r="F571" t="s">
        <v>217</v>
      </c>
      <c r="G571" s="3">
        <v>40</v>
      </c>
      <c r="H571" s="365">
        <v>27</v>
      </c>
      <c r="I571" s="365">
        <v>1080</v>
      </c>
      <c r="J571" t="s">
        <v>209</v>
      </c>
      <c r="K571">
        <v>27</v>
      </c>
    </row>
    <row r="572" spans="1:11">
      <c r="A572" t="str">
        <f>IF(LEFT(E572,1)="1","SOL",IF(LEFT(E572,1)="2","CO",IF(LEFT(E572,1)="3","ALM",IF(LEFT(E572,1)="4","FAC","TRX")))) &amp; "-" &amp; B572 &amp; "-" &amp; TEXT(COUNTIFS($E$2:$E572,E572,$B$2:$B572,B572),"000")</f>
        <v>SOL-26-122</v>
      </c>
      <c r="B572">
        <v>26</v>
      </c>
      <c r="C572" s="364">
        <v>46199</v>
      </c>
      <c r="D572" t="s">
        <v>2</v>
      </c>
      <c r="E572" t="s">
        <v>208</v>
      </c>
      <c r="F572" t="s">
        <v>218</v>
      </c>
      <c r="G572" s="3">
        <v>24</v>
      </c>
      <c r="H572" s="365">
        <v>27</v>
      </c>
      <c r="I572" s="365">
        <v>648</v>
      </c>
      <c r="J572" t="s">
        <v>209</v>
      </c>
      <c r="K572">
        <v>27</v>
      </c>
    </row>
    <row r="573" spans="1:11">
      <c r="A573" t="str">
        <f>IF(LEFT(E573,1)="1","SOL",IF(LEFT(E573,1)="2","CO",IF(LEFT(E573,1)="3","ALM",IF(LEFT(E573,1)="4","FAC","TRX")))) &amp; "-" &amp; B573 &amp; "-" &amp; TEXT(COUNTIFS($E$2:$E573,E573,$B$2:$B573,B573),"000")</f>
        <v>SOL-26-123</v>
      </c>
      <c r="B573">
        <v>26</v>
      </c>
      <c r="C573" s="364">
        <v>46199</v>
      </c>
      <c r="D573" t="s">
        <v>2</v>
      </c>
      <c r="E573" t="s">
        <v>208</v>
      </c>
      <c r="F573" t="s">
        <v>219</v>
      </c>
      <c r="G573" s="3">
        <v>60</v>
      </c>
      <c r="H573" s="365">
        <v>27</v>
      </c>
      <c r="I573" s="365">
        <v>1620</v>
      </c>
      <c r="J573" t="s">
        <v>209</v>
      </c>
      <c r="K573">
        <v>27</v>
      </c>
    </row>
    <row r="574" spans="1:11">
      <c r="A574" t="str">
        <f>IF(LEFT(E574,1)="1","SOL",IF(LEFT(E574,1)="2","CO",IF(LEFT(E574,1)="3","ALM",IF(LEFT(E574,1)="4","FAC","TRX")))) &amp; "-" &amp; B574 &amp; "-" &amp; TEXT(COUNTIFS($E$2:$E574,E574,$B$2:$B574,B574),"000")</f>
        <v>SOL-26-124</v>
      </c>
      <c r="B574">
        <v>26</v>
      </c>
      <c r="C574" s="364">
        <v>46199</v>
      </c>
      <c r="D574" t="s">
        <v>2</v>
      </c>
      <c r="E574" t="s">
        <v>208</v>
      </c>
      <c r="F574" t="s">
        <v>220</v>
      </c>
      <c r="G574" s="3">
        <v>24</v>
      </c>
      <c r="H574" s="365">
        <v>27</v>
      </c>
      <c r="I574" s="365">
        <v>648</v>
      </c>
      <c r="J574" t="s">
        <v>209</v>
      </c>
      <c r="K574">
        <v>27</v>
      </c>
    </row>
    <row r="575" spans="1:11">
      <c r="A575" t="str">
        <f>IF(LEFT(E575,1)="1","SOL",IF(LEFT(E575,1)="2","CO",IF(LEFT(E575,1)="3","ALM",IF(LEFT(E575,1)="4","FAC","TRX")))) &amp; "-" &amp; B575 &amp; "-" &amp; TEXT(COUNTIFS($E$2:$E575,E575,$B$2:$B575,B575),"000")</f>
        <v>SOL-26-125</v>
      </c>
      <c r="B575">
        <v>26</v>
      </c>
      <c r="C575" s="364">
        <v>46199</v>
      </c>
      <c r="D575" t="s">
        <v>2</v>
      </c>
      <c r="E575" t="s">
        <v>208</v>
      </c>
      <c r="F575" t="s">
        <v>221</v>
      </c>
      <c r="G575" s="3">
        <v>60</v>
      </c>
      <c r="H575" s="365">
        <v>27</v>
      </c>
      <c r="I575" s="365">
        <v>1620</v>
      </c>
      <c r="J575" t="s">
        <v>209</v>
      </c>
      <c r="K575">
        <v>27</v>
      </c>
    </row>
    <row r="576" spans="1:11">
      <c r="A576" t="str">
        <f>IF(LEFT(E576,1)="1","SOL",IF(LEFT(E576,1)="2","CO",IF(LEFT(E576,1)="3","ALM",IF(LEFT(E576,1)="4","FAC","TRX")))) &amp; "-" &amp; B576 &amp; "-" &amp; TEXT(COUNTIFS($E$2:$E576,E576,$B$2:$B576,B576),"000")</f>
        <v>SOL-26-126</v>
      </c>
      <c r="B576">
        <v>26</v>
      </c>
      <c r="C576" s="364">
        <v>46199</v>
      </c>
      <c r="D576" t="s">
        <v>140</v>
      </c>
      <c r="E576" t="s">
        <v>208</v>
      </c>
      <c r="F576" t="s">
        <v>222</v>
      </c>
      <c r="G576" s="3">
        <v>300</v>
      </c>
      <c r="H576" s="365">
        <v>27</v>
      </c>
      <c r="I576" s="365">
        <v>8100</v>
      </c>
      <c r="J576" t="s">
        <v>209</v>
      </c>
      <c r="K576">
        <v>27</v>
      </c>
    </row>
    <row r="577" spans="1:11">
      <c r="A577" t="str">
        <f>IF(LEFT(E577,1)="1","SOL",IF(LEFT(E577,1)="2","CO",IF(LEFT(E577,1)="3","ALM",IF(LEFT(E577,1)="4","FAC","TRX")))) &amp; "-" &amp; B577 &amp; "-" &amp; TEXT(COUNTIFS($E$2:$E577,E577,$B$2:$B577,B577),"000")</f>
        <v>SOL-26-127</v>
      </c>
      <c r="B577">
        <v>26</v>
      </c>
      <c r="C577" s="364">
        <v>46199</v>
      </c>
      <c r="D577" t="s">
        <v>140</v>
      </c>
      <c r="E577" t="s">
        <v>208</v>
      </c>
      <c r="F577" t="s">
        <v>223</v>
      </c>
      <c r="G577" s="3">
        <v>100</v>
      </c>
      <c r="H577" s="365">
        <v>27</v>
      </c>
      <c r="I577" s="365">
        <v>2700</v>
      </c>
      <c r="J577" t="s">
        <v>209</v>
      </c>
      <c r="K577">
        <v>27</v>
      </c>
    </row>
    <row r="578" spans="1:11">
      <c r="A578" t="str">
        <f>IF(LEFT(E578,1)="1","SOL",IF(LEFT(E578,1)="2","CO",IF(LEFT(E578,1)="3","ALM",IF(LEFT(E578,1)="4","FAC","TRX")))) &amp; "-" &amp; B578 &amp; "-" &amp; TEXT(COUNTIFS($E$2:$E578,E578,$B$2:$B578,B578),"000")</f>
        <v>SOL-26-128</v>
      </c>
      <c r="B578">
        <v>26</v>
      </c>
      <c r="C578" s="364">
        <v>46199</v>
      </c>
      <c r="D578" t="s">
        <v>140</v>
      </c>
      <c r="E578" t="s">
        <v>208</v>
      </c>
      <c r="F578" t="s">
        <v>225</v>
      </c>
      <c r="G578" s="3">
        <v>100</v>
      </c>
      <c r="H578" s="365">
        <v>27</v>
      </c>
      <c r="I578" s="365">
        <v>2700</v>
      </c>
      <c r="J578" t="s">
        <v>209</v>
      </c>
      <c r="K578">
        <v>27</v>
      </c>
    </row>
    <row r="579" spans="1:11">
      <c r="A579" t="str">
        <f>IF(LEFT(E579,1)="1","SOL",IF(LEFT(E579,1)="2","CO",IF(LEFT(E579,1)="3","ALM",IF(LEFT(E579,1)="4","FAC","TRX")))) &amp; "-" &amp; B579 &amp; "-" &amp; TEXT(COUNTIFS($E$2:$E579,E579,$B$2:$B579,B579),"000")</f>
        <v>SOL-26-129</v>
      </c>
      <c r="B579">
        <v>26</v>
      </c>
      <c r="C579" s="364">
        <v>46199</v>
      </c>
      <c r="D579" t="s">
        <v>1</v>
      </c>
      <c r="E579" t="s">
        <v>208</v>
      </c>
      <c r="F579" t="s">
        <v>213</v>
      </c>
      <c r="G579" s="3">
        <v>250</v>
      </c>
      <c r="H579" s="365">
        <v>27</v>
      </c>
      <c r="I579" s="365">
        <v>6750</v>
      </c>
      <c r="J579" t="s">
        <v>209</v>
      </c>
      <c r="K579">
        <v>27</v>
      </c>
    </row>
    <row r="580" spans="1:11">
      <c r="A580" t="str">
        <f>IF(LEFT(E580,1)="1","SOL",IF(LEFT(E580,1)="2","CO",IF(LEFT(E580,1)="3","ALM",IF(LEFT(E580,1)="4","FAC","TRX")))) &amp; "-" &amp; B580 &amp; "-" &amp; TEXT(COUNTIFS($E$2:$E580,E580,$B$2:$B580,B580),"000")</f>
        <v>SOL-26-130</v>
      </c>
      <c r="B580">
        <v>26</v>
      </c>
      <c r="C580" s="364">
        <v>46199</v>
      </c>
      <c r="D580" t="s">
        <v>1</v>
      </c>
      <c r="E580" t="s">
        <v>208</v>
      </c>
      <c r="F580" t="s">
        <v>216</v>
      </c>
      <c r="G580" s="3">
        <v>120</v>
      </c>
      <c r="H580" s="365">
        <v>27</v>
      </c>
      <c r="I580" s="365">
        <v>3240</v>
      </c>
      <c r="J580" t="s">
        <v>209</v>
      </c>
      <c r="K580">
        <v>27</v>
      </c>
    </row>
    <row r="581" spans="1:11">
      <c r="A581" t="str">
        <f>IF(LEFT(E581,1)="1","SOL",IF(LEFT(E581,1)="2","CO",IF(LEFT(E581,1)="3","ALM",IF(LEFT(E581,1)="4","FAC","TRX")))) &amp; "-" &amp; B581 &amp; "-" &amp; TEXT(COUNTIFS($E$2:$E581,E581,$B$2:$B581,B581),"000")</f>
        <v>SOL-26-131</v>
      </c>
      <c r="B581">
        <v>26</v>
      </c>
      <c r="C581" s="364">
        <v>46199</v>
      </c>
      <c r="D581" t="s">
        <v>1</v>
      </c>
      <c r="E581" t="s">
        <v>208</v>
      </c>
      <c r="F581" t="s">
        <v>226</v>
      </c>
      <c r="G581" s="3">
        <v>40</v>
      </c>
      <c r="H581" s="365">
        <v>27</v>
      </c>
      <c r="I581" s="365">
        <v>1080</v>
      </c>
      <c r="J581" t="s">
        <v>209</v>
      </c>
      <c r="K581">
        <v>27</v>
      </c>
    </row>
    <row r="582" spans="1:11">
      <c r="A582" t="str">
        <f>IF(LEFT(E582,1)="1","SOL",IF(LEFT(E582,1)="2","CO",IF(LEFT(E582,1)="3","ALM",IF(LEFT(E582,1)="4","FAC","TRX")))) &amp; "-" &amp; B582 &amp; "-" &amp; TEXT(COUNTIFS($E$2:$E582,E582,$B$2:$B582,B582),"000")</f>
        <v>SOL-26-132</v>
      </c>
      <c r="B582">
        <v>26</v>
      </c>
      <c r="C582" s="364">
        <v>46199</v>
      </c>
      <c r="D582" t="s">
        <v>1</v>
      </c>
      <c r="E582" t="s">
        <v>208</v>
      </c>
      <c r="F582" t="s">
        <v>226</v>
      </c>
      <c r="G582" s="3">
        <v>40</v>
      </c>
      <c r="H582" s="365">
        <v>27</v>
      </c>
      <c r="I582" s="365">
        <v>1080</v>
      </c>
      <c r="J582" t="s">
        <v>209</v>
      </c>
      <c r="K582">
        <v>27</v>
      </c>
    </row>
    <row r="583" spans="1:11">
      <c r="A583" t="str">
        <f>IF(LEFT(E583,1)="1","SOL",IF(LEFT(E583,1)="2","CO",IF(LEFT(E583,1)="3","ALM",IF(LEFT(E583,1)="4","FAC","TRX")))) &amp; "-" &amp; B583 &amp; "-" &amp; TEXT(COUNTIFS($E$2:$E583,E583,$B$2:$B583,B583),"000")</f>
        <v>SOL-26-133</v>
      </c>
      <c r="B583">
        <v>26</v>
      </c>
      <c r="C583" s="364">
        <v>46199</v>
      </c>
      <c r="D583" t="s">
        <v>1</v>
      </c>
      <c r="E583" t="s">
        <v>208</v>
      </c>
      <c r="F583" t="s">
        <v>227</v>
      </c>
      <c r="G583" s="3">
        <v>50</v>
      </c>
      <c r="H583" s="365">
        <v>27</v>
      </c>
      <c r="I583" s="365">
        <v>1350</v>
      </c>
      <c r="J583" t="s">
        <v>209</v>
      </c>
      <c r="K583">
        <v>27</v>
      </c>
    </row>
    <row r="584" spans="1:11">
      <c r="A584" t="str">
        <f>IF(LEFT(E584,1)="1","SOL",IF(LEFT(E584,1)="2","CO",IF(LEFT(E584,1)="3","ALM",IF(LEFT(E584,1)="4","FAC","TRX")))) &amp; "-" &amp; B584 &amp; "-" &amp; TEXT(COUNTIFS($E$2:$E584,E584,$B$2:$B584,B584),"000")</f>
        <v>SOL-26-134</v>
      </c>
      <c r="B584">
        <v>26</v>
      </c>
      <c r="C584" s="364">
        <v>46199</v>
      </c>
      <c r="D584" t="s">
        <v>1</v>
      </c>
      <c r="E584" t="s">
        <v>208</v>
      </c>
      <c r="F584" t="s">
        <v>228</v>
      </c>
      <c r="G584" s="3">
        <v>20</v>
      </c>
      <c r="H584" s="365">
        <v>27</v>
      </c>
      <c r="I584" s="365">
        <v>540</v>
      </c>
      <c r="J584" t="s">
        <v>209</v>
      </c>
      <c r="K584">
        <v>27</v>
      </c>
    </row>
    <row r="585" spans="1:11">
      <c r="A585" t="str">
        <f>IF(LEFT(E585,1)="1","SOL",IF(LEFT(E585,1)="2","CO",IF(LEFT(E585,1)="3","ALM",IF(LEFT(E585,1)="4","FAC","TRX")))) &amp; "-" &amp; B585 &amp; "-" &amp; TEXT(COUNTIFS($E$2:$E585,E585,$B$2:$B585,B585),"000")</f>
        <v>SOL-26-135</v>
      </c>
      <c r="B585">
        <v>26</v>
      </c>
      <c r="C585" s="364">
        <v>46199</v>
      </c>
      <c r="D585" t="s">
        <v>1</v>
      </c>
      <c r="E585" t="s">
        <v>208</v>
      </c>
      <c r="F585" t="s">
        <v>215</v>
      </c>
      <c r="G585" s="3">
        <v>50</v>
      </c>
      <c r="H585" s="365">
        <v>27</v>
      </c>
      <c r="I585" s="365">
        <v>1350</v>
      </c>
      <c r="J585" t="s">
        <v>209</v>
      </c>
      <c r="K585">
        <v>27</v>
      </c>
    </row>
    <row r="586" spans="1:11">
      <c r="A586" t="str">
        <f>IF(LEFT(E586,1)="1","SOL",IF(LEFT(E586,1)="2","CO",IF(LEFT(E586,1)="3","ALM",IF(LEFT(E586,1)="4","FAC","TRX")))) &amp; "-" &amp; B586 &amp; "-" &amp; TEXT(COUNTIFS($E$2:$E586,E586,$B$2:$B586,B586),"000")</f>
        <v>SOL-26-136</v>
      </c>
      <c r="B586">
        <v>26</v>
      </c>
      <c r="C586" s="364">
        <v>46199</v>
      </c>
      <c r="D586" t="s">
        <v>1</v>
      </c>
      <c r="E586" t="s">
        <v>208</v>
      </c>
      <c r="F586" t="s">
        <v>221</v>
      </c>
      <c r="G586" s="3">
        <v>50</v>
      </c>
      <c r="H586" s="365">
        <v>27</v>
      </c>
      <c r="I586" s="365">
        <v>1350</v>
      </c>
      <c r="J586" t="s">
        <v>209</v>
      </c>
      <c r="K586">
        <v>27</v>
      </c>
    </row>
    <row r="587" spans="1:11">
      <c r="A587" t="str">
        <f>IF(LEFT(E587,1)="1","SOL",IF(LEFT(E587,1)="2","CO",IF(LEFT(E587,1)="3","ALM",IF(LEFT(E587,1)="4","FAC","TRX")))) &amp; "-" &amp; B587 &amp; "-" &amp; TEXT(COUNTIFS($E$2:$E587,E587,$B$2:$B587,B587),"000")</f>
        <v>SOL-26-137</v>
      </c>
      <c r="B587">
        <v>26</v>
      </c>
      <c r="C587" s="364">
        <v>46199</v>
      </c>
      <c r="D587" t="s">
        <v>126</v>
      </c>
      <c r="E587" t="s">
        <v>208</v>
      </c>
      <c r="F587" t="s">
        <v>223</v>
      </c>
      <c r="G587" s="3">
        <v>50</v>
      </c>
      <c r="H587" s="365">
        <v>27</v>
      </c>
      <c r="I587" s="365">
        <v>1350</v>
      </c>
      <c r="J587" t="s">
        <v>209</v>
      </c>
      <c r="K587">
        <v>27</v>
      </c>
    </row>
    <row r="588" spans="1:11">
      <c r="A588" t="str">
        <f>IF(LEFT(E588,1)="1","SOL",IF(LEFT(E588,1)="2","CO",IF(LEFT(E588,1)="3","ALM",IF(LEFT(E588,1)="4","FAC","TRX")))) &amp; "-" &amp; B588 &amp; "-" &amp; TEXT(COUNTIFS($E$2:$E588,E588,$B$2:$B588,B588),"000")</f>
        <v>SOL-26-138</v>
      </c>
      <c r="B588">
        <v>26</v>
      </c>
      <c r="C588" s="364">
        <v>46199</v>
      </c>
      <c r="D588" t="s">
        <v>126</v>
      </c>
      <c r="E588" t="s">
        <v>208</v>
      </c>
      <c r="F588" t="s">
        <v>223</v>
      </c>
      <c r="G588" s="3">
        <v>50</v>
      </c>
      <c r="H588" s="365">
        <v>27</v>
      </c>
      <c r="I588" s="365">
        <v>1350</v>
      </c>
      <c r="J588" t="s">
        <v>209</v>
      </c>
      <c r="K588">
        <v>27</v>
      </c>
    </row>
    <row r="589" spans="1:11">
      <c r="A589" t="str">
        <f>IF(LEFT(E589,1)="1","SOL",IF(LEFT(E589,1)="2","CO",IF(LEFT(E589,1)="3","ALM",IF(LEFT(E589,1)="4","FAC","TRX")))) &amp; "-" &amp; B589 &amp; "-" &amp; TEXT(COUNTIFS($E$2:$E589,E589,$B$2:$B589,B589),"000")</f>
        <v>SOL-26-139</v>
      </c>
      <c r="B589">
        <v>26</v>
      </c>
      <c r="C589" s="364">
        <v>46199</v>
      </c>
      <c r="D589" t="s">
        <v>126</v>
      </c>
      <c r="E589" t="s">
        <v>208</v>
      </c>
      <c r="F589" t="s">
        <v>229</v>
      </c>
      <c r="G589" s="3">
        <v>10</v>
      </c>
      <c r="H589" s="365">
        <v>27</v>
      </c>
      <c r="I589" s="365">
        <v>270</v>
      </c>
      <c r="J589" t="s">
        <v>209</v>
      </c>
      <c r="K589">
        <v>27</v>
      </c>
    </row>
    <row r="590" spans="1:11">
      <c r="A590" t="str">
        <f>IF(LEFT(E590,1)="1","SOL",IF(LEFT(E590,1)="2","CO",IF(LEFT(E590,1)="3","ALM",IF(LEFT(E590,1)="4","FAC","TRX")))) &amp; "-" &amp; B590 &amp; "-" &amp; TEXT(COUNTIFS($E$2:$E590,E590,$B$2:$B590,B590),"000")</f>
        <v>SOL-26-140</v>
      </c>
      <c r="B590">
        <v>26</v>
      </c>
      <c r="C590" s="364">
        <v>46199</v>
      </c>
      <c r="D590" t="s">
        <v>126</v>
      </c>
      <c r="E590" t="s">
        <v>208</v>
      </c>
      <c r="F590" t="s">
        <v>230</v>
      </c>
      <c r="G590" s="3">
        <v>8</v>
      </c>
      <c r="H590" s="365">
        <v>27</v>
      </c>
      <c r="I590" s="365">
        <v>216</v>
      </c>
      <c r="J590" t="s">
        <v>209</v>
      </c>
      <c r="K590">
        <v>27</v>
      </c>
    </row>
    <row r="591" spans="1:11">
      <c r="A591" t="str">
        <f>IF(LEFT(E591,1)="1","SOL",IF(LEFT(E591,1)="2","CO",IF(LEFT(E591,1)="3","ALM",IF(LEFT(E591,1)="4","FAC","TRX")))) &amp; "-" &amp; B591 &amp; "-" &amp; TEXT(COUNTIFS($E$2:$E591,E591,$B$2:$B591,B591),"000")</f>
        <v>SOL-26-141</v>
      </c>
      <c r="B591">
        <v>26</v>
      </c>
      <c r="C591" s="364">
        <v>46199</v>
      </c>
      <c r="D591" t="s">
        <v>2</v>
      </c>
      <c r="E591" t="s">
        <v>208</v>
      </c>
      <c r="F591" t="s">
        <v>234</v>
      </c>
      <c r="G591" s="3">
        <v>30</v>
      </c>
      <c r="H591" s="365">
        <v>27</v>
      </c>
      <c r="I591" s="365">
        <v>810</v>
      </c>
      <c r="J591" t="s">
        <v>209</v>
      </c>
      <c r="K591">
        <v>27</v>
      </c>
    </row>
    <row r="592" spans="1:11">
      <c r="A592" t="str">
        <f>IF(LEFT(E592,1)="1","SOL",IF(LEFT(E592,1)="2","CO",IF(LEFT(E592,1)="3","ALM",IF(LEFT(E592,1)="4","FAC","TRX")))) &amp; "-" &amp; B592 &amp; "-" &amp; TEXT(COUNTIFS($E$2:$E592,E592,$B$2:$B592,B592),"000")</f>
        <v>CO-26-063</v>
      </c>
      <c r="B592">
        <v>26</v>
      </c>
      <c r="C592" s="364">
        <v>46199</v>
      </c>
      <c r="D592" t="s">
        <v>126</v>
      </c>
      <c r="E592" t="s">
        <v>246</v>
      </c>
      <c r="F592" t="s">
        <v>261</v>
      </c>
      <c r="G592" s="3">
        <v>90</v>
      </c>
      <c r="H592" s="365">
        <v>27</v>
      </c>
      <c r="I592" s="365">
        <v>2430</v>
      </c>
      <c r="J592" t="s">
        <v>209</v>
      </c>
    </row>
    <row r="593" spans="1:10">
      <c r="A593" t="str">
        <f>IF(LEFT(E593,1)="1","SOL",IF(LEFT(E593,1)="2","CO",IF(LEFT(E593,1)="3","ALM",IF(LEFT(E593,1)="4","FAC","TRX")))) &amp; "-" &amp; B593 &amp; "-" &amp; TEXT(COUNTIFS($E$2:$E593,E593,$B$2:$B593,B593),"000")</f>
        <v>CO-26-064</v>
      </c>
      <c r="B593">
        <v>26</v>
      </c>
      <c r="C593" s="364">
        <v>46199</v>
      </c>
      <c r="D593" t="s">
        <v>126</v>
      </c>
      <c r="E593" t="s">
        <v>246</v>
      </c>
      <c r="F593" t="s">
        <v>223</v>
      </c>
      <c r="G593" s="3">
        <v>48</v>
      </c>
      <c r="H593" s="365">
        <v>27</v>
      </c>
      <c r="I593" s="365">
        <v>1296</v>
      </c>
      <c r="J593" t="s">
        <v>209</v>
      </c>
    </row>
    <row r="594" spans="1:10">
      <c r="A594" t="str">
        <f>IF(LEFT(E594,1)="1","SOL",IF(LEFT(E594,1)="2","CO",IF(LEFT(E594,1)="3","ALM",IF(LEFT(E594,1)="4","FAC","TRX")))) &amp; "-" &amp; B594 &amp; "-" &amp; TEXT(COUNTIFS($E$2:$E594,E594,$B$2:$B594,B594),"000")</f>
        <v>CO-26-065</v>
      </c>
      <c r="B594">
        <v>26</v>
      </c>
      <c r="C594" s="364">
        <v>46199</v>
      </c>
      <c r="D594" t="s">
        <v>1</v>
      </c>
      <c r="E594" t="s">
        <v>246</v>
      </c>
      <c r="F594" t="s">
        <v>226</v>
      </c>
      <c r="G594" s="3">
        <v>40</v>
      </c>
      <c r="H594" s="365">
        <v>27</v>
      </c>
      <c r="I594" s="365">
        <v>1080</v>
      </c>
      <c r="J594" t="s">
        <v>209</v>
      </c>
    </row>
    <row r="595" spans="1:10">
      <c r="A595" t="str">
        <f>IF(LEFT(E595,1)="1","SOL",IF(LEFT(E595,1)="2","CO",IF(LEFT(E595,1)="3","ALM",IF(LEFT(E595,1)="4","FAC","TRX")))) &amp; "-" &amp; B595 &amp; "-" &amp; TEXT(COUNTIFS($E$2:$E595,E595,$B$2:$B595,B595),"000")</f>
        <v>CO-26-066</v>
      </c>
      <c r="B595">
        <v>26</v>
      </c>
      <c r="C595" s="364">
        <v>46199</v>
      </c>
      <c r="D595" t="s">
        <v>1</v>
      </c>
      <c r="E595" t="s">
        <v>246</v>
      </c>
      <c r="F595" t="s">
        <v>227</v>
      </c>
      <c r="G595" s="3">
        <v>30</v>
      </c>
      <c r="H595" s="365">
        <v>27</v>
      </c>
      <c r="I595" s="365">
        <v>810</v>
      </c>
      <c r="J595" t="s">
        <v>209</v>
      </c>
    </row>
    <row r="596" spans="1:10">
      <c r="A596" t="str">
        <f>IF(LEFT(E596,1)="1","SOL",IF(LEFT(E596,1)="2","CO",IF(LEFT(E596,1)="3","ALM",IF(LEFT(E596,1)="4","FAC","TRX")))) &amp; "-" &amp; B596 &amp; "-" &amp; TEXT(COUNTIFS($E$2:$E596,E596,$B$2:$B596,B596),"000")</f>
        <v>CO-26-067</v>
      </c>
      <c r="B596">
        <v>26</v>
      </c>
      <c r="C596" s="364">
        <v>46199</v>
      </c>
      <c r="D596" t="s">
        <v>1</v>
      </c>
      <c r="E596" t="s">
        <v>246</v>
      </c>
      <c r="F596" t="s">
        <v>218</v>
      </c>
      <c r="G596" s="3">
        <v>16</v>
      </c>
      <c r="H596" s="365">
        <v>27</v>
      </c>
      <c r="I596" s="365">
        <v>432</v>
      </c>
      <c r="J596" t="s">
        <v>209</v>
      </c>
    </row>
    <row r="597" spans="1:10">
      <c r="A597" t="str">
        <f>IF(LEFT(E597,1)="1","SOL",IF(LEFT(E597,1)="2","CO",IF(LEFT(E597,1)="3","ALM",IF(LEFT(E597,1)="4","FAC","TRX")))) &amp; "-" &amp; B597 &amp; "-" &amp; TEXT(COUNTIFS($E$2:$E597,E597,$B$2:$B597,B597),"000")</f>
        <v>CO-26-068</v>
      </c>
      <c r="B597">
        <v>26</v>
      </c>
      <c r="C597" s="364">
        <v>46199</v>
      </c>
      <c r="D597" t="s">
        <v>1</v>
      </c>
      <c r="E597" t="s">
        <v>246</v>
      </c>
      <c r="F597" t="s">
        <v>251</v>
      </c>
      <c r="G597" s="3">
        <v>120</v>
      </c>
      <c r="H597" s="365">
        <v>27</v>
      </c>
      <c r="I597" s="365">
        <v>3240</v>
      </c>
      <c r="J597" t="s">
        <v>209</v>
      </c>
    </row>
    <row r="598" spans="1:10">
      <c r="A598" t="str">
        <f>IF(LEFT(E598,1)="1","SOL",IF(LEFT(E598,1)="2","CO",IF(LEFT(E598,1)="3","ALM",IF(LEFT(E598,1)="4","FAC","TRX")))) &amp; "-" &amp; B598 &amp; "-" &amp; TEXT(COUNTIFS($E$2:$E598,E598,$B$2:$B598,B598),"000")</f>
        <v>CO-26-069</v>
      </c>
      <c r="B598">
        <v>26</v>
      </c>
      <c r="C598" s="364">
        <v>46199</v>
      </c>
      <c r="D598" t="s">
        <v>1</v>
      </c>
      <c r="E598" t="s">
        <v>246</v>
      </c>
      <c r="F598" t="s">
        <v>226</v>
      </c>
      <c r="G598" s="3">
        <v>32</v>
      </c>
      <c r="H598" s="365">
        <v>27</v>
      </c>
      <c r="I598" s="365">
        <v>864</v>
      </c>
      <c r="J598" t="s">
        <v>209</v>
      </c>
    </row>
    <row r="599" spans="1:10">
      <c r="A599" t="str">
        <f>IF(LEFT(E599,1)="1","SOL",IF(LEFT(E599,1)="2","CO",IF(LEFT(E599,1)="3","ALM",IF(LEFT(E599,1)="4","FAC","TRX")))) &amp; "-" &amp; B599 &amp; "-" &amp; TEXT(COUNTIFS($E$2:$E599,E599,$B$2:$B599,B599),"000")</f>
        <v>CO-26-070</v>
      </c>
      <c r="B599">
        <v>26</v>
      </c>
      <c r="C599" s="364">
        <v>46199</v>
      </c>
      <c r="D599" t="s">
        <v>1</v>
      </c>
      <c r="E599" t="s">
        <v>246</v>
      </c>
      <c r="F599" t="s">
        <v>249</v>
      </c>
      <c r="G599" s="3">
        <v>40</v>
      </c>
      <c r="H599" s="365">
        <v>27</v>
      </c>
      <c r="I599" s="365">
        <v>1080</v>
      </c>
      <c r="J599" t="s">
        <v>209</v>
      </c>
    </row>
    <row r="600" spans="1:10">
      <c r="A600" t="str">
        <f>IF(LEFT(E600,1)="1","SOL",IF(LEFT(E600,1)="2","CO",IF(LEFT(E600,1)="3","ALM",IF(LEFT(E600,1)="4","FAC","TRX")))) &amp; "-" &amp; B600 &amp; "-" &amp; TEXT(COUNTIFS($E$2:$E600,E600,$B$2:$B600,B600),"000")</f>
        <v>CO-26-071</v>
      </c>
      <c r="B600">
        <v>26</v>
      </c>
      <c r="C600" s="364">
        <v>46199</v>
      </c>
      <c r="D600" t="s">
        <v>2</v>
      </c>
      <c r="E600" t="s">
        <v>246</v>
      </c>
      <c r="F600" t="s">
        <v>252</v>
      </c>
      <c r="G600" s="3">
        <v>41</v>
      </c>
      <c r="H600" s="365">
        <v>27</v>
      </c>
      <c r="I600" s="365">
        <v>1107</v>
      </c>
      <c r="J600" t="s">
        <v>209</v>
      </c>
    </row>
    <row r="601" spans="1:10">
      <c r="A601" t="str">
        <f>IF(LEFT(E601,1)="1","SOL",IF(LEFT(E601,1)="2","CO",IF(LEFT(E601,1)="3","ALM",IF(LEFT(E601,1)="4","FAC","TRX")))) &amp; "-" &amp; B601 &amp; "-" &amp; TEXT(COUNTIFS($E$2:$E601,E601,$B$2:$B601,B601),"000")</f>
        <v>CO-26-072</v>
      </c>
      <c r="B601">
        <v>26</v>
      </c>
      <c r="C601" s="364">
        <v>46199</v>
      </c>
      <c r="D601" t="s">
        <v>1</v>
      </c>
      <c r="E601" t="s">
        <v>246</v>
      </c>
      <c r="F601" t="s">
        <v>213</v>
      </c>
      <c r="G601" s="3">
        <v>329</v>
      </c>
      <c r="H601" s="365">
        <v>27</v>
      </c>
      <c r="I601" s="365">
        <v>8883</v>
      </c>
      <c r="J601" t="s">
        <v>209</v>
      </c>
    </row>
    <row r="602" spans="1:10">
      <c r="A602" t="str">
        <f>IF(LEFT(E602,1)="1","SOL",IF(LEFT(E602,1)="2","CO",IF(LEFT(E602,1)="3","ALM",IF(LEFT(E602,1)="4","FAC","TRX")))) &amp; "-" &amp; B602 &amp; "-" &amp; TEXT(COUNTIFS($E$2:$E602,E602,$B$2:$B602,B602),"000")</f>
        <v>CO-26-073</v>
      </c>
      <c r="B602">
        <v>26</v>
      </c>
      <c r="C602" s="364">
        <v>46199</v>
      </c>
      <c r="D602" t="s">
        <v>126</v>
      </c>
      <c r="E602" t="s">
        <v>246</v>
      </c>
      <c r="F602" t="s">
        <v>243</v>
      </c>
      <c r="G602" s="3">
        <v>480</v>
      </c>
      <c r="H602" s="365">
        <v>27</v>
      </c>
      <c r="I602" s="365">
        <v>12960</v>
      </c>
      <c r="J602" t="s">
        <v>209</v>
      </c>
    </row>
    <row r="603" spans="1:10">
      <c r="A603" t="str">
        <f>IF(LEFT(E603,1)="1","SOL",IF(LEFT(E603,1)="2","CO",IF(LEFT(E603,1)="3","ALM",IF(LEFT(E603,1)="4","FAC","TRX")))) &amp; "-" &amp; B603 &amp; "-" &amp; TEXT(COUNTIFS($E$2:$E603,E603,$B$2:$B603,B603),"000")</f>
        <v>CO-26-074</v>
      </c>
      <c r="B603">
        <v>26</v>
      </c>
      <c r="C603" s="364">
        <v>46199</v>
      </c>
      <c r="D603" t="s">
        <v>126</v>
      </c>
      <c r="E603" t="s">
        <v>246</v>
      </c>
      <c r="F603" t="s">
        <v>261</v>
      </c>
      <c r="G603" s="3">
        <v>220</v>
      </c>
      <c r="H603" s="365">
        <v>27</v>
      </c>
      <c r="I603" s="365">
        <v>5940</v>
      </c>
      <c r="J603" t="s">
        <v>209</v>
      </c>
    </row>
    <row r="604" spans="1:10">
      <c r="A604" t="str">
        <f>IF(LEFT(E604,1)="1","SOL",IF(LEFT(E604,1)="2","CO",IF(LEFT(E604,1)="3","ALM",IF(LEFT(E604,1)="4","FAC","TRX")))) &amp; "-" &amp; B604 &amp; "-" &amp; TEXT(COUNTIFS($E$2:$E604,E604,$B$2:$B604,B604),"000")</f>
        <v>CO-26-075</v>
      </c>
      <c r="B604">
        <v>26</v>
      </c>
      <c r="C604" s="364">
        <v>46199</v>
      </c>
      <c r="D604" t="s">
        <v>126</v>
      </c>
      <c r="E604" t="s">
        <v>246</v>
      </c>
      <c r="F604" t="s">
        <v>253</v>
      </c>
      <c r="G604" s="3">
        <v>80</v>
      </c>
      <c r="H604" s="365">
        <v>27</v>
      </c>
      <c r="I604" s="365">
        <v>2160</v>
      </c>
      <c r="J604" t="s">
        <v>209</v>
      </c>
    </row>
    <row r="605" spans="1:10">
      <c r="A605" t="str">
        <f>IF(LEFT(E605,1)="1","SOL",IF(LEFT(E605,1)="2","CO",IF(LEFT(E605,1)="3","ALM",IF(LEFT(E605,1)="4","FAC","TRX")))) &amp; "-" &amp; B605 &amp; "-" &amp; TEXT(COUNTIFS($E$2:$E605,E605,$B$2:$B605,B605),"000")</f>
        <v>CO-26-076</v>
      </c>
      <c r="B605">
        <v>26</v>
      </c>
      <c r="C605" s="364">
        <v>46199</v>
      </c>
      <c r="D605" t="s">
        <v>126</v>
      </c>
      <c r="E605" t="s">
        <v>246</v>
      </c>
      <c r="F605" t="s">
        <v>223</v>
      </c>
      <c r="G605" s="3">
        <v>80</v>
      </c>
      <c r="H605" s="365">
        <v>27</v>
      </c>
      <c r="I605" s="365">
        <v>2160</v>
      </c>
      <c r="J605" t="s">
        <v>209</v>
      </c>
    </row>
    <row r="606" spans="1:10">
      <c r="A606" t="str">
        <f>IF(LEFT(E606,1)="1","SOL",IF(LEFT(E606,1)="2","CO",IF(LEFT(E606,1)="3","ALM",IF(LEFT(E606,1)="4","FAC","TRX")))) &amp; "-" &amp; B606 &amp; "-" &amp; TEXT(COUNTIFS($E$2:$E606,E606,$B$2:$B606,B606),"000")</f>
        <v>CO-26-077</v>
      </c>
      <c r="B606">
        <v>26</v>
      </c>
      <c r="C606" s="364">
        <v>46199</v>
      </c>
      <c r="D606" t="s">
        <v>1</v>
      </c>
      <c r="E606" t="s">
        <v>246</v>
      </c>
      <c r="F606" t="s">
        <v>213</v>
      </c>
      <c r="G606" s="3">
        <v>200</v>
      </c>
      <c r="H606" s="365">
        <v>27</v>
      </c>
      <c r="I606" s="365">
        <v>5400</v>
      </c>
      <c r="J606" t="s">
        <v>209</v>
      </c>
    </row>
    <row r="607" spans="1:10">
      <c r="A607" t="str">
        <f>IF(LEFT(E607,1)="1","SOL",IF(LEFT(E607,1)="2","CO",IF(LEFT(E607,1)="3","ALM",IF(LEFT(E607,1)="4","FAC","TRX")))) &amp; "-" &amp; B607 &amp; "-" &amp; TEXT(COUNTIFS($E$2:$E607,E607,$B$2:$B607,B607),"000")</f>
        <v>CO-26-078</v>
      </c>
      <c r="B607">
        <v>26</v>
      </c>
      <c r="C607" s="364">
        <v>46199</v>
      </c>
      <c r="D607" t="s">
        <v>140</v>
      </c>
      <c r="E607" t="s">
        <v>246</v>
      </c>
      <c r="F607" t="s">
        <v>254</v>
      </c>
      <c r="G607" s="3">
        <v>200</v>
      </c>
      <c r="H607" s="365">
        <v>27</v>
      </c>
      <c r="I607" s="365">
        <v>5400</v>
      </c>
      <c r="J607" t="s">
        <v>209</v>
      </c>
    </row>
    <row r="608" spans="1:10">
      <c r="A608" t="str">
        <f>IF(LEFT(E608,1)="1","SOL",IF(LEFT(E608,1)="2","CO",IF(LEFT(E608,1)="3","ALM",IF(LEFT(E608,1)="4","FAC","TRX")))) &amp; "-" &amp; B608 &amp; "-" &amp; TEXT(COUNTIFS($E$2:$E608,E608,$B$2:$B608,B608),"000")</f>
        <v>CO-26-079</v>
      </c>
      <c r="B608">
        <v>26</v>
      </c>
      <c r="C608" s="364">
        <v>46199</v>
      </c>
      <c r="D608" t="s">
        <v>289</v>
      </c>
      <c r="E608" t="s">
        <v>246</v>
      </c>
      <c r="F608" t="s">
        <v>296</v>
      </c>
      <c r="G608" s="3">
        <v>160</v>
      </c>
      <c r="H608" s="365">
        <v>27</v>
      </c>
      <c r="I608" s="365">
        <v>4320</v>
      </c>
      <c r="J608" t="s">
        <v>209</v>
      </c>
    </row>
    <row r="609" spans="1:11">
      <c r="A609" t="str">
        <f>IF(LEFT(E609,1)="1","SOL",IF(LEFT(E609,1)="2","CO",IF(LEFT(E609,1)="3","ALM",IF(LEFT(E609,1)="4","FAC","TRX")))) &amp; "-" &amp; B609 &amp; "-" &amp; TEXT(COUNTIFS($E$2:$E609,E609,$B$2:$B609,B609),"000")</f>
        <v>FAC-26-012</v>
      </c>
      <c r="B609">
        <v>26</v>
      </c>
      <c r="C609" s="364">
        <v>46199</v>
      </c>
      <c r="D609" t="s">
        <v>1</v>
      </c>
      <c r="E609" t="s">
        <v>301</v>
      </c>
      <c r="F609" t="s">
        <v>317</v>
      </c>
      <c r="G609" s="3">
        <v>480</v>
      </c>
      <c r="H609" s="365">
        <v>30.937666666666665</v>
      </c>
      <c r="I609" s="365">
        <v>14850.08</v>
      </c>
      <c r="J609" t="s">
        <v>209</v>
      </c>
      <c r="K609" t="s">
        <v>303</v>
      </c>
    </row>
    <row r="610" spans="1:11">
      <c r="A610" t="str">
        <f>IF(LEFT(E610,1)="1","SOL",IF(LEFT(E610,1)="2","CO",IF(LEFT(E610,1)="3","ALM",IF(LEFT(E610,1)="4","FAC","TRX")))) &amp; "-" &amp; B610 &amp; "-" &amp; TEXT(COUNTIFS($E$2:$E610,E610,$B$2:$B610,B610),"000")</f>
        <v>SOL-26-142</v>
      </c>
      <c r="B610">
        <v>26</v>
      </c>
      <c r="C610" s="364">
        <v>46200</v>
      </c>
      <c r="D610" t="s">
        <v>140</v>
      </c>
      <c r="E610" t="s">
        <v>208</v>
      </c>
      <c r="F610" t="s">
        <v>223</v>
      </c>
      <c r="G610" s="3">
        <v>100</v>
      </c>
      <c r="H610" s="365">
        <v>27</v>
      </c>
      <c r="I610" s="365">
        <v>2700</v>
      </c>
      <c r="J610" t="s">
        <v>209</v>
      </c>
      <c r="K610">
        <v>27</v>
      </c>
    </row>
    <row r="611" spans="1:11">
      <c r="A611" t="str">
        <f>IF(LEFT(E611,1)="1","SOL",IF(LEFT(E611,1)="2","CO",IF(LEFT(E611,1)="3","ALM",IF(LEFT(E611,1)="4","FAC","TRX")))) &amp; "-" &amp; B611 &amp; "-" &amp; TEXT(COUNTIFS($E$2:$E611,E611,$B$2:$B611,B611),"000")</f>
        <v>CO-26-080</v>
      </c>
      <c r="B611">
        <v>26</v>
      </c>
      <c r="C611" s="364">
        <v>46200</v>
      </c>
      <c r="D611" t="s">
        <v>1</v>
      </c>
      <c r="E611" t="s">
        <v>246</v>
      </c>
      <c r="F611" t="s">
        <v>242</v>
      </c>
      <c r="G611" s="3">
        <v>24</v>
      </c>
      <c r="H611" s="365">
        <v>27</v>
      </c>
      <c r="I611" s="365">
        <v>648</v>
      </c>
      <c r="J611" t="s">
        <v>209</v>
      </c>
    </row>
    <row r="612" spans="1:11">
      <c r="A612" t="str">
        <f>IF(LEFT(E612,1)="1","SOL",IF(LEFT(E612,1)="2","CO",IF(LEFT(E612,1)="3","ALM",IF(LEFT(E612,1)="4","FAC","TRX")))) &amp; "-" &amp; B612 &amp; "-" &amp; TEXT(COUNTIFS($E$2:$E612,E612,$B$2:$B612,B612),"000")</f>
        <v>CO-26-081</v>
      </c>
      <c r="B612">
        <v>26</v>
      </c>
      <c r="C612" s="364">
        <v>46200</v>
      </c>
      <c r="D612" t="s">
        <v>1</v>
      </c>
      <c r="E612" t="s">
        <v>246</v>
      </c>
      <c r="F612" t="s">
        <v>234</v>
      </c>
      <c r="G612" s="3">
        <v>50</v>
      </c>
      <c r="H612" s="365">
        <v>27</v>
      </c>
      <c r="I612" s="365">
        <v>1350</v>
      </c>
      <c r="J612" t="s">
        <v>209</v>
      </c>
    </row>
    <row r="613" spans="1:11">
      <c r="A613" t="str">
        <f>IF(LEFT(E613,1)="1","SOL",IF(LEFT(E613,1)="2","CO",IF(LEFT(E613,1)="3","ALM",IF(LEFT(E613,1)="4","FAC","TRX")))) &amp; "-" &amp; B613 &amp; "-" &amp; TEXT(COUNTIFS($E$2:$E613,E613,$B$2:$B613,B613),"000")</f>
        <v>CO-26-082</v>
      </c>
      <c r="B613">
        <v>26</v>
      </c>
      <c r="C613" s="364">
        <v>46200</v>
      </c>
      <c r="D613" t="s">
        <v>1</v>
      </c>
      <c r="E613" t="s">
        <v>246</v>
      </c>
      <c r="F613" t="s">
        <v>213</v>
      </c>
      <c r="G613" s="3">
        <v>118</v>
      </c>
      <c r="H613" s="365">
        <v>27</v>
      </c>
      <c r="I613" s="365">
        <v>3186</v>
      </c>
      <c r="J613" t="s">
        <v>209</v>
      </c>
    </row>
    <row r="614" spans="1:11">
      <c r="A614" t="str">
        <f>IF(LEFT(E614,1)="1","SOL",IF(LEFT(E614,1)="2","CO",IF(LEFT(E614,1)="3","ALM",IF(LEFT(E614,1)="4","FAC","TRX")))) &amp; "-" &amp; B614 &amp; "-" &amp; TEXT(COUNTIFS($E$2:$E614,E614,$B$2:$B614,B614),"000")</f>
        <v>CO-26-083</v>
      </c>
      <c r="B614">
        <v>26</v>
      </c>
      <c r="C614" s="364">
        <v>46200</v>
      </c>
      <c r="D614" t="s">
        <v>140</v>
      </c>
      <c r="E614" t="s">
        <v>246</v>
      </c>
      <c r="F614" t="s">
        <v>254</v>
      </c>
      <c r="G614" s="3">
        <v>100</v>
      </c>
      <c r="H614" s="365">
        <v>27</v>
      </c>
      <c r="I614" s="365">
        <v>2700</v>
      </c>
      <c r="J614" t="s">
        <v>209</v>
      </c>
    </row>
    <row r="615" spans="1:11">
      <c r="A615" t="str">
        <f>IF(LEFT(E615,1)="1","SOL",IF(LEFT(E615,1)="2","CO",IF(LEFT(E615,1)="3","ALM",IF(LEFT(E615,1)="4","FAC","TRX")))) &amp; "-" &amp; B615 &amp; "-" &amp; TEXT(COUNTIFS($E$2:$E615,E615,$B$2:$B615,B615),"000")</f>
        <v>CO-26-084</v>
      </c>
      <c r="B615">
        <v>26</v>
      </c>
      <c r="C615" s="364">
        <v>46200</v>
      </c>
      <c r="D615" t="s">
        <v>140</v>
      </c>
      <c r="E615" t="s">
        <v>246</v>
      </c>
      <c r="F615" t="s">
        <v>225</v>
      </c>
      <c r="G615" s="3">
        <v>60</v>
      </c>
      <c r="H615" s="365">
        <v>27</v>
      </c>
      <c r="I615" s="365">
        <v>1620</v>
      </c>
      <c r="J615" t="s">
        <v>209</v>
      </c>
    </row>
    <row r="616" spans="1:11">
      <c r="A616" t="str">
        <f>IF(LEFT(E616,1)="1","SOL",IF(LEFT(E616,1)="2","CO",IF(LEFT(E616,1)="3","ALM",IF(LEFT(E616,1)="4","FAC","TRX")))) &amp; "-" &amp; B616 &amp; "-" &amp; TEXT(COUNTIFS($E$2:$E616,E616,$B$2:$B616,B616),"000")</f>
        <v>CO-26-085</v>
      </c>
      <c r="B616">
        <v>26</v>
      </c>
      <c r="C616" s="364">
        <v>46200</v>
      </c>
      <c r="D616" t="s">
        <v>140</v>
      </c>
      <c r="E616" t="s">
        <v>246</v>
      </c>
      <c r="F616" t="s">
        <v>224</v>
      </c>
      <c r="G616" s="3">
        <v>40</v>
      </c>
      <c r="H616" s="365">
        <v>27</v>
      </c>
      <c r="I616" s="365">
        <v>1080</v>
      </c>
      <c r="J616" t="s">
        <v>209</v>
      </c>
    </row>
    <row r="617" spans="1:11">
      <c r="A617" t="str">
        <f>IF(LEFT(E617,1)="1","SOL",IF(LEFT(E617,1)="2","CO",IF(LEFT(E617,1)="3","ALM",IF(LEFT(E617,1)="4","FAC","TRX")))) &amp; "-" &amp; B617 &amp; "-" &amp; TEXT(COUNTIFS($E$2:$E617,E617,$B$2:$B617,B617),"000")</f>
        <v>CO-26-086</v>
      </c>
      <c r="B617">
        <v>26</v>
      </c>
      <c r="C617" s="364">
        <v>46200</v>
      </c>
      <c r="D617" t="s">
        <v>140</v>
      </c>
      <c r="E617" t="s">
        <v>246</v>
      </c>
      <c r="F617" t="s">
        <v>231</v>
      </c>
      <c r="G617" s="3">
        <v>200</v>
      </c>
      <c r="H617" s="365">
        <v>27</v>
      </c>
      <c r="I617" s="365">
        <v>5400</v>
      </c>
      <c r="J617" t="s">
        <v>209</v>
      </c>
    </row>
    <row r="618" spans="1:11">
      <c r="A618" t="str">
        <f>IF(LEFT(E618,1)="1","SOL",IF(LEFT(E618,1)="2","CO",IF(LEFT(E618,1)="3","ALM",IF(LEFT(E618,1)="4","FAC","TRX")))) &amp; "-" &amp; B618 &amp; "-" &amp; TEXT(COUNTIFS($E$2:$E618,E618,$B$2:$B618,B618),"000")</f>
        <v>CO-26-087</v>
      </c>
      <c r="B618">
        <v>26</v>
      </c>
      <c r="C618" s="364">
        <v>46200</v>
      </c>
      <c r="D618" t="s">
        <v>140</v>
      </c>
      <c r="E618" t="s">
        <v>246</v>
      </c>
      <c r="F618" t="s">
        <v>262</v>
      </c>
      <c r="G618" s="3">
        <v>200</v>
      </c>
      <c r="H618" s="365">
        <v>27</v>
      </c>
      <c r="I618" s="365">
        <v>5400</v>
      </c>
      <c r="J618" t="s">
        <v>209</v>
      </c>
    </row>
    <row r="619" spans="1:11">
      <c r="A619" t="str">
        <f>IF(LEFT(E619,1)="1","SOL",IF(LEFT(E619,1)="2","CO",IF(LEFT(E619,1)="3","ALM",IF(LEFT(E619,1)="4","FAC","TRX")))) &amp; "-" &amp; B619 &amp; "-" &amp; TEXT(COUNTIFS($E$2:$E619,E619,$B$2:$B619,B619),"000")</f>
        <v>CO-26-088</v>
      </c>
      <c r="B619">
        <v>26</v>
      </c>
      <c r="C619" s="364">
        <v>46200</v>
      </c>
      <c r="D619" t="s">
        <v>289</v>
      </c>
      <c r="E619" t="s">
        <v>246</v>
      </c>
      <c r="F619" t="s">
        <v>296</v>
      </c>
      <c r="G619" s="3">
        <v>108</v>
      </c>
      <c r="H619" s="365">
        <v>27</v>
      </c>
      <c r="I619" s="365">
        <v>2916</v>
      </c>
      <c r="J619" t="s">
        <v>209</v>
      </c>
    </row>
    <row r="620" spans="1:11">
      <c r="A620" t="str">
        <f>IF(LEFT(E620,1)="1","SOL",IF(LEFT(E620,1)="2","CO",IF(LEFT(E620,1)="3","ALM",IF(LEFT(E620,1)="4","FAC","TRX")))) &amp; "-" &amp; B620 &amp; "-" &amp; TEXT(COUNTIFS($E$2:$E620,E620,$B$2:$B620,B620),"000")</f>
        <v>SOL-27-001</v>
      </c>
      <c r="B620">
        <v>27</v>
      </c>
      <c r="C620" s="364">
        <v>46202</v>
      </c>
      <c r="D620" t="s">
        <v>235</v>
      </c>
      <c r="E620" t="s">
        <v>208</v>
      </c>
      <c r="F620" t="s">
        <v>236</v>
      </c>
      <c r="G620" s="3">
        <v>300</v>
      </c>
      <c r="H620" s="365">
        <v>27</v>
      </c>
      <c r="I620" s="365">
        <v>8100</v>
      </c>
      <c r="J620" t="s">
        <v>209</v>
      </c>
      <c r="K620">
        <v>23.95</v>
      </c>
    </row>
    <row r="621" spans="1:11">
      <c r="A621" t="str">
        <f>IF(LEFT(E621,1)="1","SOL",IF(LEFT(E621,1)="2","CO",IF(LEFT(E621,1)="3","ALM",IF(LEFT(E621,1)="4","FAC","TRX")))) &amp; "-" &amp; B621 &amp; "-" &amp; TEXT(COUNTIFS($E$2:$E621,E621,$B$2:$B621,B621),"000")</f>
        <v>SOL-27-002</v>
      </c>
      <c r="B621">
        <v>27</v>
      </c>
      <c r="C621" s="364">
        <v>46202</v>
      </c>
      <c r="D621" t="s">
        <v>235</v>
      </c>
      <c r="E621" t="s">
        <v>208</v>
      </c>
      <c r="F621" t="s">
        <v>237</v>
      </c>
      <c r="G621" s="3">
        <v>100</v>
      </c>
      <c r="H621" s="365">
        <v>27</v>
      </c>
      <c r="I621" s="365">
        <v>2700</v>
      </c>
      <c r="J621" t="s">
        <v>209</v>
      </c>
      <c r="K621">
        <v>23.95</v>
      </c>
    </row>
    <row r="622" spans="1:11">
      <c r="A622" t="str">
        <f>IF(LEFT(E622,1)="1","SOL",IF(LEFT(E622,1)="2","CO",IF(LEFT(E622,1)="3","ALM",IF(LEFT(E622,1)="4","FAC","TRX")))) &amp; "-" &amp; B622 &amp; "-" &amp; TEXT(COUNTIFS($E$2:$E622,E622,$B$2:$B622,B622),"000")</f>
        <v>SOL-27-003</v>
      </c>
      <c r="B622">
        <v>27</v>
      </c>
      <c r="C622" s="364">
        <v>46202</v>
      </c>
      <c r="D622" t="s">
        <v>235</v>
      </c>
      <c r="E622" t="s">
        <v>208</v>
      </c>
      <c r="F622" t="s">
        <v>238</v>
      </c>
      <c r="G622" s="3">
        <v>100</v>
      </c>
      <c r="H622" s="365">
        <v>27</v>
      </c>
      <c r="I622" s="365">
        <v>2700</v>
      </c>
      <c r="J622" t="s">
        <v>209</v>
      </c>
      <c r="K622">
        <v>23.95</v>
      </c>
    </row>
    <row r="623" spans="1:11">
      <c r="A623" t="str">
        <f>IF(LEFT(E623,1)="1","SOL",IF(LEFT(E623,1)="2","CO",IF(LEFT(E623,1)="3","ALM",IF(LEFT(E623,1)="4","FAC","TRX")))) &amp; "-" &amp; B623 &amp; "-" &amp; TEXT(COUNTIFS($E$2:$E623,E623,$B$2:$B623,B623),"000")</f>
        <v>SOL-27-004</v>
      </c>
      <c r="B623">
        <v>27</v>
      </c>
      <c r="C623" s="364">
        <v>46202</v>
      </c>
      <c r="D623" t="s">
        <v>235</v>
      </c>
      <c r="E623" t="s">
        <v>208</v>
      </c>
      <c r="F623" t="s">
        <v>239</v>
      </c>
      <c r="G623" s="3">
        <v>100</v>
      </c>
      <c r="H623" s="365">
        <v>27</v>
      </c>
      <c r="I623" s="365">
        <v>2700</v>
      </c>
      <c r="J623" t="s">
        <v>209</v>
      </c>
      <c r="K623">
        <v>23.95</v>
      </c>
    </row>
    <row r="624" spans="1:11">
      <c r="A624" t="str">
        <f>IF(LEFT(E624,1)="1","SOL",IF(LEFT(E624,1)="2","CO",IF(LEFT(E624,1)="3","ALM",IF(LEFT(E624,1)="4","FAC","TRX")))) &amp; "-" &amp; B624 &amp; "-" &amp; TEXT(COUNTIFS($E$2:$E624,E624,$B$2:$B624,B624),"000")</f>
        <v>SOL-27-005</v>
      </c>
      <c r="B624">
        <v>27</v>
      </c>
      <c r="C624" s="364">
        <v>46202</v>
      </c>
      <c r="D624" t="s">
        <v>1</v>
      </c>
      <c r="E624" t="s">
        <v>208</v>
      </c>
      <c r="F624" t="s">
        <v>213</v>
      </c>
      <c r="G624" s="3">
        <v>250</v>
      </c>
      <c r="H624" s="365">
        <v>27</v>
      </c>
      <c r="I624" s="365">
        <v>6750</v>
      </c>
      <c r="J624" t="s">
        <v>209</v>
      </c>
      <c r="K624">
        <v>23.95</v>
      </c>
    </row>
    <row r="625" spans="1:11">
      <c r="A625" t="str">
        <f>IF(LEFT(E625,1)="1","SOL",IF(LEFT(E625,1)="2","CO",IF(LEFT(E625,1)="3","ALM",IF(LEFT(E625,1)="4","FAC","TRX")))) &amp; "-" &amp; B625 &amp; "-" &amp; TEXT(COUNTIFS($E$2:$E625,E625,$B$2:$B625,B625),"000")</f>
        <v>SOL-27-006</v>
      </c>
      <c r="B625">
        <v>27</v>
      </c>
      <c r="C625" s="364">
        <v>46202</v>
      </c>
      <c r="D625" t="s">
        <v>1</v>
      </c>
      <c r="E625" t="s">
        <v>208</v>
      </c>
      <c r="F625" t="s">
        <v>216</v>
      </c>
      <c r="G625" s="3">
        <v>120</v>
      </c>
      <c r="H625" s="365">
        <v>27</v>
      </c>
      <c r="I625" s="365">
        <v>3240</v>
      </c>
      <c r="J625" t="s">
        <v>209</v>
      </c>
      <c r="K625">
        <v>23.95</v>
      </c>
    </row>
    <row r="626" spans="1:11">
      <c r="A626" t="str">
        <f>IF(LEFT(E626,1)="1","SOL",IF(LEFT(E626,1)="2","CO",IF(LEFT(E626,1)="3","ALM",IF(LEFT(E626,1)="4","FAC","TRX")))) &amp; "-" &amp; B626 &amp; "-" &amp; TEXT(COUNTIFS($E$2:$E626,E626,$B$2:$B626,B626),"000")</f>
        <v>SOL-27-007</v>
      </c>
      <c r="B626">
        <v>27</v>
      </c>
      <c r="C626" s="364">
        <v>46202</v>
      </c>
      <c r="D626" t="s">
        <v>1</v>
      </c>
      <c r="E626" t="s">
        <v>208</v>
      </c>
      <c r="F626" t="s">
        <v>241</v>
      </c>
      <c r="G626" s="3">
        <v>50</v>
      </c>
      <c r="H626" s="365">
        <v>27</v>
      </c>
      <c r="I626" s="365">
        <v>1350</v>
      </c>
      <c r="J626" t="s">
        <v>209</v>
      </c>
      <c r="K626">
        <v>23.95</v>
      </c>
    </row>
    <row r="627" spans="1:11">
      <c r="A627" t="str">
        <f>IF(LEFT(E627,1)="1","SOL",IF(LEFT(E627,1)="2","CO",IF(LEFT(E627,1)="3","ALM",IF(LEFT(E627,1)="4","FAC","TRX")))) &amp; "-" &amp; B627 &amp; "-" &amp; TEXT(COUNTIFS($E$2:$E627,E627,$B$2:$B627,B627),"000")</f>
        <v>SOL-27-008</v>
      </c>
      <c r="B627">
        <v>27</v>
      </c>
      <c r="C627" s="364">
        <v>46202</v>
      </c>
      <c r="D627" t="s">
        <v>1</v>
      </c>
      <c r="E627" t="s">
        <v>208</v>
      </c>
      <c r="F627" t="s">
        <v>241</v>
      </c>
      <c r="G627" s="3">
        <v>50</v>
      </c>
      <c r="H627" s="365">
        <v>27</v>
      </c>
      <c r="I627" s="365">
        <v>1350</v>
      </c>
      <c r="J627" t="s">
        <v>209</v>
      </c>
      <c r="K627">
        <v>23.95</v>
      </c>
    </row>
    <row r="628" spans="1:11">
      <c r="A628" t="str">
        <f>IF(LEFT(E628,1)="1","SOL",IF(LEFT(E628,1)="2","CO",IF(LEFT(E628,1)="3","ALM",IF(LEFT(E628,1)="4","FAC","TRX")))) &amp; "-" &amp; B628 &amp; "-" &amp; TEXT(COUNTIFS($E$2:$E628,E628,$B$2:$B628,B628),"000")</f>
        <v>SOL-27-009</v>
      </c>
      <c r="B628">
        <v>27</v>
      </c>
      <c r="C628" s="364">
        <v>46202</v>
      </c>
      <c r="D628" t="s">
        <v>1</v>
      </c>
      <c r="E628" t="s">
        <v>208</v>
      </c>
      <c r="F628" t="s">
        <v>218</v>
      </c>
      <c r="G628" s="3">
        <v>50</v>
      </c>
      <c r="H628" s="365">
        <v>27</v>
      </c>
      <c r="I628" s="365">
        <v>1350</v>
      </c>
      <c r="J628" t="s">
        <v>209</v>
      </c>
      <c r="K628">
        <v>23.95</v>
      </c>
    </row>
    <row r="629" spans="1:11">
      <c r="A629" t="str">
        <f>IF(LEFT(E629,1)="1","SOL",IF(LEFT(E629,1)="2","CO",IF(LEFT(E629,1)="3","ALM",IF(LEFT(E629,1)="4","FAC","TRX")))) &amp; "-" &amp; B629 &amp; "-" &amp; TEXT(COUNTIFS($E$2:$E629,E629,$B$2:$B629,B629),"000")</f>
        <v>SOL-27-010</v>
      </c>
      <c r="B629">
        <v>27</v>
      </c>
      <c r="C629" s="364">
        <v>46202</v>
      </c>
      <c r="D629" t="s">
        <v>1</v>
      </c>
      <c r="E629" t="s">
        <v>208</v>
      </c>
      <c r="F629" t="s">
        <v>227</v>
      </c>
      <c r="G629" s="3">
        <v>50</v>
      </c>
      <c r="H629" s="365">
        <v>27</v>
      </c>
      <c r="I629" s="365">
        <v>1350</v>
      </c>
      <c r="J629" t="s">
        <v>209</v>
      </c>
      <c r="K629">
        <v>23.95</v>
      </c>
    </row>
    <row r="630" spans="1:11">
      <c r="A630" t="str">
        <f>IF(LEFT(E630,1)="1","SOL",IF(LEFT(E630,1)="2","CO",IF(LEFT(E630,1)="3","ALM",IF(LEFT(E630,1)="4","FAC","TRX")))) &amp; "-" &amp; B630 &amp; "-" &amp; TEXT(COUNTIFS($E$2:$E630,E630,$B$2:$B630,B630),"000")</f>
        <v>SOL-27-011</v>
      </c>
      <c r="B630">
        <v>27</v>
      </c>
      <c r="C630" s="364">
        <v>46202</v>
      </c>
      <c r="D630" t="s">
        <v>1</v>
      </c>
      <c r="E630" t="s">
        <v>208</v>
      </c>
      <c r="F630" t="s">
        <v>242</v>
      </c>
      <c r="G630" s="3">
        <v>30</v>
      </c>
      <c r="H630" s="365">
        <v>27</v>
      </c>
      <c r="I630" s="365">
        <v>810</v>
      </c>
      <c r="J630" t="s">
        <v>209</v>
      </c>
      <c r="K630">
        <v>23.95</v>
      </c>
    </row>
    <row r="631" spans="1:11">
      <c r="A631" t="str">
        <f>IF(LEFT(E631,1)="1","SOL",IF(LEFT(E631,1)="2","CO",IF(LEFT(E631,1)="3","ALM",IF(LEFT(E631,1)="4","FAC","TRX")))) &amp; "-" &amp; B631 &amp; "-" &amp; TEXT(COUNTIFS($E$2:$E631,E631,$B$2:$B631,B631),"000")</f>
        <v>SOL-27-012</v>
      </c>
      <c r="B631">
        <v>27</v>
      </c>
      <c r="C631" s="364">
        <v>46202</v>
      </c>
      <c r="D631" t="s">
        <v>1</v>
      </c>
      <c r="E631" t="s">
        <v>208</v>
      </c>
      <c r="F631" t="s">
        <v>215</v>
      </c>
      <c r="G631" s="3">
        <v>60</v>
      </c>
      <c r="H631" s="365">
        <v>27</v>
      </c>
      <c r="I631" s="365">
        <v>1620</v>
      </c>
      <c r="J631" t="s">
        <v>209</v>
      </c>
      <c r="K631">
        <v>23.95</v>
      </c>
    </row>
    <row r="632" spans="1:11">
      <c r="A632" t="str">
        <f>IF(LEFT(E632,1)="1","SOL",IF(LEFT(E632,1)="2","CO",IF(LEFT(E632,1)="3","ALM",IF(LEFT(E632,1)="4","FAC","TRX")))) &amp; "-" &amp; B632 &amp; "-" &amp; TEXT(COUNTIFS($E$2:$E632,E632,$B$2:$B632,B632),"000")</f>
        <v>SOL-27-013</v>
      </c>
      <c r="B632">
        <v>27</v>
      </c>
      <c r="C632" s="364">
        <v>46202</v>
      </c>
      <c r="D632" t="s">
        <v>1</v>
      </c>
      <c r="E632" t="s">
        <v>208</v>
      </c>
      <c r="F632" t="s">
        <v>221</v>
      </c>
      <c r="G632" s="3">
        <v>50</v>
      </c>
      <c r="H632" s="365">
        <v>27</v>
      </c>
      <c r="I632" s="365">
        <v>1350</v>
      </c>
      <c r="J632" t="s">
        <v>209</v>
      </c>
      <c r="K632">
        <v>23.95</v>
      </c>
    </row>
    <row r="633" spans="1:11">
      <c r="A633" t="str">
        <f>IF(LEFT(E633,1)="1","SOL",IF(LEFT(E633,1)="2","CO",IF(LEFT(E633,1)="3","ALM",IF(LEFT(E633,1)="4","FAC","TRX")))) &amp; "-" &amp; B633 &amp; "-" &amp; TEXT(COUNTIFS($E$2:$E633,E633,$B$2:$B633,B633),"000")</f>
        <v>SOL-27-014</v>
      </c>
      <c r="B633">
        <v>27</v>
      </c>
      <c r="C633" s="364">
        <v>46202</v>
      </c>
      <c r="D633" t="s">
        <v>126</v>
      </c>
      <c r="E633" t="s">
        <v>208</v>
      </c>
      <c r="F633" t="s">
        <v>223</v>
      </c>
      <c r="G633" s="3">
        <v>100</v>
      </c>
      <c r="H633" s="365">
        <v>27</v>
      </c>
      <c r="I633" s="365">
        <v>2700</v>
      </c>
      <c r="J633" t="s">
        <v>209</v>
      </c>
      <c r="K633">
        <v>23.95</v>
      </c>
    </row>
    <row r="634" spans="1:11">
      <c r="A634" t="str">
        <f>IF(LEFT(E634,1)="1","SOL",IF(LEFT(E634,1)="2","CO",IF(LEFT(E634,1)="3","ALM",IF(LEFT(E634,1)="4","FAC","TRX")))) &amp; "-" &amp; B634 &amp; "-" &amp; TEXT(COUNTIFS($E$2:$E634,E634,$B$2:$B634,B634),"000")</f>
        <v>SOL-27-015</v>
      </c>
      <c r="B634">
        <v>27</v>
      </c>
      <c r="C634" s="364">
        <v>46202</v>
      </c>
      <c r="D634" t="s">
        <v>126</v>
      </c>
      <c r="E634" t="s">
        <v>208</v>
      </c>
      <c r="F634" t="s">
        <v>243</v>
      </c>
      <c r="G634" s="3">
        <v>5</v>
      </c>
      <c r="H634" s="365">
        <v>27</v>
      </c>
      <c r="I634" s="365">
        <v>135</v>
      </c>
      <c r="J634" t="s">
        <v>209</v>
      </c>
      <c r="K634">
        <v>23.95</v>
      </c>
    </row>
    <row r="635" spans="1:11">
      <c r="A635" t="str">
        <f>IF(LEFT(E635,1)="1","SOL",IF(LEFT(E635,1)="2","CO",IF(LEFT(E635,1)="3","ALM",IF(LEFT(E635,1)="4","FAC","TRX")))) &amp; "-" &amp; B635 &amp; "-" &amp; TEXT(COUNTIFS($E$2:$E635,E635,$B$2:$B635,B635),"000")</f>
        <v>CO-27-001</v>
      </c>
      <c r="B635">
        <v>27</v>
      </c>
      <c r="C635" s="364">
        <v>46202</v>
      </c>
      <c r="D635" t="s">
        <v>1</v>
      </c>
      <c r="E635" t="s">
        <v>246</v>
      </c>
      <c r="F635" t="s">
        <v>251</v>
      </c>
      <c r="G635" s="3">
        <v>102</v>
      </c>
      <c r="H635" s="365">
        <v>27</v>
      </c>
      <c r="I635" s="365">
        <v>2754</v>
      </c>
      <c r="J635" t="s">
        <v>209</v>
      </c>
    </row>
    <row r="636" spans="1:11">
      <c r="A636" t="str">
        <f>IF(LEFT(E636,1)="1","SOL",IF(LEFT(E636,1)="2","CO",IF(LEFT(E636,1)="3","ALM",IF(LEFT(E636,1)="4","FAC","TRX")))) &amp; "-" &amp; B636 &amp; "-" &amp; TEXT(COUNTIFS($E$2:$E636,E636,$B$2:$B636,B636),"000")</f>
        <v>CO-27-002</v>
      </c>
      <c r="B636">
        <v>27</v>
      </c>
      <c r="C636" s="364">
        <v>46202</v>
      </c>
      <c r="D636" t="s">
        <v>1</v>
      </c>
      <c r="E636" t="s">
        <v>246</v>
      </c>
      <c r="F636" t="s">
        <v>241</v>
      </c>
      <c r="G636" s="3">
        <v>41</v>
      </c>
      <c r="H636" s="365">
        <v>27</v>
      </c>
      <c r="I636" s="365">
        <v>1107</v>
      </c>
      <c r="J636" t="s">
        <v>209</v>
      </c>
    </row>
    <row r="637" spans="1:11">
      <c r="A637" t="str">
        <f>IF(LEFT(E637,1)="1","SOL",IF(LEFT(E637,1)="2","CO",IF(LEFT(E637,1)="3","ALM",IF(LEFT(E637,1)="4","FAC","TRX")))) &amp; "-" &amp; B637 &amp; "-" &amp; TEXT(COUNTIFS($E$2:$E637,E637,$B$2:$B637,B637),"000")</f>
        <v>CO-27-003</v>
      </c>
      <c r="B637">
        <v>27</v>
      </c>
      <c r="C637" s="364">
        <v>46202</v>
      </c>
      <c r="D637" t="s">
        <v>1</v>
      </c>
      <c r="E637" t="s">
        <v>246</v>
      </c>
      <c r="F637" t="s">
        <v>253</v>
      </c>
      <c r="G637" s="3">
        <v>23</v>
      </c>
      <c r="H637" s="365">
        <v>27</v>
      </c>
      <c r="I637" s="365">
        <v>621</v>
      </c>
      <c r="J637" t="s">
        <v>209</v>
      </c>
    </row>
    <row r="638" spans="1:11">
      <c r="A638" t="str">
        <f>IF(LEFT(E638,1)="1","SOL",IF(LEFT(E638,1)="2","CO",IF(LEFT(E638,1)="3","ALM",IF(LEFT(E638,1)="4","FAC","TRX")))) &amp; "-" &amp; B638 &amp; "-" &amp; TEXT(COUNTIFS($E$2:$E638,E638,$B$2:$B638,B638),"000")</f>
        <v>CO-27-004</v>
      </c>
      <c r="B638">
        <v>27</v>
      </c>
      <c r="C638" s="364">
        <v>46202</v>
      </c>
      <c r="D638" t="s">
        <v>1</v>
      </c>
      <c r="E638" t="s">
        <v>246</v>
      </c>
      <c r="F638" t="s">
        <v>249</v>
      </c>
      <c r="G638" s="3">
        <v>60</v>
      </c>
      <c r="H638" s="365">
        <v>27</v>
      </c>
      <c r="I638" s="365">
        <v>1620</v>
      </c>
      <c r="J638" t="s">
        <v>209</v>
      </c>
    </row>
    <row r="639" spans="1:11">
      <c r="A639" t="str">
        <f>IF(LEFT(E639,1)="1","SOL",IF(LEFT(E639,1)="2","CO",IF(LEFT(E639,1)="3","ALM",IF(LEFT(E639,1)="4","FAC","TRX")))) &amp; "-" &amp; B639 &amp; "-" &amp; TEXT(COUNTIFS($E$2:$E639,E639,$B$2:$B639,B639),"000")</f>
        <v>CO-27-005</v>
      </c>
      <c r="B639">
        <v>27</v>
      </c>
      <c r="C639" s="364">
        <v>46202</v>
      </c>
      <c r="D639" t="s">
        <v>1</v>
      </c>
      <c r="E639" t="s">
        <v>246</v>
      </c>
      <c r="F639" t="s">
        <v>213</v>
      </c>
      <c r="G639" s="3">
        <v>97</v>
      </c>
      <c r="H639" s="365">
        <v>27</v>
      </c>
      <c r="I639" s="365">
        <v>2619</v>
      </c>
      <c r="J639" t="s">
        <v>209</v>
      </c>
    </row>
    <row r="640" spans="1:11">
      <c r="A640" t="str">
        <f>IF(LEFT(E640,1)="1","SOL",IF(LEFT(E640,1)="2","CO",IF(LEFT(E640,1)="3","ALM",IF(LEFT(E640,1)="4","FAC","TRX")))) &amp; "-" &amp; B640 &amp; "-" &amp; TEXT(COUNTIFS($E$2:$E640,E640,$B$2:$B640,B640),"000")</f>
        <v>CO-27-006</v>
      </c>
      <c r="B640">
        <v>27</v>
      </c>
      <c r="C640" s="364">
        <v>46202</v>
      </c>
      <c r="D640" t="s">
        <v>2</v>
      </c>
      <c r="E640" t="s">
        <v>246</v>
      </c>
      <c r="F640" t="s">
        <v>250</v>
      </c>
      <c r="G640" s="3">
        <v>178</v>
      </c>
      <c r="H640" s="365">
        <v>27</v>
      </c>
      <c r="I640" s="365">
        <v>4806</v>
      </c>
      <c r="J640" t="s">
        <v>209</v>
      </c>
    </row>
    <row r="641" spans="1:11">
      <c r="A641" t="str">
        <f>IF(LEFT(E641,1)="1","SOL",IF(LEFT(E641,1)="2","CO",IF(LEFT(E641,1)="3","ALM",IF(LEFT(E641,1)="4","FAC","TRX")))) &amp; "-" &amp; B641 &amp; "-" &amp; TEXT(COUNTIFS($E$2:$E641,E641,$B$2:$B641,B641),"000")</f>
        <v>CO-27-007</v>
      </c>
      <c r="B641">
        <v>27</v>
      </c>
      <c r="C641" s="364">
        <v>46202</v>
      </c>
      <c r="D641" t="s">
        <v>2</v>
      </c>
      <c r="E641" t="s">
        <v>246</v>
      </c>
      <c r="F641" t="s">
        <v>226</v>
      </c>
      <c r="G641" s="3">
        <v>38</v>
      </c>
      <c r="H641" s="365">
        <v>27</v>
      </c>
      <c r="I641" s="365">
        <v>1026</v>
      </c>
      <c r="J641" t="s">
        <v>209</v>
      </c>
    </row>
    <row r="642" spans="1:11">
      <c r="A642" t="str">
        <f>IF(LEFT(E642,1)="1","SOL",IF(LEFT(E642,1)="2","CO",IF(LEFT(E642,1)="3","ALM",IF(LEFT(E642,1)="4","FAC","TRX")))) &amp; "-" &amp; B642 &amp; "-" &amp; TEXT(COUNTIFS($E$2:$E642,E642,$B$2:$B642,B642),"000")</f>
        <v>CO-27-008</v>
      </c>
      <c r="B642">
        <v>27</v>
      </c>
      <c r="C642" s="364">
        <v>46202</v>
      </c>
      <c r="D642" t="s">
        <v>1</v>
      </c>
      <c r="E642" t="s">
        <v>246</v>
      </c>
      <c r="F642" t="s">
        <v>252</v>
      </c>
      <c r="G642" s="3">
        <v>50</v>
      </c>
      <c r="H642" s="365">
        <v>27</v>
      </c>
      <c r="I642" s="365">
        <v>1350</v>
      </c>
      <c r="J642" t="s">
        <v>209</v>
      </c>
    </row>
    <row r="643" spans="1:11">
      <c r="A643" t="str">
        <f>IF(LEFT(E643,1)="1","SOL",IF(LEFT(E643,1)="2","CO",IF(LEFT(E643,1)="3","ALM",IF(LEFT(E643,1)="4","FAC","TRX")))) &amp; "-" &amp; B643 &amp; "-" &amp; TEXT(COUNTIFS($E$2:$E643,E643,$B$2:$B643,B643),"000")</f>
        <v>CO-27-009</v>
      </c>
      <c r="B643">
        <v>27</v>
      </c>
      <c r="C643" s="364">
        <v>46202</v>
      </c>
      <c r="D643" t="s">
        <v>140</v>
      </c>
      <c r="E643" t="s">
        <v>246</v>
      </c>
      <c r="F643" t="s">
        <v>254</v>
      </c>
      <c r="G643" s="3">
        <v>200</v>
      </c>
      <c r="H643" s="365">
        <v>27</v>
      </c>
      <c r="I643" s="365">
        <v>5400</v>
      </c>
      <c r="J643" t="s">
        <v>209</v>
      </c>
    </row>
    <row r="644" spans="1:11">
      <c r="A644" t="str">
        <f>IF(LEFT(E644,1)="1","SOL",IF(LEFT(E644,1)="2","CO",IF(LEFT(E644,1)="3","ALM",IF(LEFT(E644,1)="4","FAC","TRX")))) &amp; "-" &amp; B644 &amp; "-" &amp; TEXT(COUNTIFS($E$2:$E644,E644,$B$2:$B644,B644),"000")</f>
        <v>CO-27-010</v>
      </c>
      <c r="B644">
        <v>27</v>
      </c>
      <c r="C644" s="364">
        <v>46202</v>
      </c>
      <c r="D644" t="s">
        <v>140</v>
      </c>
      <c r="E644" t="s">
        <v>246</v>
      </c>
      <c r="F644" t="s">
        <v>254</v>
      </c>
      <c r="G644" s="3">
        <v>80</v>
      </c>
      <c r="H644" s="365">
        <v>27</v>
      </c>
      <c r="I644" s="365">
        <v>2160</v>
      </c>
      <c r="J644" t="s">
        <v>209</v>
      </c>
    </row>
    <row r="645" spans="1:11">
      <c r="A645" t="str">
        <f>IF(LEFT(E645,1)="1","SOL",IF(LEFT(E645,1)="2","CO",IF(LEFT(E645,1)="3","ALM",IF(LEFT(E645,1)="4","FAC","TRX")))) &amp; "-" &amp; B645 &amp; "-" &amp; TEXT(COUNTIFS($E$2:$E645,E645,$B$2:$B645,B645),"000")</f>
        <v>CO-27-011</v>
      </c>
      <c r="B645">
        <v>27</v>
      </c>
      <c r="C645" s="364">
        <v>46202</v>
      </c>
      <c r="D645" t="s">
        <v>140</v>
      </c>
      <c r="E645" t="s">
        <v>246</v>
      </c>
      <c r="F645" t="s">
        <v>222</v>
      </c>
      <c r="G645" s="3">
        <v>300</v>
      </c>
      <c r="H645" s="365">
        <v>27</v>
      </c>
      <c r="I645" s="365">
        <v>8100</v>
      </c>
      <c r="J645" t="s">
        <v>209</v>
      </c>
    </row>
    <row r="646" spans="1:11">
      <c r="A646" t="str">
        <f>IF(LEFT(E646,1)="1","SOL",IF(LEFT(E646,1)="2","CO",IF(LEFT(E646,1)="3","ALM",IF(LEFT(E646,1)="4","FAC","TRX")))) &amp; "-" &amp; B646 &amp; "-" &amp; TEXT(COUNTIFS($E$2:$E646,E646,$B$2:$B646,B646),"000")</f>
        <v>CO-27-012</v>
      </c>
      <c r="B646">
        <v>27</v>
      </c>
      <c r="C646" s="364">
        <v>46202</v>
      </c>
      <c r="D646" t="s">
        <v>2</v>
      </c>
      <c r="E646" t="s">
        <v>246</v>
      </c>
      <c r="F646" t="s">
        <v>226</v>
      </c>
      <c r="G646" s="3">
        <v>38</v>
      </c>
      <c r="H646" s="365">
        <v>27</v>
      </c>
      <c r="I646" s="365">
        <v>1026</v>
      </c>
      <c r="J646" t="s">
        <v>209</v>
      </c>
    </row>
    <row r="647" spans="1:11">
      <c r="A647" t="str">
        <f>IF(LEFT(E647,1)="1","SOL",IF(LEFT(E647,1)="2","CO",IF(LEFT(E647,1)="3","ALM",IF(LEFT(E647,1)="4","FAC","TRX")))) &amp; "-" &amp; B647 &amp; "-" &amp; TEXT(COUNTIFS($E$2:$E647,E647,$B$2:$B647,B647),"000")</f>
        <v>CO-27-013</v>
      </c>
      <c r="B647">
        <v>27</v>
      </c>
      <c r="C647" s="364">
        <v>46202</v>
      </c>
      <c r="D647" t="s">
        <v>130</v>
      </c>
      <c r="E647" t="s">
        <v>246</v>
      </c>
      <c r="F647" t="s">
        <v>231</v>
      </c>
      <c r="G647" s="3">
        <v>210</v>
      </c>
      <c r="H647" s="365">
        <v>27</v>
      </c>
      <c r="I647" s="365">
        <v>5670</v>
      </c>
      <c r="J647" t="s">
        <v>209</v>
      </c>
    </row>
    <row r="648" spans="1:11">
      <c r="A648" t="str">
        <f>IF(LEFT(E648,1)="1","SOL",IF(LEFT(E648,1)="2","CO",IF(LEFT(E648,1)="3","ALM",IF(LEFT(E648,1)="4","FAC","TRX")))) &amp; "-" &amp; B648 &amp; "-" &amp; TEXT(COUNTIFS($E$2:$E648,E648,$B$2:$B648,B648),"000")</f>
        <v>CO-27-014</v>
      </c>
      <c r="B648">
        <v>27</v>
      </c>
      <c r="C648" s="364">
        <v>46202</v>
      </c>
      <c r="D648" t="s">
        <v>130</v>
      </c>
      <c r="E648" t="s">
        <v>246</v>
      </c>
      <c r="F648" t="s">
        <v>233</v>
      </c>
      <c r="G648" s="3">
        <v>300</v>
      </c>
      <c r="H648" s="365">
        <v>27</v>
      </c>
      <c r="I648" s="365">
        <v>8100</v>
      </c>
      <c r="J648" t="s">
        <v>209</v>
      </c>
    </row>
    <row r="649" spans="1:11">
      <c r="A649" t="str">
        <f>IF(LEFT(E649,1)="1","SOL",IF(LEFT(E649,1)="2","CO",IF(LEFT(E649,1)="3","ALM",IF(LEFT(E649,1)="4","FAC","TRX")))) &amp; "-" &amp; B649 &amp; "-" &amp; TEXT(COUNTIFS($E$2:$E649,E649,$B$2:$B649,B649),"000")</f>
        <v>CO-27-015</v>
      </c>
      <c r="B649">
        <v>27</v>
      </c>
      <c r="C649" s="364">
        <v>46202</v>
      </c>
      <c r="D649" t="s">
        <v>256</v>
      </c>
      <c r="E649" t="s">
        <v>246</v>
      </c>
      <c r="F649" t="s">
        <v>252</v>
      </c>
      <c r="G649" s="3">
        <v>60</v>
      </c>
      <c r="H649" s="365">
        <v>27</v>
      </c>
      <c r="I649" s="365">
        <v>1620</v>
      </c>
      <c r="J649" t="s">
        <v>209</v>
      </c>
    </row>
    <row r="650" spans="1:11">
      <c r="A650" t="str">
        <f>IF(LEFT(E650,1)="1","SOL",IF(LEFT(E650,1)="2","CO",IF(LEFT(E650,1)="3","ALM",IF(LEFT(E650,1)="4","FAC","TRX")))) &amp; "-" &amp; B650 &amp; "-" &amp; TEXT(COUNTIFS($E$2:$E650,E650,$B$2:$B650,B650),"000")</f>
        <v>CO-27-016</v>
      </c>
      <c r="B650">
        <v>27</v>
      </c>
      <c r="C650" s="364">
        <v>46202</v>
      </c>
      <c r="D650" t="s">
        <v>2</v>
      </c>
      <c r="E650" t="s">
        <v>246</v>
      </c>
      <c r="F650" t="s">
        <v>252</v>
      </c>
      <c r="G650" s="3">
        <v>59</v>
      </c>
      <c r="H650" s="365">
        <v>27</v>
      </c>
      <c r="I650" s="365">
        <v>1593</v>
      </c>
      <c r="J650" t="s">
        <v>209</v>
      </c>
    </row>
    <row r="651" spans="1:11">
      <c r="A651" t="str">
        <f>IF(LEFT(E651,1)="1","SOL",IF(LEFT(E651,1)="2","CO",IF(LEFT(E651,1)="3","ALM",IF(LEFT(E651,1)="4","FAC","TRX")))) &amp; "-" &amp; B651 &amp; "-" &amp; TEXT(COUNTIFS($E$2:$E651,E651,$B$2:$B651,B651),"000")</f>
        <v>CO-27-017</v>
      </c>
      <c r="B651">
        <v>27</v>
      </c>
      <c r="C651" s="364">
        <v>46202</v>
      </c>
      <c r="D651" t="s">
        <v>2</v>
      </c>
      <c r="E651" t="s">
        <v>246</v>
      </c>
      <c r="F651" t="s">
        <v>234</v>
      </c>
      <c r="G651" s="3">
        <v>94</v>
      </c>
      <c r="H651" s="365">
        <v>27</v>
      </c>
      <c r="I651" s="365">
        <v>2538</v>
      </c>
      <c r="J651" t="s">
        <v>209</v>
      </c>
    </row>
    <row r="652" spans="1:11">
      <c r="A652" t="str">
        <f>IF(LEFT(E652,1)="1","SOL",IF(LEFT(E652,1)="2","CO",IF(LEFT(E652,1)="3","ALM",IF(LEFT(E652,1)="4","FAC","TRX")))) &amp; "-" &amp; B652 &amp; "-" &amp; TEXT(COUNTIFS($E$2:$E652,E652,$B$2:$B652,B652),"000")</f>
        <v>CO-27-018</v>
      </c>
      <c r="B652">
        <v>27</v>
      </c>
      <c r="C652" s="364">
        <v>46202</v>
      </c>
      <c r="D652" t="s">
        <v>126</v>
      </c>
      <c r="E652" t="s">
        <v>246</v>
      </c>
      <c r="F652" t="s">
        <v>249</v>
      </c>
      <c r="G652" s="3">
        <v>45</v>
      </c>
      <c r="H652" s="365">
        <v>27</v>
      </c>
      <c r="I652" s="365">
        <v>1215</v>
      </c>
      <c r="J652" t="s">
        <v>209</v>
      </c>
    </row>
    <row r="653" spans="1:11">
      <c r="A653" t="str">
        <f>IF(LEFT(E653,1)="1","SOL",IF(LEFT(E653,1)="2","CO",IF(LEFT(E653,1)="3","ALM",IF(LEFT(E653,1)="4","FAC","TRX")))) &amp; "-" &amp; B653 &amp; "-" &amp; TEXT(COUNTIFS($E$2:$E653,E653,$B$2:$B653,B653),"000")</f>
        <v>SOL-27-016</v>
      </c>
      <c r="B653">
        <v>27</v>
      </c>
      <c r="C653" s="364">
        <v>46203</v>
      </c>
      <c r="D653" t="s">
        <v>235</v>
      </c>
      <c r="E653" t="s">
        <v>208</v>
      </c>
      <c r="F653" t="s">
        <v>236</v>
      </c>
      <c r="G653" s="3">
        <v>300</v>
      </c>
      <c r="H653" s="365">
        <v>27</v>
      </c>
      <c r="I653" s="365">
        <v>8100</v>
      </c>
      <c r="J653" t="s">
        <v>209</v>
      </c>
      <c r="K653">
        <v>23.95</v>
      </c>
    </row>
    <row r="654" spans="1:11">
      <c r="A654" t="str">
        <f>IF(LEFT(E654,1)="1","SOL",IF(LEFT(E654,1)="2","CO",IF(LEFT(E654,1)="3","ALM",IF(LEFT(E654,1)="4","FAC","TRX")))) &amp; "-" &amp; B654 &amp; "-" &amp; TEXT(COUNTIFS($E$2:$E654,E654,$B$2:$B654,B654),"000")</f>
        <v>SOL-27-017</v>
      </c>
      <c r="B654">
        <v>27</v>
      </c>
      <c r="C654" s="364">
        <v>46203</v>
      </c>
      <c r="D654" t="s">
        <v>235</v>
      </c>
      <c r="E654" t="s">
        <v>208</v>
      </c>
      <c r="F654" t="s">
        <v>240</v>
      </c>
      <c r="G654" s="3">
        <v>50</v>
      </c>
      <c r="H654" s="365">
        <v>27</v>
      </c>
      <c r="I654" s="365">
        <v>1350</v>
      </c>
      <c r="J654" t="s">
        <v>209</v>
      </c>
      <c r="K654">
        <v>23.95</v>
      </c>
    </row>
    <row r="655" spans="1:11">
      <c r="A655" t="str">
        <f>IF(LEFT(E655,1)="1","SOL",IF(LEFT(E655,1)="2","CO",IF(LEFT(E655,1)="3","ALM",IF(LEFT(E655,1)="4","FAC","TRX")))) &amp; "-" &amp; B655 &amp; "-" &amp; TEXT(COUNTIFS($E$2:$E655,E655,$B$2:$B655,B655),"000")</f>
        <v>SOL-27-018</v>
      </c>
      <c r="B655">
        <v>27</v>
      </c>
      <c r="C655" s="364">
        <v>46203</v>
      </c>
      <c r="D655" t="s">
        <v>235</v>
      </c>
      <c r="E655" t="s">
        <v>208</v>
      </c>
      <c r="F655" t="s">
        <v>238</v>
      </c>
      <c r="G655" s="3">
        <v>100</v>
      </c>
      <c r="H655" s="365">
        <v>27</v>
      </c>
      <c r="I655" s="365">
        <v>2700</v>
      </c>
      <c r="J655" t="s">
        <v>209</v>
      </c>
      <c r="K655">
        <v>23.95</v>
      </c>
    </row>
    <row r="656" spans="1:11">
      <c r="A656" t="str">
        <f>IF(LEFT(E656,1)="1","SOL",IF(LEFT(E656,1)="2","CO",IF(LEFT(E656,1)="3","ALM",IF(LEFT(E656,1)="4","FAC","TRX")))) &amp; "-" &amp; B656 &amp; "-" &amp; TEXT(COUNTIFS($E$2:$E656,E656,$B$2:$B656,B656),"000")</f>
        <v>SOL-27-019</v>
      </c>
      <c r="B656">
        <v>27</v>
      </c>
      <c r="C656" s="364">
        <v>46203</v>
      </c>
      <c r="D656" t="s">
        <v>235</v>
      </c>
      <c r="E656" t="s">
        <v>208</v>
      </c>
      <c r="F656" t="s">
        <v>239</v>
      </c>
      <c r="G656" s="3">
        <v>100</v>
      </c>
      <c r="H656" s="365">
        <v>27</v>
      </c>
      <c r="I656" s="365">
        <v>2700</v>
      </c>
      <c r="J656" t="s">
        <v>209</v>
      </c>
      <c r="K656">
        <v>23.95</v>
      </c>
    </row>
    <row r="657" spans="1:11">
      <c r="A657" t="str">
        <f>IF(LEFT(E657,1)="1","SOL",IF(LEFT(E657,1)="2","CO",IF(LEFT(E657,1)="3","ALM",IF(LEFT(E657,1)="4","FAC","TRX")))) &amp; "-" &amp; B657 &amp; "-" &amp; TEXT(COUNTIFS($E$2:$E657,E657,$B$2:$B657,B657),"000")</f>
        <v>SOL-27-020</v>
      </c>
      <c r="B657">
        <v>27</v>
      </c>
      <c r="C657" s="364">
        <v>46203</v>
      </c>
      <c r="D657" t="s">
        <v>1</v>
      </c>
      <c r="E657" t="s">
        <v>208</v>
      </c>
      <c r="F657" t="s">
        <v>213</v>
      </c>
      <c r="G657" s="3">
        <v>200</v>
      </c>
      <c r="H657" s="365">
        <v>27</v>
      </c>
      <c r="I657" s="365">
        <v>5400</v>
      </c>
      <c r="J657" t="s">
        <v>209</v>
      </c>
      <c r="K657">
        <v>23.95</v>
      </c>
    </row>
    <row r="658" spans="1:11">
      <c r="A658" t="str">
        <f>IF(LEFT(E658,1)="1","SOL",IF(LEFT(E658,1)="2","CO",IF(LEFT(E658,1)="3","ALM",IF(LEFT(E658,1)="4","FAC","TRX")))) &amp; "-" &amp; B658 &amp; "-" &amp; TEXT(COUNTIFS($E$2:$E658,E658,$B$2:$B658,B658),"000")</f>
        <v>SOL-27-021</v>
      </c>
      <c r="B658">
        <v>27</v>
      </c>
      <c r="C658" s="364">
        <v>46203</v>
      </c>
      <c r="D658" t="s">
        <v>1</v>
      </c>
      <c r="E658" t="s">
        <v>208</v>
      </c>
      <c r="F658" t="s">
        <v>216</v>
      </c>
      <c r="G658" s="3">
        <v>120</v>
      </c>
      <c r="H658" s="365">
        <v>27</v>
      </c>
      <c r="I658" s="365">
        <v>3240</v>
      </c>
      <c r="J658" t="s">
        <v>209</v>
      </c>
      <c r="K658">
        <v>23.95</v>
      </c>
    </row>
    <row r="659" spans="1:11">
      <c r="A659" t="str">
        <f>IF(LEFT(E659,1)="1","SOL",IF(LEFT(E659,1)="2","CO",IF(LEFT(E659,1)="3","ALM",IF(LEFT(E659,1)="4","FAC","TRX")))) &amp; "-" &amp; B659 &amp; "-" &amp; TEXT(COUNTIFS($E$2:$E659,E659,$B$2:$B659,B659),"000")</f>
        <v>SOL-27-022</v>
      </c>
      <c r="B659">
        <v>27</v>
      </c>
      <c r="C659" s="364">
        <v>46203</v>
      </c>
      <c r="D659" t="s">
        <v>1</v>
      </c>
      <c r="E659" t="s">
        <v>208</v>
      </c>
      <c r="F659" t="s">
        <v>241</v>
      </c>
      <c r="G659" s="3">
        <v>40</v>
      </c>
      <c r="H659" s="365">
        <v>27</v>
      </c>
      <c r="I659" s="365">
        <v>1080</v>
      </c>
      <c r="J659" t="s">
        <v>209</v>
      </c>
      <c r="K659">
        <v>23.95</v>
      </c>
    </row>
    <row r="660" spans="1:11">
      <c r="A660" t="str">
        <f>IF(LEFT(E660,1)="1","SOL",IF(LEFT(E660,1)="2","CO",IF(LEFT(E660,1)="3","ALM",IF(LEFT(E660,1)="4","FAC","TRX")))) &amp; "-" &amp; B660 &amp; "-" &amp; TEXT(COUNTIFS($E$2:$E660,E660,$B$2:$B660,B660),"000")</f>
        <v>SOL-27-023</v>
      </c>
      <c r="B660">
        <v>27</v>
      </c>
      <c r="C660" s="364">
        <v>46203</v>
      </c>
      <c r="D660" t="s">
        <v>1</v>
      </c>
      <c r="E660" t="s">
        <v>208</v>
      </c>
      <c r="F660" t="s">
        <v>241</v>
      </c>
      <c r="G660" s="3">
        <v>40</v>
      </c>
      <c r="H660" s="365">
        <v>27</v>
      </c>
      <c r="I660" s="365">
        <v>1080</v>
      </c>
      <c r="J660" t="s">
        <v>209</v>
      </c>
      <c r="K660">
        <v>23.95</v>
      </c>
    </row>
    <row r="661" spans="1:11">
      <c r="A661" t="str">
        <f>IF(LEFT(E661,1)="1","SOL",IF(LEFT(E661,1)="2","CO",IF(LEFT(E661,1)="3","ALM",IF(LEFT(E661,1)="4","FAC","TRX")))) &amp; "-" &amp; B661 &amp; "-" &amp; TEXT(COUNTIFS($E$2:$E661,E661,$B$2:$B661,B661),"000")</f>
        <v>SOL-27-024</v>
      </c>
      <c r="B661">
        <v>27</v>
      </c>
      <c r="C661" s="364">
        <v>46203</v>
      </c>
      <c r="D661" t="s">
        <v>1</v>
      </c>
      <c r="E661" t="s">
        <v>208</v>
      </c>
      <c r="F661" t="s">
        <v>218</v>
      </c>
      <c r="G661" s="3">
        <v>40</v>
      </c>
      <c r="H661" s="365">
        <v>27</v>
      </c>
      <c r="I661" s="365">
        <v>1080</v>
      </c>
      <c r="J661" t="s">
        <v>209</v>
      </c>
      <c r="K661">
        <v>23.95</v>
      </c>
    </row>
    <row r="662" spans="1:11">
      <c r="A662" t="str">
        <f>IF(LEFT(E662,1)="1","SOL",IF(LEFT(E662,1)="2","CO",IF(LEFT(E662,1)="3","ALM",IF(LEFT(E662,1)="4","FAC","TRX")))) &amp; "-" &amp; B662 &amp; "-" &amp; TEXT(COUNTIFS($E$2:$E662,E662,$B$2:$B662,B662),"000")</f>
        <v>SOL-27-025</v>
      </c>
      <c r="B662">
        <v>27</v>
      </c>
      <c r="C662" s="364">
        <v>46203</v>
      </c>
      <c r="D662" t="s">
        <v>1</v>
      </c>
      <c r="E662" t="s">
        <v>208</v>
      </c>
      <c r="F662" t="s">
        <v>227</v>
      </c>
      <c r="G662" s="3">
        <v>40</v>
      </c>
      <c r="H662" s="365">
        <v>27</v>
      </c>
      <c r="I662" s="365">
        <v>1080</v>
      </c>
      <c r="J662" t="s">
        <v>209</v>
      </c>
      <c r="K662">
        <v>23.95</v>
      </c>
    </row>
    <row r="663" spans="1:11">
      <c r="A663" t="str">
        <f>IF(LEFT(E663,1)="1","SOL",IF(LEFT(E663,1)="2","CO",IF(LEFT(E663,1)="3","ALM",IF(LEFT(E663,1)="4","FAC","TRX")))) &amp; "-" &amp; B663 &amp; "-" &amp; TEXT(COUNTIFS($E$2:$E663,E663,$B$2:$B663,B663),"000")</f>
        <v>SOL-27-026</v>
      </c>
      <c r="B663">
        <v>27</v>
      </c>
      <c r="C663" s="364">
        <v>46203</v>
      </c>
      <c r="D663" t="s">
        <v>1</v>
      </c>
      <c r="E663" t="s">
        <v>208</v>
      </c>
      <c r="F663" t="s">
        <v>242</v>
      </c>
      <c r="G663" s="3">
        <v>30</v>
      </c>
      <c r="H663" s="365">
        <v>27</v>
      </c>
      <c r="I663" s="365">
        <v>810</v>
      </c>
      <c r="J663" t="s">
        <v>209</v>
      </c>
      <c r="K663">
        <v>23.95</v>
      </c>
    </row>
    <row r="664" spans="1:11">
      <c r="A664" t="str">
        <f>IF(LEFT(E664,1)="1","SOL",IF(LEFT(E664,1)="2","CO",IF(LEFT(E664,1)="3","ALM",IF(LEFT(E664,1)="4","FAC","TRX")))) &amp; "-" &amp; B664 &amp; "-" &amp; TEXT(COUNTIFS($E$2:$E664,E664,$B$2:$B664,B664),"000")</f>
        <v>SOL-27-027</v>
      </c>
      <c r="B664">
        <v>27</v>
      </c>
      <c r="C664" s="364">
        <v>46203</v>
      </c>
      <c r="D664" t="s">
        <v>1</v>
      </c>
      <c r="E664" t="s">
        <v>208</v>
      </c>
      <c r="F664" t="s">
        <v>215</v>
      </c>
      <c r="G664" s="3">
        <v>50</v>
      </c>
      <c r="H664" s="365">
        <v>27</v>
      </c>
      <c r="I664" s="365">
        <v>1350</v>
      </c>
      <c r="J664" t="s">
        <v>209</v>
      </c>
      <c r="K664">
        <v>23.95</v>
      </c>
    </row>
    <row r="665" spans="1:11">
      <c r="A665" t="str">
        <f>IF(LEFT(E665,1)="1","SOL",IF(LEFT(E665,1)="2","CO",IF(LEFT(E665,1)="3","ALM",IF(LEFT(E665,1)="4","FAC","TRX")))) &amp; "-" &amp; B665 &amp; "-" &amp; TEXT(COUNTIFS($E$2:$E665,E665,$B$2:$B665,B665),"000")</f>
        <v>SOL-27-028</v>
      </c>
      <c r="B665">
        <v>27</v>
      </c>
      <c r="C665" s="364">
        <v>46203</v>
      </c>
      <c r="D665" t="s">
        <v>1</v>
      </c>
      <c r="E665" t="s">
        <v>208</v>
      </c>
      <c r="F665" t="s">
        <v>221</v>
      </c>
      <c r="G665" s="3">
        <v>50</v>
      </c>
      <c r="H665" s="365">
        <v>27</v>
      </c>
      <c r="I665" s="365">
        <v>1350</v>
      </c>
      <c r="J665" t="s">
        <v>209</v>
      </c>
      <c r="K665">
        <v>23.95</v>
      </c>
    </row>
    <row r="666" spans="1:11">
      <c r="A666" t="str">
        <f>IF(LEFT(E666,1)="1","SOL",IF(LEFT(E666,1)="2","CO",IF(LEFT(E666,1)="3","ALM",IF(LEFT(E666,1)="4","FAC","TRX")))) &amp; "-" &amp; B666 &amp; "-" &amp; TEXT(COUNTIFS($E$2:$E666,E666,$B$2:$B666,B666),"000")</f>
        <v>SOL-27-029</v>
      </c>
      <c r="B666">
        <v>27</v>
      </c>
      <c r="C666" s="364">
        <v>46203</v>
      </c>
      <c r="D666" t="s">
        <v>126</v>
      </c>
      <c r="E666" t="s">
        <v>208</v>
      </c>
      <c r="F666" t="s">
        <v>223</v>
      </c>
      <c r="G666" s="3">
        <v>30</v>
      </c>
      <c r="H666" s="365">
        <v>27</v>
      </c>
      <c r="I666" s="365">
        <v>810</v>
      </c>
      <c r="J666" t="s">
        <v>209</v>
      </c>
      <c r="K666">
        <v>23.95</v>
      </c>
    </row>
    <row r="667" spans="1:11">
      <c r="A667" t="str">
        <f>IF(LEFT(E667,1)="1","SOL",IF(LEFT(E667,1)="2","CO",IF(LEFT(E667,1)="3","ALM",IF(LEFT(E667,1)="4","FAC","TRX")))) &amp; "-" &amp; B667 &amp; "-" &amp; TEXT(COUNTIFS($E$2:$E667,E667,$B$2:$B667,B667),"000")</f>
        <v>SOL-27-030</v>
      </c>
      <c r="B667">
        <v>27</v>
      </c>
      <c r="C667" s="364">
        <v>46203</v>
      </c>
      <c r="D667" t="s">
        <v>126</v>
      </c>
      <c r="E667" t="s">
        <v>208</v>
      </c>
      <c r="F667" t="s">
        <v>223</v>
      </c>
      <c r="G667" s="3">
        <v>50</v>
      </c>
      <c r="H667" s="365">
        <v>27</v>
      </c>
      <c r="I667" s="365">
        <v>1350</v>
      </c>
      <c r="J667" t="s">
        <v>209</v>
      </c>
      <c r="K667">
        <v>23.95</v>
      </c>
    </row>
    <row r="668" spans="1:11">
      <c r="A668" t="str">
        <f>IF(LEFT(E668,1)="1","SOL",IF(LEFT(E668,1)="2","CO",IF(LEFT(E668,1)="3","ALM",IF(LEFT(E668,1)="4","FAC","TRX")))) &amp; "-" &amp; B668 &amp; "-" &amp; TEXT(COUNTIFS($E$2:$E668,E668,$B$2:$B668,B668),"000")</f>
        <v>SOL-27-031</v>
      </c>
      <c r="B668">
        <v>27</v>
      </c>
      <c r="C668" s="364">
        <v>46203</v>
      </c>
      <c r="D668" t="s">
        <v>126</v>
      </c>
      <c r="E668" t="s">
        <v>208</v>
      </c>
      <c r="F668" t="s">
        <v>229</v>
      </c>
      <c r="G668" s="3">
        <v>10</v>
      </c>
      <c r="H668" s="365">
        <v>27</v>
      </c>
      <c r="I668" s="365">
        <v>270</v>
      </c>
      <c r="J668" t="s">
        <v>209</v>
      </c>
      <c r="K668">
        <v>23.95</v>
      </c>
    </row>
    <row r="669" spans="1:11">
      <c r="A669" t="str">
        <f>IF(LEFT(E669,1)="1","SOL",IF(LEFT(E669,1)="2","CO",IF(LEFT(E669,1)="3","ALM",IF(LEFT(E669,1)="4","FAC","TRX")))) &amp; "-" &amp; B669 &amp; "-" &amp; TEXT(COUNTIFS($E$2:$E669,E669,$B$2:$B669,B669),"000")</f>
        <v>SOL-27-032</v>
      </c>
      <c r="B669">
        <v>27</v>
      </c>
      <c r="C669" s="364">
        <v>46203</v>
      </c>
      <c r="D669" t="s">
        <v>126</v>
      </c>
      <c r="E669" t="s">
        <v>208</v>
      </c>
      <c r="F669" t="s">
        <v>243</v>
      </c>
      <c r="G669" s="3">
        <v>5</v>
      </c>
      <c r="H669" s="365">
        <v>27</v>
      </c>
      <c r="I669" s="365">
        <v>135</v>
      </c>
      <c r="J669" t="s">
        <v>209</v>
      </c>
      <c r="K669">
        <v>23.95</v>
      </c>
    </row>
    <row r="670" spans="1:11">
      <c r="A670" t="str">
        <f>IF(LEFT(E670,1)="1","SOL",IF(LEFT(E670,1)="2","CO",IF(LEFT(E670,1)="3","ALM",IF(LEFT(E670,1)="4","FAC","TRX")))) &amp; "-" &amp; B670 &amp; "-" &amp; TEXT(COUNTIFS($E$2:$E670,E670,$B$2:$B670,B670),"000")</f>
        <v>SOL-27-033</v>
      </c>
      <c r="B670">
        <v>27</v>
      </c>
      <c r="C670" s="364">
        <v>46203</v>
      </c>
      <c r="D670" t="s">
        <v>126</v>
      </c>
      <c r="E670" t="s">
        <v>208</v>
      </c>
      <c r="F670" t="s">
        <v>244</v>
      </c>
      <c r="G670" s="3">
        <v>100</v>
      </c>
      <c r="H670" s="365">
        <v>27</v>
      </c>
      <c r="I670" s="365">
        <v>2700</v>
      </c>
      <c r="J670" t="s">
        <v>209</v>
      </c>
      <c r="K670">
        <v>23.95</v>
      </c>
    </row>
    <row r="671" spans="1:11">
      <c r="A671" t="str">
        <f>IF(LEFT(E671,1)="1","SOL",IF(LEFT(E671,1)="2","CO",IF(LEFT(E671,1)="3","ALM",IF(LEFT(E671,1)="4","FAC","TRX")))) &amp; "-" &amp; B671 &amp; "-" &amp; TEXT(COUNTIFS($E$2:$E671,E671,$B$2:$B671,B671),"000")</f>
        <v>CO-27-019</v>
      </c>
      <c r="B671">
        <v>27</v>
      </c>
      <c r="C671" s="364">
        <v>46203</v>
      </c>
      <c r="D671" t="s">
        <v>2</v>
      </c>
      <c r="E671" t="s">
        <v>246</v>
      </c>
      <c r="F671" t="s">
        <v>255</v>
      </c>
      <c r="G671" s="3">
        <v>400</v>
      </c>
      <c r="H671" s="365">
        <v>27</v>
      </c>
      <c r="I671" s="365">
        <v>10800</v>
      </c>
      <c r="J671" t="s">
        <v>209</v>
      </c>
    </row>
    <row r="672" spans="1:11">
      <c r="A672" t="str">
        <f>IF(LEFT(E672,1)="1","SOL",IF(LEFT(E672,1)="2","CO",IF(LEFT(E672,1)="3","ALM",IF(LEFT(E672,1)="4","FAC","TRX")))) &amp; "-" &amp; B672 &amp; "-" &amp; TEXT(COUNTIFS($E$2:$E672,E672,$B$2:$B672,B672),"000")</f>
        <v>CO-27-020</v>
      </c>
      <c r="B672">
        <v>27</v>
      </c>
      <c r="C672" s="364">
        <v>46203</v>
      </c>
      <c r="D672" t="s">
        <v>2</v>
      </c>
      <c r="E672" t="s">
        <v>246</v>
      </c>
      <c r="F672" t="s">
        <v>214</v>
      </c>
      <c r="G672" s="3">
        <v>30</v>
      </c>
      <c r="H672" s="365">
        <v>27</v>
      </c>
      <c r="I672" s="365">
        <v>810</v>
      </c>
      <c r="J672" t="s">
        <v>209</v>
      </c>
    </row>
    <row r="673" spans="1:11">
      <c r="A673" t="str">
        <f>IF(LEFT(E673,1)="1","SOL",IF(LEFT(E673,1)="2","CO",IF(LEFT(E673,1)="3","ALM",IF(LEFT(E673,1)="4","FAC","TRX")))) &amp; "-" &amp; B673 &amp; "-" &amp; TEXT(COUNTIFS($E$2:$E673,E673,$B$2:$B673,B673),"000")</f>
        <v>CO-27-021</v>
      </c>
      <c r="B673">
        <v>27</v>
      </c>
      <c r="C673" s="364">
        <v>46203</v>
      </c>
      <c r="D673" t="s">
        <v>140</v>
      </c>
      <c r="E673" t="s">
        <v>246</v>
      </c>
      <c r="F673" t="s">
        <v>254</v>
      </c>
      <c r="G673" s="3">
        <v>100</v>
      </c>
      <c r="H673" s="365">
        <v>27</v>
      </c>
      <c r="I673" s="365">
        <v>2700</v>
      </c>
      <c r="J673" t="s">
        <v>209</v>
      </c>
    </row>
    <row r="674" spans="1:11">
      <c r="A674" t="str">
        <f>IF(LEFT(E674,1)="1","SOL",IF(LEFT(E674,1)="2","CO",IF(LEFT(E674,1)="3","ALM",IF(LEFT(E674,1)="4","FAC","TRX")))) &amp; "-" &amp; B674 &amp; "-" &amp; TEXT(COUNTIFS($E$2:$E674,E674,$B$2:$B674,B674),"000")</f>
        <v>CO-27-022</v>
      </c>
      <c r="B674">
        <v>27</v>
      </c>
      <c r="C674" s="364">
        <v>46203</v>
      </c>
      <c r="D674" t="s">
        <v>263</v>
      </c>
      <c r="E674" t="s">
        <v>246</v>
      </c>
      <c r="F674" t="s">
        <v>264</v>
      </c>
      <c r="G674" s="3">
        <v>50</v>
      </c>
      <c r="H674" s="365">
        <v>27</v>
      </c>
      <c r="I674" s="365">
        <v>1350</v>
      </c>
      <c r="J674" t="s">
        <v>209</v>
      </c>
    </row>
    <row r="675" spans="1:11">
      <c r="A675" t="str">
        <f>IF(LEFT(E675,1)="1","SOL",IF(LEFT(E675,1)="2","CO",IF(LEFT(E675,1)="3","ALM",IF(LEFT(E675,1)="4","FAC","TRX")))) &amp; "-" &amp; B675 &amp; "-" &amp; TEXT(COUNTIFS($E$2:$E675,E675,$B$2:$B675,B675),"000")</f>
        <v>CO-27-023</v>
      </c>
      <c r="B675">
        <v>27</v>
      </c>
      <c r="C675" s="364">
        <v>46203</v>
      </c>
      <c r="D675" t="s">
        <v>263</v>
      </c>
      <c r="E675" t="s">
        <v>246</v>
      </c>
      <c r="F675" t="s">
        <v>218</v>
      </c>
      <c r="G675" s="3">
        <v>50</v>
      </c>
      <c r="H675" s="365">
        <v>27</v>
      </c>
      <c r="I675" s="365">
        <v>1350</v>
      </c>
      <c r="J675" t="s">
        <v>209</v>
      </c>
    </row>
    <row r="676" spans="1:11">
      <c r="A676" t="str">
        <f>IF(LEFT(E676,1)="1","SOL",IF(LEFT(E676,1)="2","CO",IF(LEFT(E676,1)="3","ALM",IF(LEFT(E676,1)="4","FAC","TRX")))) &amp; "-" &amp; B676 &amp; "-" &amp; TEXT(COUNTIFS($E$2:$E676,E676,$B$2:$B676,B676),"000")</f>
        <v>CO-27-024</v>
      </c>
      <c r="B676">
        <v>27</v>
      </c>
      <c r="C676" s="364">
        <v>46203</v>
      </c>
      <c r="D676" t="s">
        <v>263</v>
      </c>
      <c r="E676" t="s">
        <v>246</v>
      </c>
      <c r="F676" t="s">
        <v>265</v>
      </c>
      <c r="G676" s="3">
        <v>100</v>
      </c>
      <c r="H676" s="365">
        <v>27</v>
      </c>
      <c r="I676" s="365">
        <v>2700</v>
      </c>
      <c r="J676" t="s">
        <v>209</v>
      </c>
    </row>
    <row r="677" spans="1:11">
      <c r="A677" t="str">
        <f>IF(LEFT(E677,1)="1","SOL",IF(LEFT(E677,1)="2","CO",IF(LEFT(E677,1)="3","ALM",IF(LEFT(E677,1)="4","FAC","TRX")))) &amp; "-" &amp; B677 &amp; "-" &amp; TEXT(COUNTIFS($E$2:$E677,E677,$B$2:$B677,B677),"000")</f>
        <v>CO-27-025</v>
      </c>
      <c r="B677">
        <v>27</v>
      </c>
      <c r="C677" s="364">
        <v>46203</v>
      </c>
      <c r="D677" t="s">
        <v>2</v>
      </c>
      <c r="E677" t="s">
        <v>246</v>
      </c>
      <c r="F677" t="s">
        <v>230</v>
      </c>
      <c r="G677" s="3">
        <v>29</v>
      </c>
      <c r="H677" s="365">
        <v>27</v>
      </c>
      <c r="I677" s="365">
        <v>783</v>
      </c>
      <c r="J677" t="s">
        <v>209</v>
      </c>
    </row>
    <row r="678" spans="1:11">
      <c r="A678" t="str">
        <f>IF(LEFT(E678,1)="1","SOL",IF(LEFT(E678,1)="2","CO",IF(LEFT(E678,1)="3","ALM",IF(LEFT(E678,1)="4","FAC","TRX")))) &amp; "-" &amp; B678 &amp; "-" &amp; TEXT(COUNTIFS($E$2:$E678,E678,$B$2:$B678,B678),"000")</f>
        <v>SOL-27-034</v>
      </c>
      <c r="B678">
        <v>27</v>
      </c>
      <c r="C678" s="364">
        <v>46204</v>
      </c>
      <c r="D678" t="s">
        <v>235</v>
      </c>
      <c r="E678" t="s">
        <v>208</v>
      </c>
      <c r="F678" t="s">
        <v>236</v>
      </c>
      <c r="G678" s="3">
        <v>300</v>
      </c>
      <c r="H678" s="365">
        <v>27</v>
      </c>
      <c r="I678" s="365">
        <v>8100</v>
      </c>
      <c r="J678" t="s">
        <v>209</v>
      </c>
      <c r="K678">
        <v>23.95</v>
      </c>
    </row>
    <row r="679" spans="1:11">
      <c r="A679" t="str">
        <f>IF(LEFT(E679,1)="1","SOL",IF(LEFT(E679,1)="2","CO",IF(LEFT(E679,1)="3","ALM",IF(LEFT(E679,1)="4","FAC","TRX")))) &amp; "-" &amp; B679 &amp; "-" &amp; TEXT(COUNTIFS($E$2:$E679,E679,$B$2:$B679,B679),"000")</f>
        <v>SOL-27-035</v>
      </c>
      <c r="B679">
        <v>27</v>
      </c>
      <c r="C679" s="364">
        <v>46204</v>
      </c>
      <c r="D679" t="s">
        <v>235</v>
      </c>
      <c r="E679" t="s">
        <v>208</v>
      </c>
      <c r="F679" t="s">
        <v>238</v>
      </c>
      <c r="G679" s="3">
        <v>100</v>
      </c>
      <c r="H679" s="365">
        <v>27</v>
      </c>
      <c r="I679" s="365">
        <v>2700</v>
      </c>
      <c r="J679" t="s">
        <v>209</v>
      </c>
      <c r="K679">
        <v>23.95</v>
      </c>
    </row>
    <row r="680" spans="1:11">
      <c r="A680" t="str">
        <f>IF(LEFT(E680,1)="1","SOL",IF(LEFT(E680,1)="2","CO",IF(LEFT(E680,1)="3","ALM",IF(LEFT(E680,1)="4","FAC","TRX")))) &amp; "-" &amp; B680 &amp; "-" &amp; TEXT(COUNTIFS($E$2:$E680,E680,$B$2:$B680,B680),"000")</f>
        <v>SOL-27-036</v>
      </c>
      <c r="B680">
        <v>27</v>
      </c>
      <c r="C680" s="364">
        <v>46204</v>
      </c>
      <c r="D680" t="s">
        <v>235</v>
      </c>
      <c r="E680" t="s">
        <v>208</v>
      </c>
      <c r="F680" t="s">
        <v>239</v>
      </c>
      <c r="G680" s="3">
        <v>100</v>
      </c>
      <c r="H680" s="365">
        <v>27</v>
      </c>
      <c r="I680" s="365">
        <v>2700</v>
      </c>
      <c r="J680" t="s">
        <v>209</v>
      </c>
      <c r="K680">
        <v>23.95</v>
      </c>
    </row>
    <row r="681" spans="1:11">
      <c r="A681" t="str">
        <f>IF(LEFT(E681,1)="1","SOL",IF(LEFT(E681,1)="2","CO",IF(LEFT(E681,1)="3","ALM",IF(LEFT(E681,1)="4","FAC","TRX")))) &amp; "-" &amp; B681 &amp; "-" &amp; TEXT(COUNTIFS($E$2:$E681,E681,$B$2:$B681,B681),"000")</f>
        <v>SOL-27-037</v>
      </c>
      <c r="B681">
        <v>27</v>
      </c>
      <c r="C681" s="364">
        <v>46204</v>
      </c>
      <c r="D681" t="s">
        <v>1</v>
      </c>
      <c r="E681" t="s">
        <v>208</v>
      </c>
      <c r="F681" t="s">
        <v>213</v>
      </c>
      <c r="G681" s="3">
        <v>250</v>
      </c>
      <c r="H681" s="365">
        <v>27</v>
      </c>
      <c r="I681" s="365">
        <v>6750</v>
      </c>
      <c r="J681" t="s">
        <v>209</v>
      </c>
      <c r="K681">
        <v>23.95</v>
      </c>
    </row>
    <row r="682" spans="1:11">
      <c r="A682" t="str">
        <f>IF(LEFT(E682,1)="1","SOL",IF(LEFT(E682,1)="2","CO",IF(LEFT(E682,1)="3","ALM",IF(LEFT(E682,1)="4","FAC","TRX")))) &amp; "-" &amp; B682 &amp; "-" &amp; TEXT(COUNTIFS($E$2:$E682,E682,$B$2:$B682,B682),"000")</f>
        <v>SOL-27-038</v>
      </c>
      <c r="B682">
        <v>27</v>
      </c>
      <c r="C682" s="364">
        <v>46204</v>
      </c>
      <c r="D682" t="s">
        <v>1</v>
      </c>
      <c r="E682" t="s">
        <v>208</v>
      </c>
      <c r="F682" t="s">
        <v>216</v>
      </c>
      <c r="G682" s="3">
        <v>120</v>
      </c>
      <c r="H682" s="365">
        <v>27</v>
      </c>
      <c r="I682" s="365">
        <v>3240</v>
      </c>
      <c r="J682" t="s">
        <v>209</v>
      </c>
      <c r="K682">
        <v>23.95</v>
      </c>
    </row>
    <row r="683" spans="1:11">
      <c r="A683" t="str">
        <f>IF(LEFT(E683,1)="1","SOL",IF(LEFT(E683,1)="2","CO",IF(LEFT(E683,1)="3","ALM",IF(LEFT(E683,1)="4","FAC","TRX")))) &amp; "-" &amp; B683 &amp; "-" &amp; TEXT(COUNTIFS($E$2:$E683,E683,$B$2:$B683,B683),"000")</f>
        <v>SOL-27-039</v>
      </c>
      <c r="B683">
        <v>27</v>
      </c>
      <c r="C683" s="364">
        <v>46204</v>
      </c>
      <c r="D683" t="s">
        <v>1</v>
      </c>
      <c r="E683" t="s">
        <v>208</v>
      </c>
      <c r="F683" t="s">
        <v>241</v>
      </c>
      <c r="G683" s="3">
        <v>40</v>
      </c>
      <c r="H683" s="365">
        <v>27</v>
      </c>
      <c r="I683" s="365">
        <v>1080</v>
      </c>
      <c r="J683" t="s">
        <v>209</v>
      </c>
      <c r="K683">
        <v>23.95</v>
      </c>
    </row>
    <row r="684" spans="1:11">
      <c r="A684" t="str">
        <f>IF(LEFT(E684,1)="1","SOL",IF(LEFT(E684,1)="2","CO",IF(LEFT(E684,1)="3","ALM",IF(LEFT(E684,1)="4","FAC","TRX")))) &amp; "-" &amp; B684 &amp; "-" &amp; TEXT(COUNTIFS($E$2:$E684,E684,$B$2:$B684,B684),"000")</f>
        <v>SOL-27-040</v>
      </c>
      <c r="B684">
        <v>27</v>
      </c>
      <c r="C684" s="364">
        <v>46204</v>
      </c>
      <c r="D684" t="s">
        <v>1</v>
      </c>
      <c r="E684" t="s">
        <v>208</v>
      </c>
      <c r="F684" t="s">
        <v>241</v>
      </c>
      <c r="G684" s="3">
        <v>40</v>
      </c>
      <c r="H684" s="365">
        <v>27</v>
      </c>
      <c r="I684" s="365">
        <v>1080</v>
      </c>
      <c r="J684" t="s">
        <v>209</v>
      </c>
      <c r="K684">
        <v>23.95</v>
      </c>
    </row>
    <row r="685" spans="1:11">
      <c r="A685" t="str">
        <f>IF(LEFT(E685,1)="1","SOL",IF(LEFT(E685,1)="2","CO",IF(LEFT(E685,1)="3","ALM",IF(LEFT(E685,1)="4","FAC","TRX")))) &amp; "-" &amp; B685 &amp; "-" &amp; TEXT(COUNTIFS($E$2:$E685,E685,$B$2:$B685,B685),"000")</f>
        <v>SOL-27-041</v>
      </c>
      <c r="B685">
        <v>27</v>
      </c>
      <c r="C685" s="364">
        <v>46204</v>
      </c>
      <c r="D685" t="s">
        <v>1</v>
      </c>
      <c r="E685" t="s">
        <v>208</v>
      </c>
      <c r="F685" t="s">
        <v>218</v>
      </c>
      <c r="G685" s="3">
        <v>40</v>
      </c>
      <c r="H685" s="365">
        <v>27</v>
      </c>
      <c r="I685" s="365">
        <v>1080</v>
      </c>
      <c r="J685" t="s">
        <v>209</v>
      </c>
      <c r="K685">
        <v>23.95</v>
      </c>
    </row>
    <row r="686" spans="1:11">
      <c r="A686" t="str">
        <f>IF(LEFT(E686,1)="1","SOL",IF(LEFT(E686,1)="2","CO",IF(LEFT(E686,1)="3","ALM",IF(LEFT(E686,1)="4","FAC","TRX")))) &amp; "-" &amp; B686 &amp; "-" &amp; TEXT(COUNTIFS($E$2:$E686,E686,$B$2:$B686,B686),"000")</f>
        <v>SOL-27-042</v>
      </c>
      <c r="B686">
        <v>27</v>
      </c>
      <c r="C686" s="364">
        <v>46204</v>
      </c>
      <c r="D686" t="s">
        <v>1</v>
      </c>
      <c r="E686" t="s">
        <v>208</v>
      </c>
      <c r="F686" t="s">
        <v>227</v>
      </c>
      <c r="G686" s="3">
        <v>40</v>
      </c>
      <c r="H686" s="365">
        <v>27</v>
      </c>
      <c r="I686" s="365">
        <v>1080</v>
      </c>
      <c r="J686" t="s">
        <v>209</v>
      </c>
      <c r="K686">
        <v>23.95</v>
      </c>
    </row>
    <row r="687" spans="1:11">
      <c r="A687" t="str">
        <f>IF(LEFT(E687,1)="1","SOL",IF(LEFT(E687,1)="2","CO",IF(LEFT(E687,1)="3","ALM",IF(LEFT(E687,1)="4","FAC","TRX")))) &amp; "-" &amp; B687 &amp; "-" &amp; TEXT(COUNTIFS($E$2:$E687,E687,$B$2:$B687,B687),"000")</f>
        <v>SOL-27-043</v>
      </c>
      <c r="B687">
        <v>27</v>
      </c>
      <c r="C687" s="364">
        <v>46204</v>
      </c>
      <c r="D687" t="s">
        <v>1</v>
      </c>
      <c r="E687" t="s">
        <v>208</v>
      </c>
      <c r="F687" t="s">
        <v>242</v>
      </c>
      <c r="G687" s="3">
        <v>30</v>
      </c>
      <c r="H687" s="365">
        <v>27</v>
      </c>
      <c r="I687" s="365">
        <v>810</v>
      </c>
      <c r="J687" t="s">
        <v>209</v>
      </c>
      <c r="K687">
        <v>23.95</v>
      </c>
    </row>
    <row r="688" spans="1:11">
      <c r="A688" t="str">
        <f>IF(LEFT(E688,1)="1","SOL",IF(LEFT(E688,1)="2","CO",IF(LEFT(E688,1)="3","ALM",IF(LEFT(E688,1)="4","FAC","TRX")))) &amp; "-" &amp; B688 &amp; "-" &amp; TEXT(COUNTIFS($E$2:$E688,E688,$B$2:$B688,B688),"000")</f>
        <v>SOL-27-044</v>
      </c>
      <c r="B688">
        <v>27</v>
      </c>
      <c r="C688" s="364">
        <v>46204</v>
      </c>
      <c r="D688" t="s">
        <v>1</v>
      </c>
      <c r="E688" t="s">
        <v>208</v>
      </c>
      <c r="F688" t="s">
        <v>215</v>
      </c>
      <c r="G688" s="3">
        <v>50</v>
      </c>
      <c r="H688" s="365">
        <v>27</v>
      </c>
      <c r="I688" s="365">
        <v>1350</v>
      </c>
      <c r="J688" t="s">
        <v>209</v>
      </c>
      <c r="K688">
        <v>23.95</v>
      </c>
    </row>
    <row r="689" spans="1:11">
      <c r="A689" t="str">
        <f>IF(LEFT(E689,1)="1","SOL",IF(LEFT(E689,1)="2","CO",IF(LEFT(E689,1)="3","ALM",IF(LEFT(E689,1)="4","FAC","TRX")))) &amp; "-" &amp; B689 &amp; "-" &amp; TEXT(COUNTIFS($E$2:$E689,E689,$B$2:$B689,B689),"000")</f>
        <v>SOL-27-045</v>
      </c>
      <c r="B689">
        <v>27</v>
      </c>
      <c r="C689" s="364">
        <v>46204</v>
      </c>
      <c r="D689" t="s">
        <v>1</v>
      </c>
      <c r="E689" t="s">
        <v>208</v>
      </c>
      <c r="F689" t="s">
        <v>221</v>
      </c>
      <c r="G689" s="3">
        <v>50</v>
      </c>
      <c r="H689" s="365">
        <v>27</v>
      </c>
      <c r="I689" s="365">
        <v>1350</v>
      </c>
      <c r="J689" t="s">
        <v>209</v>
      </c>
      <c r="K689">
        <v>23.95</v>
      </c>
    </row>
    <row r="690" spans="1:11">
      <c r="A690" t="str">
        <f>IF(LEFT(E690,1)="1","SOL",IF(LEFT(E690,1)="2","CO",IF(LEFT(E690,1)="3","ALM",IF(LEFT(E690,1)="4","FAC","TRX")))) &amp; "-" &amp; B690 &amp; "-" &amp; TEXT(COUNTIFS($E$2:$E690,E690,$B$2:$B690,B690),"000")</f>
        <v>SOL-27-046</v>
      </c>
      <c r="B690">
        <v>27</v>
      </c>
      <c r="C690" s="364">
        <v>46204</v>
      </c>
      <c r="D690" t="s">
        <v>126</v>
      </c>
      <c r="E690" t="s">
        <v>208</v>
      </c>
      <c r="F690" t="s">
        <v>223</v>
      </c>
      <c r="G690" s="3">
        <v>30</v>
      </c>
      <c r="H690" s="365">
        <v>27</v>
      </c>
      <c r="I690" s="365">
        <v>810</v>
      </c>
      <c r="J690" t="s">
        <v>209</v>
      </c>
      <c r="K690">
        <v>23.95</v>
      </c>
    </row>
    <row r="691" spans="1:11">
      <c r="A691" t="str">
        <f>IF(LEFT(E691,1)="1","SOL",IF(LEFT(E691,1)="2","CO",IF(LEFT(E691,1)="3","ALM",IF(LEFT(E691,1)="4","FAC","TRX")))) &amp; "-" &amp; B691 &amp; "-" &amp; TEXT(COUNTIFS($E$2:$E691,E691,$B$2:$B691,B691),"000")</f>
        <v>SOL-27-047</v>
      </c>
      <c r="B691">
        <v>27</v>
      </c>
      <c r="C691" s="364">
        <v>46204</v>
      </c>
      <c r="D691" t="s">
        <v>126</v>
      </c>
      <c r="E691" t="s">
        <v>208</v>
      </c>
      <c r="F691" t="s">
        <v>223</v>
      </c>
      <c r="G691" s="3">
        <v>50</v>
      </c>
      <c r="H691" s="365">
        <v>27</v>
      </c>
      <c r="I691" s="365">
        <v>1350</v>
      </c>
      <c r="J691" t="s">
        <v>209</v>
      </c>
      <c r="K691">
        <v>23.95</v>
      </c>
    </row>
    <row r="692" spans="1:11">
      <c r="A692" t="str">
        <f>IF(LEFT(E692,1)="1","SOL",IF(LEFT(E692,1)="2","CO",IF(LEFT(E692,1)="3","ALM",IF(LEFT(E692,1)="4","FAC","TRX")))) &amp; "-" &amp; B692 &amp; "-" &amp; TEXT(COUNTIFS($E$2:$E692,E692,$B$2:$B692,B692),"000")</f>
        <v>SOL-27-048</v>
      </c>
      <c r="B692">
        <v>27</v>
      </c>
      <c r="C692" s="364">
        <v>46204</v>
      </c>
      <c r="D692" t="s">
        <v>126</v>
      </c>
      <c r="E692" t="s">
        <v>208</v>
      </c>
      <c r="F692" t="s">
        <v>229</v>
      </c>
      <c r="G692" s="3">
        <v>10</v>
      </c>
      <c r="H692" s="365">
        <v>27</v>
      </c>
      <c r="I692" s="365">
        <v>270</v>
      </c>
      <c r="J692" t="s">
        <v>209</v>
      </c>
      <c r="K692">
        <v>23.95</v>
      </c>
    </row>
    <row r="693" spans="1:11">
      <c r="A693" t="str">
        <f>IF(LEFT(E693,1)="1","SOL",IF(LEFT(E693,1)="2","CO",IF(LEFT(E693,1)="3","ALM",IF(LEFT(E693,1)="4","FAC","TRX")))) &amp; "-" &amp; B693 &amp; "-" &amp; TEXT(COUNTIFS($E$2:$E693,E693,$B$2:$B693,B693),"000")</f>
        <v>SOL-27-049</v>
      </c>
      <c r="B693">
        <v>27</v>
      </c>
      <c r="C693" s="364">
        <v>46204</v>
      </c>
      <c r="D693" t="s">
        <v>126</v>
      </c>
      <c r="E693" t="s">
        <v>208</v>
      </c>
      <c r="F693" t="s">
        <v>243</v>
      </c>
      <c r="G693" s="3">
        <v>5</v>
      </c>
      <c r="H693" s="365">
        <v>27</v>
      </c>
      <c r="I693" s="365">
        <v>135</v>
      </c>
      <c r="J693" t="s">
        <v>209</v>
      </c>
      <c r="K693">
        <v>23.95</v>
      </c>
    </row>
    <row r="694" spans="1:11">
      <c r="A694" t="str">
        <f>IF(LEFT(E694,1)="1","SOL",IF(LEFT(E694,1)="2","CO",IF(LEFT(E694,1)="3","ALM",IF(LEFT(E694,1)="4","FAC","TRX")))) &amp; "-" &amp; B694 &amp; "-" &amp; TEXT(COUNTIFS($E$2:$E694,E694,$B$2:$B694,B694),"000")</f>
        <v>SOL-27-050</v>
      </c>
      <c r="B694">
        <v>27</v>
      </c>
      <c r="C694" s="364">
        <v>46204</v>
      </c>
      <c r="D694" t="s">
        <v>126</v>
      </c>
      <c r="E694" t="s">
        <v>208</v>
      </c>
      <c r="F694" t="s">
        <v>244</v>
      </c>
      <c r="G694" s="3">
        <v>70</v>
      </c>
      <c r="H694" s="365">
        <v>27</v>
      </c>
      <c r="I694" s="365">
        <v>1890</v>
      </c>
      <c r="J694" t="s">
        <v>209</v>
      </c>
      <c r="K694">
        <v>23.95</v>
      </c>
    </row>
    <row r="695" spans="1:11">
      <c r="A695" t="str">
        <f>IF(LEFT(E695,1)="1","SOL",IF(LEFT(E695,1)="2","CO",IF(LEFT(E695,1)="3","ALM",IF(LEFT(E695,1)="4","FAC","TRX")))) &amp; "-" &amp; B695 &amp; "-" &amp; TEXT(COUNTIFS($E$2:$E695,E695,$B$2:$B695,B695),"000")</f>
        <v>SOL-27-051</v>
      </c>
      <c r="B695">
        <v>27</v>
      </c>
      <c r="C695" s="364">
        <v>46204</v>
      </c>
      <c r="D695" t="s">
        <v>126</v>
      </c>
      <c r="E695" t="s">
        <v>208</v>
      </c>
      <c r="F695" t="s">
        <v>245</v>
      </c>
      <c r="G695" s="3">
        <v>70</v>
      </c>
      <c r="H695" s="365">
        <v>27</v>
      </c>
      <c r="I695" s="365">
        <v>1890</v>
      </c>
      <c r="J695" t="s">
        <v>209</v>
      </c>
      <c r="K695">
        <v>23.95</v>
      </c>
    </row>
    <row r="696" spans="1:11">
      <c r="A696" t="str">
        <f>IF(LEFT(E696,1)="1","SOL",IF(LEFT(E696,1)="2","CO",IF(LEFT(E696,1)="3","ALM",IF(LEFT(E696,1)="4","FAC","TRX")))) &amp; "-" &amp; B696 &amp; "-" &amp; TEXT(COUNTIFS($E$2:$E696,E696,$B$2:$B696,B696),"000")</f>
        <v>CO-27-026</v>
      </c>
      <c r="B696">
        <v>27</v>
      </c>
      <c r="C696" s="364">
        <v>46204</v>
      </c>
      <c r="D696" t="s">
        <v>1</v>
      </c>
      <c r="E696" t="s">
        <v>246</v>
      </c>
      <c r="F696" t="s">
        <v>241</v>
      </c>
      <c r="G696" s="3">
        <v>33</v>
      </c>
      <c r="H696" s="365">
        <v>27</v>
      </c>
      <c r="I696" s="365">
        <v>891</v>
      </c>
      <c r="J696" t="s">
        <v>209</v>
      </c>
    </row>
    <row r="697" spans="1:11">
      <c r="A697" t="str">
        <f>IF(LEFT(E697,1)="1","SOL",IF(LEFT(E697,1)="2","CO",IF(LEFT(E697,1)="3","ALM",IF(LEFT(E697,1)="4","FAC","TRX")))) &amp; "-" &amp; B697 &amp; "-" &amp; TEXT(COUNTIFS($E$2:$E697,E697,$B$2:$B697,B697),"000")</f>
        <v>CO-27-027</v>
      </c>
      <c r="B697">
        <v>27</v>
      </c>
      <c r="C697" s="364">
        <v>46204</v>
      </c>
      <c r="D697" t="s">
        <v>1</v>
      </c>
      <c r="E697" t="s">
        <v>246</v>
      </c>
      <c r="F697" t="s">
        <v>218</v>
      </c>
      <c r="G697" s="3">
        <v>40</v>
      </c>
      <c r="H697" s="365">
        <v>27</v>
      </c>
      <c r="I697" s="365">
        <v>1080</v>
      </c>
      <c r="J697" t="s">
        <v>209</v>
      </c>
    </row>
    <row r="698" spans="1:11">
      <c r="A698" t="str">
        <f>IF(LEFT(E698,1)="1","SOL",IF(LEFT(E698,1)="2","CO",IF(LEFT(E698,1)="3","ALM",IF(LEFT(E698,1)="4","FAC","TRX")))) &amp; "-" &amp; B698 &amp; "-" &amp; TEXT(COUNTIFS($E$2:$E698,E698,$B$2:$B698,B698),"000")</f>
        <v>CO-27-028</v>
      </c>
      <c r="B698">
        <v>27</v>
      </c>
      <c r="C698" s="364">
        <v>46204</v>
      </c>
      <c r="D698" t="s">
        <v>1</v>
      </c>
      <c r="E698" t="s">
        <v>246</v>
      </c>
      <c r="F698" t="s">
        <v>253</v>
      </c>
      <c r="G698" s="3">
        <v>40</v>
      </c>
      <c r="H698" s="365">
        <v>27</v>
      </c>
      <c r="I698" s="365">
        <v>1080</v>
      </c>
      <c r="J698" t="s">
        <v>209</v>
      </c>
    </row>
    <row r="699" spans="1:11">
      <c r="A699" t="str">
        <f>IF(LEFT(E699,1)="1","SOL",IF(LEFT(E699,1)="2","CO",IF(LEFT(E699,1)="3","ALM",IF(LEFT(E699,1)="4","FAC","TRX")))) &amp; "-" &amp; B699 &amp; "-" &amp; TEXT(COUNTIFS($E$2:$E699,E699,$B$2:$B699,B699),"000")</f>
        <v>CO-27-029</v>
      </c>
      <c r="B699">
        <v>27</v>
      </c>
      <c r="C699" s="364">
        <v>46204</v>
      </c>
      <c r="D699" t="s">
        <v>1</v>
      </c>
      <c r="E699" t="s">
        <v>246</v>
      </c>
      <c r="F699" t="s">
        <v>227</v>
      </c>
      <c r="G699" s="3">
        <v>40</v>
      </c>
      <c r="H699" s="365">
        <v>27</v>
      </c>
      <c r="I699" s="365">
        <v>1080</v>
      </c>
      <c r="J699" t="s">
        <v>209</v>
      </c>
    </row>
    <row r="700" spans="1:11">
      <c r="A700" t="str">
        <f>IF(LEFT(E700,1)="1","SOL",IF(LEFT(E700,1)="2","CO",IF(LEFT(E700,1)="3","ALM",IF(LEFT(E700,1)="4","FAC","TRX")))) &amp; "-" &amp; B700 &amp; "-" &amp; TEXT(COUNTIFS($E$2:$E700,E700,$B$2:$B700,B700),"000")</f>
        <v>CO-27-030</v>
      </c>
      <c r="B700">
        <v>27</v>
      </c>
      <c r="C700" s="364">
        <v>46204</v>
      </c>
      <c r="D700" t="s">
        <v>1</v>
      </c>
      <c r="E700" t="s">
        <v>246</v>
      </c>
      <c r="F700" t="s">
        <v>260</v>
      </c>
      <c r="G700" s="3">
        <v>120</v>
      </c>
      <c r="H700" s="365">
        <v>27</v>
      </c>
      <c r="I700" s="365">
        <v>3240</v>
      </c>
      <c r="J700" t="s">
        <v>209</v>
      </c>
    </row>
    <row r="701" spans="1:11">
      <c r="A701" t="str">
        <f>IF(LEFT(E701,1)="1","SOL",IF(LEFT(E701,1)="2","CO",IF(LEFT(E701,1)="3","ALM",IF(LEFT(E701,1)="4","FAC","TRX")))) &amp; "-" &amp; B701 &amp; "-" &amp; TEXT(COUNTIFS($E$2:$E701,E701,$B$2:$B701,B701),"000")</f>
        <v>SOL-27-052</v>
      </c>
      <c r="B701">
        <v>27</v>
      </c>
      <c r="C701" s="364">
        <v>46205</v>
      </c>
      <c r="D701" t="s">
        <v>235</v>
      </c>
      <c r="E701" t="s">
        <v>208</v>
      </c>
      <c r="F701" t="s">
        <v>236</v>
      </c>
      <c r="G701" s="3">
        <v>300</v>
      </c>
      <c r="H701" s="365">
        <v>27</v>
      </c>
      <c r="I701" s="365">
        <v>8100</v>
      </c>
      <c r="J701" t="s">
        <v>209</v>
      </c>
      <c r="K701">
        <v>23.95</v>
      </c>
    </row>
    <row r="702" spans="1:11">
      <c r="A702" t="str">
        <f>IF(LEFT(E702,1)="1","SOL",IF(LEFT(E702,1)="2","CO",IF(LEFT(E702,1)="3","ALM",IF(LEFT(E702,1)="4","FAC","TRX")))) &amp; "-" &amp; B702 &amp; "-" &amp; TEXT(COUNTIFS($E$2:$E702,E702,$B$2:$B702,B702),"000")</f>
        <v>SOL-27-053</v>
      </c>
      <c r="B702">
        <v>27</v>
      </c>
      <c r="C702" s="364">
        <v>46205</v>
      </c>
      <c r="D702" t="s">
        <v>235</v>
      </c>
      <c r="E702" t="s">
        <v>208</v>
      </c>
      <c r="F702" t="s">
        <v>240</v>
      </c>
      <c r="G702" s="3">
        <v>50</v>
      </c>
      <c r="H702" s="365">
        <v>27</v>
      </c>
      <c r="I702" s="365">
        <v>1350</v>
      </c>
      <c r="J702" t="s">
        <v>209</v>
      </c>
      <c r="K702">
        <v>23.95</v>
      </c>
    </row>
    <row r="703" spans="1:11">
      <c r="A703" t="str">
        <f>IF(LEFT(E703,1)="1","SOL",IF(LEFT(E703,1)="2","CO",IF(LEFT(E703,1)="3","ALM",IF(LEFT(E703,1)="4","FAC","TRX")))) &amp; "-" &amp; B703 &amp; "-" &amp; TEXT(COUNTIFS($E$2:$E703,E703,$B$2:$B703,B703),"000")</f>
        <v>SOL-27-054</v>
      </c>
      <c r="B703">
        <v>27</v>
      </c>
      <c r="C703" s="364">
        <v>46205</v>
      </c>
      <c r="D703" t="s">
        <v>235</v>
      </c>
      <c r="E703" t="s">
        <v>208</v>
      </c>
      <c r="F703" t="s">
        <v>237</v>
      </c>
      <c r="G703" s="3">
        <v>100</v>
      </c>
      <c r="H703" s="365">
        <v>27</v>
      </c>
      <c r="I703" s="365">
        <v>2700</v>
      </c>
      <c r="J703" t="s">
        <v>209</v>
      </c>
      <c r="K703">
        <v>23.95</v>
      </c>
    </row>
    <row r="704" spans="1:11">
      <c r="A704" t="str">
        <f>IF(LEFT(E704,1)="1","SOL",IF(LEFT(E704,1)="2","CO",IF(LEFT(E704,1)="3","ALM",IF(LEFT(E704,1)="4","FAC","TRX")))) &amp; "-" &amp; B704 &amp; "-" &amp; TEXT(COUNTIFS($E$2:$E704,E704,$B$2:$B704,B704),"000")</f>
        <v>SOL-27-055</v>
      </c>
      <c r="B704">
        <v>27</v>
      </c>
      <c r="C704" s="364">
        <v>46205</v>
      </c>
      <c r="D704" t="s">
        <v>235</v>
      </c>
      <c r="E704" t="s">
        <v>208</v>
      </c>
      <c r="F704" t="s">
        <v>238</v>
      </c>
      <c r="G704" s="3">
        <v>100</v>
      </c>
      <c r="H704" s="365">
        <v>27</v>
      </c>
      <c r="I704" s="365">
        <v>2700</v>
      </c>
      <c r="J704" t="s">
        <v>209</v>
      </c>
      <c r="K704">
        <v>23.95</v>
      </c>
    </row>
    <row r="705" spans="1:11">
      <c r="A705" t="str">
        <f>IF(LEFT(E705,1)="1","SOL",IF(LEFT(E705,1)="2","CO",IF(LEFT(E705,1)="3","ALM",IF(LEFT(E705,1)="4","FAC","TRX")))) &amp; "-" &amp; B705 &amp; "-" &amp; TEXT(COUNTIFS($E$2:$E705,E705,$B$2:$B705,B705),"000")</f>
        <v>SOL-27-056</v>
      </c>
      <c r="B705">
        <v>27</v>
      </c>
      <c r="C705" s="364">
        <v>46205</v>
      </c>
      <c r="D705" t="s">
        <v>235</v>
      </c>
      <c r="E705" t="s">
        <v>208</v>
      </c>
      <c r="F705" t="s">
        <v>239</v>
      </c>
      <c r="G705" s="3">
        <v>100</v>
      </c>
      <c r="H705" s="365">
        <v>27</v>
      </c>
      <c r="I705" s="365">
        <v>2700</v>
      </c>
      <c r="J705" t="s">
        <v>209</v>
      </c>
      <c r="K705">
        <v>23.95</v>
      </c>
    </row>
    <row r="706" spans="1:11">
      <c r="A706" t="str">
        <f>IF(LEFT(E706,1)="1","SOL",IF(LEFT(E706,1)="2","CO",IF(LEFT(E706,1)="3","ALM",IF(LEFT(E706,1)="4","FAC","TRX")))) &amp; "-" &amp; B706 &amp; "-" &amp; TEXT(COUNTIFS($E$2:$E706,E706,$B$2:$B706,B706),"000")</f>
        <v>SOL-27-057</v>
      </c>
      <c r="B706">
        <v>27</v>
      </c>
      <c r="C706" s="364">
        <v>46205</v>
      </c>
      <c r="D706" t="s">
        <v>1</v>
      </c>
      <c r="E706" t="s">
        <v>208</v>
      </c>
      <c r="F706" t="s">
        <v>213</v>
      </c>
      <c r="G706" s="3">
        <v>200</v>
      </c>
      <c r="H706" s="365">
        <v>27</v>
      </c>
      <c r="I706" s="365">
        <v>5400</v>
      </c>
      <c r="J706" t="s">
        <v>209</v>
      </c>
      <c r="K706">
        <v>23.95</v>
      </c>
    </row>
    <row r="707" spans="1:11">
      <c r="A707" t="str">
        <f>IF(LEFT(E707,1)="1","SOL",IF(LEFT(E707,1)="2","CO",IF(LEFT(E707,1)="3","ALM",IF(LEFT(E707,1)="4","FAC","TRX")))) &amp; "-" &amp; B707 &amp; "-" &amp; TEXT(COUNTIFS($E$2:$E707,E707,$B$2:$B707,B707),"000")</f>
        <v>SOL-27-058</v>
      </c>
      <c r="B707">
        <v>27</v>
      </c>
      <c r="C707" s="364">
        <v>46205</v>
      </c>
      <c r="D707" t="s">
        <v>1</v>
      </c>
      <c r="E707" t="s">
        <v>208</v>
      </c>
      <c r="F707" t="s">
        <v>216</v>
      </c>
      <c r="G707" s="3">
        <v>120</v>
      </c>
      <c r="H707" s="365">
        <v>27</v>
      </c>
      <c r="I707" s="365">
        <v>3240</v>
      </c>
      <c r="J707" t="s">
        <v>209</v>
      </c>
      <c r="K707">
        <v>23.95</v>
      </c>
    </row>
    <row r="708" spans="1:11">
      <c r="A708" t="str">
        <f>IF(LEFT(E708,1)="1","SOL",IF(LEFT(E708,1)="2","CO",IF(LEFT(E708,1)="3","ALM",IF(LEFT(E708,1)="4","FAC","TRX")))) &amp; "-" &amp; B708 &amp; "-" &amp; TEXT(COUNTIFS($E$2:$E708,E708,$B$2:$B708,B708),"000")</f>
        <v>SOL-27-059</v>
      </c>
      <c r="B708">
        <v>27</v>
      </c>
      <c r="C708" s="364">
        <v>46205</v>
      </c>
      <c r="D708" t="s">
        <v>1</v>
      </c>
      <c r="E708" t="s">
        <v>208</v>
      </c>
      <c r="F708" t="s">
        <v>241</v>
      </c>
      <c r="G708" s="3">
        <v>40</v>
      </c>
      <c r="H708" s="365">
        <v>27</v>
      </c>
      <c r="I708" s="365">
        <v>1080</v>
      </c>
      <c r="J708" t="s">
        <v>209</v>
      </c>
      <c r="K708">
        <v>23.95</v>
      </c>
    </row>
    <row r="709" spans="1:11">
      <c r="A709" t="str">
        <f>IF(LEFT(E709,1)="1","SOL",IF(LEFT(E709,1)="2","CO",IF(LEFT(E709,1)="3","ALM",IF(LEFT(E709,1)="4","FAC","TRX")))) &amp; "-" &amp; B709 &amp; "-" &amp; TEXT(COUNTIFS($E$2:$E709,E709,$B$2:$B709,B709),"000")</f>
        <v>SOL-27-060</v>
      </c>
      <c r="B709">
        <v>27</v>
      </c>
      <c r="C709" s="364">
        <v>46205</v>
      </c>
      <c r="D709" t="s">
        <v>1</v>
      </c>
      <c r="E709" t="s">
        <v>208</v>
      </c>
      <c r="F709" t="s">
        <v>241</v>
      </c>
      <c r="G709" s="3">
        <v>40</v>
      </c>
      <c r="H709" s="365">
        <v>27</v>
      </c>
      <c r="I709" s="365">
        <v>1080</v>
      </c>
      <c r="J709" t="s">
        <v>209</v>
      </c>
      <c r="K709">
        <v>23.95</v>
      </c>
    </row>
    <row r="710" spans="1:11">
      <c r="A710" t="str">
        <f>IF(LEFT(E710,1)="1","SOL",IF(LEFT(E710,1)="2","CO",IF(LEFT(E710,1)="3","ALM",IF(LEFT(E710,1)="4","FAC","TRX")))) &amp; "-" &amp; B710 &amp; "-" &amp; TEXT(COUNTIFS($E$2:$E710,E710,$B$2:$B710,B710),"000")</f>
        <v>SOL-27-061</v>
      </c>
      <c r="B710">
        <v>27</v>
      </c>
      <c r="C710" s="364">
        <v>46205</v>
      </c>
      <c r="D710" t="s">
        <v>1</v>
      </c>
      <c r="E710" t="s">
        <v>208</v>
      </c>
      <c r="F710" t="s">
        <v>218</v>
      </c>
      <c r="G710" s="3">
        <v>30</v>
      </c>
      <c r="H710" s="365">
        <v>27</v>
      </c>
      <c r="I710" s="365">
        <v>810</v>
      </c>
      <c r="J710" t="s">
        <v>209</v>
      </c>
      <c r="K710">
        <v>23.95</v>
      </c>
    </row>
    <row r="711" spans="1:11">
      <c r="A711" t="str">
        <f>IF(LEFT(E711,1)="1","SOL",IF(LEFT(E711,1)="2","CO",IF(LEFT(E711,1)="3","ALM",IF(LEFT(E711,1)="4","FAC","TRX")))) &amp; "-" &amp; B711 &amp; "-" &amp; TEXT(COUNTIFS($E$2:$E711,E711,$B$2:$B711,B711),"000")</f>
        <v>SOL-27-062</v>
      </c>
      <c r="B711">
        <v>27</v>
      </c>
      <c r="C711" s="364">
        <v>46205</v>
      </c>
      <c r="D711" t="s">
        <v>1</v>
      </c>
      <c r="E711" t="s">
        <v>208</v>
      </c>
      <c r="F711" t="s">
        <v>227</v>
      </c>
      <c r="G711" s="3">
        <v>30</v>
      </c>
      <c r="H711" s="365">
        <v>27</v>
      </c>
      <c r="I711" s="365">
        <v>810</v>
      </c>
      <c r="J711" t="s">
        <v>209</v>
      </c>
      <c r="K711">
        <v>23.95</v>
      </c>
    </row>
    <row r="712" spans="1:11">
      <c r="A712" t="str">
        <f>IF(LEFT(E712,1)="1","SOL",IF(LEFT(E712,1)="2","CO",IF(LEFT(E712,1)="3","ALM",IF(LEFT(E712,1)="4","FAC","TRX")))) &amp; "-" &amp; B712 &amp; "-" &amp; TEXT(COUNTIFS($E$2:$E712,E712,$B$2:$B712,B712),"000")</f>
        <v>SOL-27-063</v>
      </c>
      <c r="B712">
        <v>27</v>
      </c>
      <c r="C712" s="364">
        <v>46205</v>
      </c>
      <c r="D712" t="s">
        <v>1</v>
      </c>
      <c r="E712" t="s">
        <v>208</v>
      </c>
      <c r="F712" t="s">
        <v>242</v>
      </c>
      <c r="G712" s="3">
        <v>20</v>
      </c>
      <c r="H712" s="365">
        <v>27</v>
      </c>
      <c r="I712" s="365">
        <v>540</v>
      </c>
      <c r="J712" t="s">
        <v>209</v>
      </c>
      <c r="K712">
        <v>23.95</v>
      </c>
    </row>
    <row r="713" spans="1:11">
      <c r="A713" t="str">
        <f>IF(LEFT(E713,1)="1","SOL",IF(LEFT(E713,1)="2","CO",IF(LEFT(E713,1)="3","ALM",IF(LEFT(E713,1)="4","FAC","TRX")))) &amp; "-" &amp; B713 &amp; "-" &amp; TEXT(COUNTIFS($E$2:$E713,E713,$B$2:$B713,B713),"000")</f>
        <v>SOL-27-064</v>
      </c>
      <c r="B713">
        <v>27</v>
      </c>
      <c r="C713" s="364">
        <v>46205</v>
      </c>
      <c r="D713" t="s">
        <v>1</v>
      </c>
      <c r="E713" t="s">
        <v>208</v>
      </c>
      <c r="F713" t="s">
        <v>215</v>
      </c>
      <c r="G713" s="3">
        <v>50</v>
      </c>
      <c r="H713" s="365">
        <v>27</v>
      </c>
      <c r="I713" s="365">
        <v>1350</v>
      </c>
      <c r="J713" t="s">
        <v>209</v>
      </c>
      <c r="K713">
        <v>23.95</v>
      </c>
    </row>
    <row r="714" spans="1:11">
      <c r="A714" t="str">
        <f>IF(LEFT(E714,1)="1","SOL",IF(LEFT(E714,1)="2","CO",IF(LEFT(E714,1)="3","ALM",IF(LEFT(E714,1)="4","FAC","TRX")))) &amp; "-" &amp; B714 &amp; "-" &amp; TEXT(COUNTIFS($E$2:$E714,E714,$B$2:$B714,B714),"000")</f>
        <v>SOL-27-065</v>
      </c>
      <c r="B714">
        <v>27</v>
      </c>
      <c r="C714" s="364">
        <v>46205</v>
      </c>
      <c r="D714" t="s">
        <v>1</v>
      </c>
      <c r="E714" t="s">
        <v>208</v>
      </c>
      <c r="F714" t="s">
        <v>221</v>
      </c>
      <c r="G714" s="3">
        <v>50</v>
      </c>
      <c r="H714" s="365">
        <v>27</v>
      </c>
      <c r="I714" s="365">
        <v>1350</v>
      </c>
      <c r="J714" t="s">
        <v>209</v>
      </c>
      <c r="K714">
        <v>23.95</v>
      </c>
    </row>
    <row r="715" spans="1:11">
      <c r="A715" t="str">
        <f>IF(LEFT(E715,1)="1","SOL",IF(LEFT(E715,1)="2","CO",IF(LEFT(E715,1)="3","ALM",IF(LEFT(E715,1)="4","FAC","TRX")))) &amp; "-" &amp; B715 &amp; "-" &amp; TEXT(COUNTIFS($E$2:$E715,E715,$B$2:$B715,B715),"000")</f>
        <v>SOL-27-066</v>
      </c>
      <c r="B715">
        <v>27</v>
      </c>
      <c r="C715" s="364">
        <v>46205</v>
      </c>
      <c r="D715" t="s">
        <v>126</v>
      </c>
      <c r="E715" t="s">
        <v>208</v>
      </c>
      <c r="F715" t="s">
        <v>223</v>
      </c>
      <c r="G715" s="3">
        <v>60</v>
      </c>
      <c r="H715" s="365">
        <v>27</v>
      </c>
      <c r="I715" s="365">
        <v>1620</v>
      </c>
      <c r="J715" t="s">
        <v>209</v>
      </c>
      <c r="K715">
        <v>23.95</v>
      </c>
    </row>
    <row r="716" spans="1:11">
      <c r="A716" t="str">
        <f>IF(LEFT(E716,1)="1","SOL",IF(LEFT(E716,1)="2","CO",IF(LEFT(E716,1)="3","ALM",IF(LEFT(E716,1)="4","FAC","TRX")))) &amp; "-" &amp; B716 &amp; "-" &amp; TEXT(COUNTIFS($E$2:$E716,E716,$B$2:$B716,B716),"000")</f>
        <v>SOL-27-067</v>
      </c>
      <c r="B716">
        <v>27</v>
      </c>
      <c r="C716" s="364">
        <v>46205</v>
      </c>
      <c r="D716" t="s">
        <v>126</v>
      </c>
      <c r="E716" t="s">
        <v>208</v>
      </c>
      <c r="F716" t="s">
        <v>223</v>
      </c>
      <c r="G716" s="3">
        <v>60</v>
      </c>
      <c r="H716" s="365">
        <v>27</v>
      </c>
      <c r="I716" s="365">
        <v>1620</v>
      </c>
      <c r="J716" t="s">
        <v>209</v>
      </c>
      <c r="K716">
        <v>23.95</v>
      </c>
    </row>
    <row r="717" spans="1:11">
      <c r="A717" t="str">
        <f>IF(LEFT(E717,1)="1","SOL",IF(LEFT(E717,1)="2","CO",IF(LEFT(E717,1)="3","ALM",IF(LEFT(E717,1)="4","FAC","TRX")))) &amp; "-" &amp; B717 &amp; "-" &amp; TEXT(COUNTIFS($E$2:$E717,E717,$B$2:$B717,B717),"000")</f>
        <v>SOL-27-068</v>
      </c>
      <c r="B717">
        <v>27</v>
      </c>
      <c r="C717" s="364">
        <v>46205</v>
      </c>
      <c r="D717" t="s">
        <v>126</v>
      </c>
      <c r="E717" t="s">
        <v>208</v>
      </c>
      <c r="F717" t="s">
        <v>229</v>
      </c>
      <c r="G717" s="3">
        <v>5</v>
      </c>
      <c r="H717" s="365">
        <v>27</v>
      </c>
      <c r="I717" s="365">
        <v>135</v>
      </c>
      <c r="J717" t="s">
        <v>209</v>
      </c>
      <c r="K717">
        <v>23.95</v>
      </c>
    </row>
    <row r="718" spans="1:11">
      <c r="A718" t="str">
        <f>IF(LEFT(E718,1)="1","SOL",IF(LEFT(E718,1)="2","CO",IF(LEFT(E718,1)="3","ALM",IF(LEFT(E718,1)="4","FAC","TRX")))) &amp; "-" &amp; B718 &amp; "-" &amp; TEXT(COUNTIFS($E$2:$E718,E718,$B$2:$B718,B718),"000")</f>
        <v>SOL-27-069</v>
      </c>
      <c r="B718">
        <v>27</v>
      </c>
      <c r="C718" s="364">
        <v>46205</v>
      </c>
      <c r="D718" t="s">
        <v>126</v>
      </c>
      <c r="E718" t="s">
        <v>208</v>
      </c>
      <c r="F718" t="s">
        <v>243</v>
      </c>
      <c r="G718" s="3">
        <v>5</v>
      </c>
      <c r="H718" s="365">
        <v>27</v>
      </c>
      <c r="I718" s="365">
        <v>135</v>
      </c>
      <c r="J718" t="s">
        <v>209</v>
      </c>
      <c r="K718">
        <v>23.95</v>
      </c>
    </row>
    <row r="719" spans="1:11">
      <c r="A719" t="str">
        <f>IF(LEFT(E719,1)="1","SOL",IF(LEFT(E719,1)="2","CO",IF(LEFT(E719,1)="3","ALM",IF(LEFT(E719,1)="4","FAC","TRX")))) &amp; "-" &amp; B719 &amp; "-" &amp; TEXT(COUNTIFS($E$2:$E719,E719,$B$2:$B719,B719),"000")</f>
        <v>SOL-27-070</v>
      </c>
      <c r="B719">
        <v>27</v>
      </c>
      <c r="C719" s="364">
        <v>46205</v>
      </c>
      <c r="D719" t="s">
        <v>126</v>
      </c>
      <c r="E719" t="s">
        <v>208</v>
      </c>
      <c r="F719" t="s">
        <v>244</v>
      </c>
      <c r="G719" s="3">
        <v>100</v>
      </c>
      <c r="H719" s="365">
        <v>27</v>
      </c>
      <c r="I719" s="365">
        <v>2700</v>
      </c>
      <c r="J719" t="s">
        <v>209</v>
      </c>
      <c r="K719">
        <v>23.95</v>
      </c>
    </row>
    <row r="720" spans="1:11">
      <c r="A720" t="str">
        <f>IF(LEFT(E720,1)="1","SOL",IF(LEFT(E720,1)="2","CO",IF(LEFT(E720,1)="3","ALM",IF(LEFT(E720,1)="4","FAC","TRX")))) &amp; "-" &amp; B720 &amp; "-" &amp; TEXT(COUNTIFS($E$2:$E720,E720,$B$2:$B720,B720),"000")</f>
        <v>SOL-27-071</v>
      </c>
      <c r="B720">
        <v>27</v>
      </c>
      <c r="C720" s="364">
        <v>46206</v>
      </c>
      <c r="D720" t="s">
        <v>235</v>
      </c>
      <c r="E720" t="s">
        <v>208</v>
      </c>
      <c r="F720" t="s">
        <v>236</v>
      </c>
      <c r="G720" s="3">
        <v>300</v>
      </c>
      <c r="H720" s="365">
        <v>27</v>
      </c>
      <c r="I720" s="365">
        <v>8100</v>
      </c>
      <c r="J720" t="s">
        <v>209</v>
      </c>
      <c r="K720">
        <v>23.95</v>
      </c>
    </row>
    <row r="721" spans="1:11">
      <c r="A721" t="str">
        <f>IF(LEFT(E721,1)="1","SOL",IF(LEFT(E721,1)="2","CO",IF(LEFT(E721,1)="3","ALM",IF(LEFT(E721,1)="4","FAC","TRX")))) &amp; "-" &amp; B721 &amp; "-" &amp; TEXT(COUNTIFS($E$2:$E721,E721,$B$2:$B721,B721),"000")</f>
        <v>SOL-27-072</v>
      </c>
      <c r="B721">
        <v>27</v>
      </c>
      <c r="C721" s="364">
        <v>46206</v>
      </c>
      <c r="D721" t="s">
        <v>235</v>
      </c>
      <c r="E721" t="s">
        <v>208</v>
      </c>
      <c r="F721" t="s">
        <v>238</v>
      </c>
      <c r="G721" s="3">
        <v>100</v>
      </c>
      <c r="H721" s="365">
        <v>27</v>
      </c>
      <c r="I721" s="365">
        <v>2700</v>
      </c>
      <c r="J721" t="s">
        <v>209</v>
      </c>
      <c r="K721">
        <v>23.95</v>
      </c>
    </row>
    <row r="722" spans="1:11">
      <c r="A722" t="str">
        <f>IF(LEFT(E722,1)="1","SOL",IF(LEFT(E722,1)="2","CO",IF(LEFT(E722,1)="3","ALM",IF(LEFT(E722,1)="4","FAC","TRX")))) &amp; "-" &amp; B722 &amp; "-" &amp; TEXT(COUNTIFS($E$2:$E722,E722,$B$2:$B722,B722),"000")</f>
        <v>SOL-27-073</v>
      </c>
      <c r="B722">
        <v>27</v>
      </c>
      <c r="C722" s="364">
        <v>46206</v>
      </c>
      <c r="D722" t="s">
        <v>235</v>
      </c>
      <c r="E722" t="s">
        <v>208</v>
      </c>
      <c r="F722" t="s">
        <v>239</v>
      </c>
      <c r="G722" s="3">
        <v>100</v>
      </c>
      <c r="H722" s="365">
        <v>27</v>
      </c>
      <c r="I722" s="365">
        <v>2700</v>
      </c>
      <c r="J722" t="s">
        <v>209</v>
      </c>
      <c r="K722">
        <v>23.95</v>
      </c>
    </row>
    <row r="723" spans="1:11">
      <c r="A723" t="str">
        <f>IF(LEFT(E723,1)="1","SOL",IF(LEFT(E723,1)="2","CO",IF(LEFT(E723,1)="3","ALM",IF(LEFT(E723,1)="4","FAC","TRX")))) &amp; "-" &amp; B723 &amp; "-" &amp; TEXT(COUNTIFS($E$2:$E723,E723,$B$2:$B723,B723),"000")</f>
        <v>SOL-27-074</v>
      </c>
      <c r="B723">
        <v>27</v>
      </c>
      <c r="C723" s="364">
        <v>46206</v>
      </c>
      <c r="D723" t="s">
        <v>1</v>
      </c>
      <c r="E723" t="s">
        <v>208</v>
      </c>
      <c r="F723" t="s">
        <v>213</v>
      </c>
      <c r="G723" s="3">
        <v>250</v>
      </c>
      <c r="H723" s="365">
        <v>27</v>
      </c>
      <c r="I723" s="365">
        <v>6750</v>
      </c>
      <c r="J723" t="s">
        <v>209</v>
      </c>
      <c r="K723">
        <v>23.95</v>
      </c>
    </row>
    <row r="724" spans="1:11">
      <c r="A724" t="str">
        <f>IF(LEFT(E724,1)="1","SOL",IF(LEFT(E724,1)="2","CO",IF(LEFT(E724,1)="3","ALM",IF(LEFT(E724,1)="4","FAC","TRX")))) &amp; "-" &amp; B724 &amp; "-" &amp; TEXT(COUNTIFS($E$2:$E724,E724,$B$2:$B724,B724),"000")</f>
        <v>SOL-27-075</v>
      </c>
      <c r="B724">
        <v>27</v>
      </c>
      <c r="C724" s="364">
        <v>46206</v>
      </c>
      <c r="D724" t="s">
        <v>1</v>
      </c>
      <c r="E724" t="s">
        <v>208</v>
      </c>
      <c r="F724" t="s">
        <v>216</v>
      </c>
      <c r="G724" s="3">
        <v>100</v>
      </c>
      <c r="H724" s="365">
        <v>27</v>
      </c>
      <c r="I724" s="365">
        <v>2700</v>
      </c>
      <c r="J724" t="s">
        <v>209</v>
      </c>
      <c r="K724">
        <v>23.95</v>
      </c>
    </row>
    <row r="725" spans="1:11">
      <c r="A725" t="str">
        <f>IF(LEFT(E725,1)="1","SOL",IF(LEFT(E725,1)="2","CO",IF(LEFT(E725,1)="3","ALM",IF(LEFT(E725,1)="4","FAC","TRX")))) &amp; "-" &amp; B725 &amp; "-" &amp; TEXT(COUNTIFS($E$2:$E725,E725,$B$2:$B725,B725),"000")</f>
        <v>SOL-27-076</v>
      </c>
      <c r="B725">
        <v>27</v>
      </c>
      <c r="C725" s="364">
        <v>46206</v>
      </c>
      <c r="D725" t="s">
        <v>1</v>
      </c>
      <c r="E725" t="s">
        <v>208</v>
      </c>
      <c r="F725" t="s">
        <v>241</v>
      </c>
      <c r="G725" s="3">
        <v>30</v>
      </c>
      <c r="H725" s="365">
        <v>27</v>
      </c>
      <c r="I725" s="365">
        <v>810</v>
      </c>
      <c r="J725" t="s">
        <v>209</v>
      </c>
      <c r="K725">
        <v>23.95</v>
      </c>
    </row>
    <row r="726" spans="1:11">
      <c r="A726" t="str">
        <f>IF(LEFT(E726,1)="1","SOL",IF(LEFT(E726,1)="2","CO",IF(LEFT(E726,1)="3","ALM",IF(LEFT(E726,1)="4","FAC","TRX")))) &amp; "-" &amp; B726 &amp; "-" &amp; TEXT(COUNTIFS($E$2:$E726,E726,$B$2:$B726,B726),"000")</f>
        <v>SOL-27-077</v>
      </c>
      <c r="B726">
        <v>27</v>
      </c>
      <c r="C726" s="364">
        <v>46206</v>
      </c>
      <c r="D726" t="s">
        <v>1</v>
      </c>
      <c r="E726" t="s">
        <v>208</v>
      </c>
      <c r="F726" t="s">
        <v>241</v>
      </c>
      <c r="G726" s="3">
        <v>30</v>
      </c>
      <c r="H726" s="365">
        <v>27</v>
      </c>
      <c r="I726" s="365">
        <v>810</v>
      </c>
      <c r="J726" t="s">
        <v>209</v>
      </c>
      <c r="K726">
        <v>23.95</v>
      </c>
    </row>
    <row r="727" spans="1:11">
      <c r="A727" t="str">
        <f>IF(LEFT(E727,1)="1","SOL",IF(LEFT(E727,1)="2","CO",IF(LEFT(E727,1)="3","ALM",IF(LEFT(E727,1)="4","FAC","TRX")))) &amp; "-" &amp; B727 &amp; "-" &amp; TEXT(COUNTIFS($E$2:$E727,E727,$B$2:$B727,B727),"000")</f>
        <v>SOL-27-078</v>
      </c>
      <c r="B727">
        <v>27</v>
      </c>
      <c r="C727" s="364">
        <v>46206</v>
      </c>
      <c r="D727" t="s">
        <v>1</v>
      </c>
      <c r="E727" t="s">
        <v>208</v>
      </c>
      <c r="F727" t="s">
        <v>218</v>
      </c>
      <c r="G727" s="3">
        <v>30</v>
      </c>
      <c r="H727" s="365">
        <v>27</v>
      </c>
      <c r="I727" s="365">
        <v>810</v>
      </c>
      <c r="J727" t="s">
        <v>209</v>
      </c>
      <c r="K727">
        <v>23.95</v>
      </c>
    </row>
    <row r="728" spans="1:11">
      <c r="A728" t="str">
        <f>IF(LEFT(E728,1)="1","SOL",IF(LEFT(E728,1)="2","CO",IF(LEFT(E728,1)="3","ALM",IF(LEFT(E728,1)="4","FAC","TRX")))) &amp; "-" &amp; B728 &amp; "-" &amp; TEXT(COUNTIFS($E$2:$E728,E728,$B$2:$B728,B728),"000")</f>
        <v>SOL-27-079</v>
      </c>
      <c r="B728">
        <v>27</v>
      </c>
      <c r="C728" s="364">
        <v>46206</v>
      </c>
      <c r="D728" t="s">
        <v>1</v>
      </c>
      <c r="E728" t="s">
        <v>208</v>
      </c>
      <c r="F728" t="s">
        <v>227</v>
      </c>
      <c r="G728" s="3">
        <v>30</v>
      </c>
      <c r="H728" s="365">
        <v>27</v>
      </c>
      <c r="I728" s="365">
        <v>810</v>
      </c>
      <c r="J728" t="s">
        <v>209</v>
      </c>
      <c r="K728">
        <v>23.95</v>
      </c>
    </row>
    <row r="729" spans="1:11">
      <c r="A729" t="str">
        <f>IF(LEFT(E729,1)="1","SOL",IF(LEFT(E729,1)="2","CO",IF(LEFT(E729,1)="3","ALM",IF(LEFT(E729,1)="4","FAC","TRX")))) &amp; "-" &amp; B729 &amp; "-" &amp; TEXT(COUNTIFS($E$2:$E729,E729,$B$2:$B729,B729),"000")</f>
        <v>SOL-27-080</v>
      </c>
      <c r="B729">
        <v>27</v>
      </c>
      <c r="C729" s="364">
        <v>46206</v>
      </c>
      <c r="D729" t="s">
        <v>1</v>
      </c>
      <c r="E729" t="s">
        <v>208</v>
      </c>
      <c r="F729" t="s">
        <v>242</v>
      </c>
      <c r="G729" s="3">
        <v>20</v>
      </c>
      <c r="H729" s="365">
        <v>27</v>
      </c>
      <c r="I729" s="365">
        <v>540</v>
      </c>
      <c r="J729" t="s">
        <v>209</v>
      </c>
      <c r="K729">
        <v>23.95</v>
      </c>
    </row>
    <row r="730" spans="1:11">
      <c r="A730" t="str">
        <f>IF(LEFT(E730,1)="1","SOL",IF(LEFT(E730,1)="2","CO",IF(LEFT(E730,1)="3","ALM",IF(LEFT(E730,1)="4","FAC","TRX")))) &amp; "-" &amp; B730 &amp; "-" &amp; TEXT(COUNTIFS($E$2:$E730,E730,$B$2:$B730,B730),"000")</f>
        <v>SOL-27-081</v>
      </c>
      <c r="B730">
        <v>27</v>
      </c>
      <c r="C730" s="364">
        <v>46206</v>
      </c>
      <c r="D730" t="s">
        <v>1</v>
      </c>
      <c r="E730" t="s">
        <v>208</v>
      </c>
      <c r="F730" t="s">
        <v>215</v>
      </c>
      <c r="G730" s="3">
        <v>50</v>
      </c>
      <c r="H730" s="365">
        <v>27</v>
      </c>
      <c r="I730" s="365">
        <v>1350</v>
      </c>
      <c r="J730" t="s">
        <v>209</v>
      </c>
      <c r="K730">
        <v>23.95</v>
      </c>
    </row>
    <row r="731" spans="1:11">
      <c r="A731" t="str">
        <f>IF(LEFT(E731,1)="1","SOL",IF(LEFT(E731,1)="2","CO",IF(LEFT(E731,1)="3","ALM",IF(LEFT(E731,1)="4","FAC","TRX")))) &amp; "-" &amp; B731 &amp; "-" &amp; TEXT(COUNTIFS($E$2:$E731,E731,$B$2:$B731,B731),"000")</f>
        <v>SOL-27-082</v>
      </c>
      <c r="B731">
        <v>27</v>
      </c>
      <c r="C731" s="364">
        <v>46206</v>
      </c>
      <c r="D731" t="s">
        <v>1</v>
      </c>
      <c r="E731" t="s">
        <v>208</v>
      </c>
      <c r="F731" t="s">
        <v>221</v>
      </c>
      <c r="G731" s="3">
        <v>50</v>
      </c>
      <c r="H731" s="365">
        <v>27</v>
      </c>
      <c r="I731" s="365">
        <v>1350</v>
      </c>
      <c r="J731" t="s">
        <v>209</v>
      </c>
      <c r="K731">
        <v>23.95</v>
      </c>
    </row>
    <row r="732" spans="1:11">
      <c r="A732" t="str">
        <f>IF(LEFT(E732,1)="1","SOL",IF(LEFT(E732,1)="2","CO",IF(LEFT(E732,1)="3","ALM",IF(LEFT(E732,1)="4","FAC","TRX")))) &amp; "-" &amp; B732 &amp; "-" &amp; TEXT(COUNTIFS($E$2:$E732,E732,$B$2:$B732,B732),"000")</f>
        <v>SOL-27-083</v>
      </c>
      <c r="B732">
        <v>27</v>
      </c>
      <c r="C732" s="364">
        <v>46206</v>
      </c>
      <c r="D732" t="s">
        <v>126</v>
      </c>
      <c r="E732" t="s">
        <v>208</v>
      </c>
      <c r="F732" t="s">
        <v>223</v>
      </c>
      <c r="G732" s="3">
        <v>50</v>
      </c>
      <c r="H732" s="365">
        <v>27</v>
      </c>
      <c r="I732" s="365">
        <v>1350</v>
      </c>
      <c r="J732" t="s">
        <v>209</v>
      </c>
      <c r="K732">
        <v>23.95</v>
      </c>
    </row>
    <row r="733" spans="1:11">
      <c r="A733" t="str">
        <f>IF(LEFT(E733,1)="1","SOL",IF(LEFT(E733,1)="2","CO",IF(LEFT(E733,1)="3","ALM",IF(LEFT(E733,1)="4","FAC","TRX")))) &amp; "-" &amp; B733 &amp; "-" &amp; TEXT(COUNTIFS($E$2:$E733,E733,$B$2:$B733,B733),"000")</f>
        <v>SOL-27-084</v>
      </c>
      <c r="B733">
        <v>27</v>
      </c>
      <c r="C733" s="364">
        <v>46206</v>
      </c>
      <c r="D733" t="s">
        <v>126</v>
      </c>
      <c r="E733" t="s">
        <v>208</v>
      </c>
      <c r="F733" t="s">
        <v>223</v>
      </c>
      <c r="G733" s="3">
        <v>50</v>
      </c>
      <c r="H733" s="365">
        <v>27</v>
      </c>
      <c r="I733" s="365">
        <v>1350</v>
      </c>
      <c r="J733" t="s">
        <v>209</v>
      </c>
      <c r="K733">
        <v>23.95</v>
      </c>
    </row>
    <row r="734" spans="1:11">
      <c r="A734" t="str">
        <f>IF(LEFT(E734,1)="1","SOL",IF(LEFT(E734,1)="2","CO",IF(LEFT(E734,1)="3","ALM",IF(LEFT(E734,1)="4","FAC","TRX")))) &amp; "-" &amp; B734 &amp; "-" &amp; TEXT(COUNTIFS($E$2:$E734,E734,$B$2:$B734,B734),"000")</f>
        <v>SOL-27-085</v>
      </c>
      <c r="B734">
        <v>27</v>
      </c>
      <c r="C734" s="364">
        <v>46206</v>
      </c>
      <c r="D734" t="s">
        <v>126</v>
      </c>
      <c r="E734" t="s">
        <v>208</v>
      </c>
      <c r="F734" t="s">
        <v>229</v>
      </c>
      <c r="G734" s="3">
        <v>10</v>
      </c>
      <c r="H734" s="365">
        <v>27</v>
      </c>
      <c r="I734" s="365">
        <v>270</v>
      </c>
      <c r="J734" t="s">
        <v>209</v>
      </c>
      <c r="K734">
        <v>23.95</v>
      </c>
    </row>
    <row r="735" spans="1:11">
      <c r="A735" t="str">
        <f>IF(LEFT(E735,1)="1","SOL",IF(LEFT(E735,1)="2","CO",IF(LEFT(E735,1)="3","ALM",IF(LEFT(E735,1)="4","FAC","TRX")))) &amp; "-" &amp; B735 &amp; "-" &amp; TEXT(COUNTIFS($E$2:$E735,E735,$B$2:$B735,B735),"000")</f>
        <v>SOL-27-086</v>
      </c>
      <c r="B735">
        <v>27</v>
      </c>
      <c r="C735" s="364">
        <v>46206</v>
      </c>
      <c r="D735" t="s">
        <v>126</v>
      </c>
      <c r="E735" t="s">
        <v>208</v>
      </c>
      <c r="F735" t="s">
        <v>243</v>
      </c>
      <c r="G735" s="3">
        <v>5</v>
      </c>
      <c r="H735" s="365">
        <v>27</v>
      </c>
      <c r="I735" s="365">
        <v>135</v>
      </c>
      <c r="J735" t="s">
        <v>209</v>
      </c>
      <c r="K735">
        <v>23.95</v>
      </c>
    </row>
    <row r="736" spans="1:11">
      <c r="A736" t="str">
        <f>IF(LEFT(E736,1)="1","SOL",IF(LEFT(E736,1)="2","CO",IF(LEFT(E736,1)="3","ALM",IF(LEFT(E736,1)="4","FAC","TRX")))) &amp; "-" &amp; B736 &amp; "-" &amp; TEXT(COUNTIFS($E$2:$E736,E736,$B$2:$B736,B736),"000")</f>
        <v>SOL-27-087</v>
      </c>
      <c r="B736">
        <v>27</v>
      </c>
      <c r="C736" s="364">
        <v>46206</v>
      </c>
      <c r="D736" t="s">
        <v>126</v>
      </c>
      <c r="E736" t="s">
        <v>208</v>
      </c>
      <c r="F736" t="s">
        <v>244</v>
      </c>
      <c r="G736" s="3">
        <v>100</v>
      </c>
      <c r="H736" s="365">
        <v>27</v>
      </c>
      <c r="I736" s="365">
        <v>2700</v>
      </c>
      <c r="J736" t="s">
        <v>209</v>
      </c>
      <c r="K736">
        <v>23.95</v>
      </c>
    </row>
    <row r="737" spans="1:11">
      <c r="A737" t="str">
        <f>IF(LEFT(E737,1)="1","SOL",IF(LEFT(E737,1)="2","CO",IF(LEFT(E737,1)="3","ALM",IF(LEFT(E737,1)="4","FAC","TRX")))) &amp; "-" &amp; B737 &amp; "-" &amp; TEXT(COUNTIFS($E$2:$E737,E737,$B$2:$B737,B737),"000")</f>
        <v>SOL-27-088</v>
      </c>
      <c r="B737">
        <v>27</v>
      </c>
      <c r="C737" s="364">
        <v>46206</v>
      </c>
      <c r="D737" t="s">
        <v>126</v>
      </c>
      <c r="E737" t="s">
        <v>208</v>
      </c>
      <c r="F737" t="s">
        <v>245</v>
      </c>
      <c r="G737" s="3">
        <v>70</v>
      </c>
      <c r="H737" s="365">
        <v>27</v>
      </c>
      <c r="I737" s="365">
        <v>1890</v>
      </c>
      <c r="J737" t="s">
        <v>209</v>
      </c>
      <c r="K737">
        <v>23.95</v>
      </c>
    </row>
    <row r="738" spans="1:11">
      <c r="A738" t="str">
        <f>IF(LEFT(E738,1)="1","SOL",IF(LEFT(E738,1)="2","CO",IF(LEFT(E738,1)="3","ALM",IF(LEFT(E738,1)="4","FAC","TRX")))) &amp; "-" &amp; B738 &amp; "-" &amp; TEXT(COUNTIFS($E$2:$E738,E738,$B$2:$B738,B738),"000")</f>
        <v>SOL-27-089</v>
      </c>
      <c r="B738">
        <v>27</v>
      </c>
      <c r="C738" s="364">
        <v>46207</v>
      </c>
      <c r="D738" t="s">
        <v>235</v>
      </c>
      <c r="E738" t="s">
        <v>208</v>
      </c>
      <c r="F738" t="s">
        <v>236</v>
      </c>
      <c r="G738" s="3">
        <v>100</v>
      </c>
      <c r="H738" s="365">
        <v>27</v>
      </c>
      <c r="I738" s="365">
        <v>2700</v>
      </c>
      <c r="J738" t="s">
        <v>209</v>
      </c>
      <c r="K738">
        <v>23.95</v>
      </c>
    </row>
    <row r="739" spans="1:11">
      <c r="A739" t="str">
        <f>IF(LEFT(E739,1)="1","SOL",IF(LEFT(E739,1)="2","CO",IF(LEFT(E739,1)="3","ALM",IF(LEFT(E739,1)="4","FAC","TRX")))) &amp; "-" &amp; B739 &amp; "-" &amp; TEXT(COUNTIFS($E$2:$E739,E739,$B$2:$B739,B739),"000")</f>
        <v>SOL-27-090</v>
      </c>
      <c r="B739">
        <v>27</v>
      </c>
      <c r="C739" s="364">
        <v>46207</v>
      </c>
      <c r="D739" t="s">
        <v>235</v>
      </c>
      <c r="E739" t="s">
        <v>208</v>
      </c>
      <c r="F739" t="s">
        <v>240</v>
      </c>
      <c r="G739" s="3">
        <v>50</v>
      </c>
      <c r="H739" s="365">
        <v>27</v>
      </c>
      <c r="I739" s="365">
        <v>1350</v>
      </c>
      <c r="J739" t="s">
        <v>209</v>
      </c>
      <c r="K739">
        <v>23.95</v>
      </c>
    </row>
    <row r="740" spans="1:11">
      <c r="A740" t="str">
        <f>IF(LEFT(E740,1)="1","SOL",IF(LEFT(E740,1)="2","CO",IF(LEFT(E740,1)="3","ALM",IF(LEFT(E740,1)="4","FAC","TRX")))) &amp; "-" &amp; B740 &amp; "-" &amp; TEXT(COUNTIFS($E$2:$E740,E740,$B$2:$B740,B740),"000")</f>
        <v>SOL-27-091</v>
      </c>
      <c r="B740">
        <v>27</v>
      </c>
      <c r="C740" s="364">
        <v>46207</v>
      </c>
      <c r="D740" t="s">
        <v>235</v>
      </c>
      <c r="E740" t="s">
        <v>208</v>
      </c>
      <c r="F740" t="s">
        <v>238</v>
      </c>
      <c r="G740" s="3">
        <v>100</v>
      </c>
      <c r="H740" s="365">
        <v>27</v>
      </c>
      <c r="I740" s="365">
        <v>2700</v>
      </c>
      <c r="J740" t="s">
        <v>209</v>
      </c>
      <c r="K740">
        <v>23.95</v>
      </c>
    </row>
    <row r="741" spans="1:11">
      <c r="A741" t="str">
        <f>IF(LEFT(E741,1)="1","SOL",IF(LEFT(E741,1)="2","CO",IF(LEFT(E741,1)="3","ALM",IF(LEFT(E741,1)="4","FAC","TRX")))) &amp; "-" &amp; B741 &amp; "-" &amp; TEXT(COUNTIFS($E$2:$E741,E741,$B$2:$B741,B741),"000")</f>
        <v>SOL-27-092</v>
      </c>
      <c r="B741">
        <v>27</v>
      </c>
      <c r="C741" s="364">
        <v>46207</v>
      </c>
      <c r="D741" t="s">
        <v>235</v>
      </c>
      <c r="E741" t="s">
        <v>208</v>
      </c>
      <c r="F741" t="s">
        <v>239</v>
      </c>
      <c r="G741" s="3">
        <v>100</v>
      </c>
      <c r="H741" s="365">
        <v>27</v>
      </c>
      <c r="I741" s="365">
        <v>2700</v>
      </c>
      <c r="J741" t="s">
        <v>209</v>
      </c>
      <c r="K741">
        <v>23.95</v>
      </c>
    </row>
    <row r="742" spans="1:11">
      <c r="A742" t="str">
        <f>IF(LEFT(E742,1)="1","SOL",IF(LEFT(E742,1)="2","CO",IF(LEFT(E742,1)="3","ALM",IF(LEFT(E742,1)="4","FAC","TRX")))) &amp; "-" &amp; B742 &amp; "-" &amp; TEXT(COUNTIFS($E$2:$E742,E742,$B$2:$B742,B742),"000")</f>
        <v>SOL-27-093</v>
      </c>
      <c r="B742">
        <v>27</v>
      </c>
      <c r="C742" s="364">
        <v>46207</v>
      </c>
      <c r="D742" t="s">
        <v>1</v>
      </c>
      <c r="E742" t="s">
        <v>208</v>
      </c>
      <c r="F742" t="s">
        <v>213</v>
      </c>
      <c r="G742" s="3">
        <v>150</v>
      </c>
      <c r="H742" s="365">
        <v>27</v>
      </c>
      <c r="I742" s="365">
        <v>4050</v>
      </c>
      <c r="J742" t="s">
        <v>209</v>
      </c>
      <c r="K742">
        <v>23.95</v>
      </c>
    </row>
    <row r="743" spans="1:11">
      <c r="A743" t="str">
        <f>IF(LEFT(E743,1)="1","SOL",IF(LEFT(E743,1)="2","CO",IF(LEFT(E743,1)="3","ALM",IF(LEFT(E743,1)="4","FAC","TRX")))) &amp; "-" &amp; B743 &amp; "-" &amp; TEXT(COUNTIFS($E$2:$E743,E743,$B$2:$B743,B743),"000")</f>
        <v>SOL-27-094</v>
      </c>
      <c r="B743">
        <v>27</v>
      </c>
      <c r="C743" s="364">
        <v>46207</v>
      </c>
      <c r="D743" t="s">
        <v>1</v>
      </c>
      <c r="E743" t="s">
        <v>208</v>
      </c>
      <c r="F743" t="s">
        <v>216</v>
      </c>
      <c r="G743" s="3">
        <v>80</v>
      </c>
      <c r="H743" s="365">
        <v>27</v>
      </c>
      <c r="I743" s="365">
        <v>2160</v>
      </c>
      <c r="J743" t="s">
        <v>209</v>
      </c>
      <c r="K743">
        <v>23.95</v>
      </c>
    </row>
    <row r="744" spans="1:11">
      <c r="A744" t="str">
        <f>IF(LEFT(E744,1)="1","SOL",IF(LEFT(E744,1)="2","CO",IF(LEFT(E744,1)="3","ALM",IF(LEFT(E744,1)="4","FAC","TRX")))) &amp; "-" &amp; B744 &amp; "-" &amp; TEXT(COUNTIFS($E$2:$E744,E744,$B$2:$B744,B744),"000")</f>
        <v>SOL-27-095</v>
      </c>
      <c r="B744">
        <v>27</v>
      </c>
      <c r="C744" s="364">
        <v>46207</v>
      </c>
      <c r="D744" t="s">
        <v>1</v>
      </c>
      <c r="E744" t="s">
        <v>208</v>
      </c>
      <c r="F744" t="s">
        <v>241</v>
      </c>
      <c r="G744" s="3">
        <v>30</v>
      </c>
      <c r="H744" s="365">
        <v>27</v>
      </c>
      <c r="I744" s="365">
        <v>810</v>
      </c>
      <c r="J744" t="s">
        <v>209</v>
      </c>
      <c r="K744">
        <v>23.95</v>
      </c>
    </row>
    <row r="745" spans="1:11">
      <c r="A745" t="str">
        <f>IF(LEFT(E745,1)="1","SOL",IF(LEFT(E745,1)="2","CO",IF(LEFT(E745,1)="3","ALM",IF(LEFT(E745,1)="4","FAC","TRX")))) &amp; "-" &amp; B745 &amp; "-" &amp; TEXT(COUNTIFS($E$2:$E745,E745,$B$2:$B745,B745),"000")</f>
        <v>SOL-27-096</v>
      </c>
      <c r="B745">
        <v>27</v>
      </c>
      <c r="C745" s="364">
        <v>46207</v>
      </c>
      <c r="D745" t="s">
        <v>1</v>
      </c>
      <c r="E745" t="s">
        <v>208</v>
      </c>
      <c r="F745" t="s">
        <v>241</v>
      </c>
      <c r="G745" s="3">
        <v>30</v>
      </c>
      <c r="H745" s="365">
        <v>27</v>
      </c>
      <c r="I745" s="365">
        <v>810</v>
      </c>
      <c r="J745" t="s">
        <v>209</v>
      </c>
      <c r="K745">
        <v>23.95</v>
      </c>
    </row>
    <row r="746" spans="1:11">
      <c r="A746" t="str">
        <f>IF(LEFT(E746,1)="1","SOL",IF(LEFT(E746,1)="2","CO",IF(LEFT(E746,1)="3","ALM",IF(LEFT(E746,1)="4","FAC","TRX")))) &amp; "-" &amp; B746 &amp; "-" &amp; TEXT(COUNTIFS($E$2:$E746,E746,$B$2:$B746,B746),"000")</f>
        <v>SOL-27-097</v>
      </c>
      <c r="B746">
        <v>27</v>
      </c>
      <c r="C746" s="364">
        <v>46207</v>
      </c>
      <c r="D746" t="s">
        <v>1</v>
      </c>
      <c r="E746" t="s">
        <v>208</v>
      </c>
      <c r="F746" t="s">
        <v>218</v>
      </c>
      <c r="G746" s="3">
        <v>30</v>
      </c>
      <c r="H746" s="365">
        <v>27</v>
      </c>
      <c r="I746" s="365">
        <v>810</v>
      </c>
      <c r="J746" t="s">
        <v>209</v>
      </c>
      <c r="K746">
        <v>23.95</v>
      </c>
    </row>
    <row r="747" spans="1:11">
      <c r="A747" t="str">
        <f>IF(LEFT(E747,1)="1","SOL",IF(LEFT(E747,1)="2","CO",IF(LEFT(E747,1)="3","ALM",IF(LEFT(E747,1)="4","FAC","TRX")))) &amp; "-" &amp; B747 &amp; "-" &amp; TEXT(COUNTIFS($E$2:$E747,E747,$B$2:$B747,B747),"000")</f>
        <v>SOL-27-098</v>
      </c>
      <c r="B747">
        <v>27</v>
      </c>
      <c r="C747" s="364">
        <v>46207</v>
      </c>
      <c r="D747" t="s">
        <v>1</v>
      </c>
      <c r="E747" t="s">
        <v>208</v>
      </c>
      <c r="F747" t="s">
        <v>227</v>
      </c>
      <c r="G747" s="3">
        <v>30</v>
      </c>
      <c r="H747" s="365">
        <v>27</v>
      </c>
      <c r="I747" s="365">
        <v>810</v>
      </c>
      <c r="J747" t="s">
        <v>209</v>
      </c>
      <c r="K747">
        <v>23.95</v>
      </c>
    </row>
    <row r="748" spans="1:11">
      <c r="A748" t="str">
        <f>IF(LEFT(E748,1)="1","SOL",IF(LEFT(E748,1)="2","CO",IF(LEFT(E748,1)="3","ALM",IF(LEFT(E748,1)="4","FAC","TRX")))) &amp; "-" &amp; B748 &amp; "-" &amp; TEXT(COUNTIFS($E$2:$E748,E748,$B$2:$B748,B748),"000")</f>
        <v>SOL-27-099</v>
      </c>
      <c r="B748">
        <v>27</v>
      </c>
      <c r="C748" s="364">
        <v>46207</v>
      </c>
      <c r="D748" t="s">
        <v>1</v>
      </c>
      <c r="E748" t="s">
        <v>208</v>
      </c>
      <c r="F748" t="s">
        <v>242</v>
      </c>
      <c r="G748" s="3">
        <v>20</v>
      </c>
      <c r="H748" s="365">
        <v>27</v>
      </c>
      <c r="I748" s="365">
        <v>540</v>
      </c>
      <c r="J748" t="s">
        <v>209</v>
      </c>
      <c r="K748">
        <v>23.95</v>
      </c>
    </row>
    <row r="749" spans="1:11">
      <c r="A749" t="str">
        <f>IF(LEFT(E749,1)="1","SOL",IF(LEFT(E749,1)="2","CO",IF(LEFT(E749,1)="3","ALM",IF(LEFT(E749,1)="4","FAC","TRX")))) &amp; "-" &amp; B749 &amp; "-" &amp; TEXT(COUNTIFS($E$2:$E749,E749,$B$2:$B749,B749),"000")</f>
        <v>SOL-27-100</v>
      </c>
      <c r="B749">
        <v>27</v>
      </c>
      <c r="C749" s="364">
        <v>46207</v>
      </c>
      <c r="D749" t="s">
        <v>1</v>
      </c>
      <c r="E749" t="s">
        <v>208</v>
      </c>
      <c r="F749" t="s">
        <v>215</v>
      </c>
      <c r="G749" s="3">
        <v>40</v>
      </c>
      <c r="H749" s="365">
        <v>27</v>
      </c>
      <c r="I749" s="365">
        <v>1080</v>
      </c>
      <c r="J749" t="s">
        <v>209</v>
      </c>
      <c r="K749">
        <v>23.95</v>
      </c>
    </row>
    <row r="750" spans="1:11">
      <c r="A750" t="str">
        <f>IF(LEFT(E750,1)="1","SOL",IF(LEFT(E750,1)="2","CO",IF(LEFT(E750,1)="3","ALM",IF(LEFT(E750,1)="4","FAC","TRX")))) &amp; "-" &amp; B750 &amp; "-" &amp; TEXT(COUNTIFS($E$2:$E750,E750,$B$2:$B750,B750),"000")</f>
        <v>SOL-27-101</v>
      </c>
      <c r="B750">
        <v>27</v>
      </c>
      <c r="C750" s="364">
        <v>46207</v>
      </c>
      <c r="D750" t="s">
        <v>126</v>
      </c>
      <c r="E750" t="s">
        <v>208</v>
      </c>
      <c r="F750" t="s">
        <v>223</v>
      </c>
      <c r="G750" s="3">
        <v>100</v>
      </c>
      <c r="H750" s="365">
        <v>27</v>
      </c>
      <c r="I750" s="365">
        <v>2700</v>
      </c>
      <c r="J750" t="s">
        <v>209</v>
      </c>
      <c r="K750">
        <v>23.95</v>
      </c>
    </row>
    <row r="751" spans="1:11">
      <c r="A751" t="str">
        <f>IF(LEFT(E751,1)="1","SOL",IF(LEFT(E751,1)="2","CO",IF(LEFT(E751,1)="3","ALM",IF(LEFT(E751,1)="4","FAC","TRX")))) &amp; "-" &amp; B751 &amp; "-" &amp; TEXT(COUNTIFS($E$2:$E751,E751,$B$2:$B751,B751),"000")</f>
        <v>SOL-27-102</v>
      </c>
      <c r="B751">
        <v>27</v>
      </c>
      <c r="C751" s="364">
        <v>46207</v>
      </c>
      <c r="D751" t="s">
        <v>126</v>
      </c>
      <c r="E751" t="s">
        <v>208</v>
      </c>
      <c r="F751" t="s">
        <v>244</v>
      </c>
      <c r="G751" s="3">
        <v>100</v>
      </c>
      <c r="H751" s="365">
        <v>27</v>
      </c>
      <c r="I751" s="365">
        <v>2700</v>
      </c>
      <c r="J751" t="s">
        <v>209</v>
      </c>
      <c r="K751">
        <v>23.95</v>
      </c>
    </row>
    <row r="752" spans="1:11">
      <c r="A752" t="str">
        <f>IF(LEFT(E752,1)="1","SOL",IF(LEFT(E752,1)="2","CO",IF(LEFT(E752,1)="3","ALM",IF(LEFT(E752,1)="4","FAC","TRX")))) &amp; "-" &amp; B752 &amp; "-" &amp; TEXT(COUNTIFS($E$2:$E752,E752,$B$2:$B752,B752),"000")</f>
        <v>SOL-27-103</v>
      </c>
      <c r="B752">
        <v>27</v>
      </c>
      <c r="C752" s="364">
        <v>46208</v>
      </c>
      <c r="D752" t="s">
        <v>235</v>
      </c>
      <c r="E752" t="s">
        <v>208</v>
      </c>
      <c r="F752" t="s">
        <v>236</v>
      </c>
      <c r="G752" s="3">
        <v>100</v>
      </c>
      <c r="H752" s="365">
        <v>27</v>
      </c>
      <c r="I752" s="365">
        <v>2700</v>
      </c>
      <c r="J752" t="s">
        <v>209</v>
      </c>
      <c r="K752">
        <v>23.95</v>
      </c>
    </row>
    <row r="753" spans="1:11">
      <c r="A753" t="str">
        <f>IF(LEFT(E753,1)="1","SOL",IF(LEFT(E753,1)="2","CO",IF(LEFT(E753,1)="3","ALM",IF(LEFT(E753,1)="4","FAC","TRX")))) &amp; "-" &amp; B753 &amp; "-" &amp; TEXT(COUNTIFS($E$2:$E753,E753,$B$2:$B753,B753),"000")</f>
        <v>SOL-27-104</v>
      </c>
      <c r="B753">
        <v>27</v>
      </c>
      <c r="C753" s="364">
        <v>46208</v>
      </c>
      <c r="D753" t="s">
        <v>235</v>
      </c>
      <c r="E753" t="s">
        <v>208</v>
      </c>
      <c r="F753" t="s">
        <v>238</v>
      </c>
      <c r="G753" s="3">
        <v>100</v>
      </c>
      <c r="H753" s="365">
        <v>27</v>
      </c>
      <c r="I753" s="365">
        <v>2700</v>
      </c>
      <c r="J753" t="s">
        <v>209</v>
      </c>
      <c r="K753">
        <v>23.95</v>
      </c>
    </row>
    <row r="754" spans="1:11">
      <c r="A754" t="str">
        <f>IF(LEFT(E754,1)="1","SOL",IF(LEFT(E754,1)="2","CO",IF(LEFT(E754,1)="3","ALM",IF(LEFT(E754,1)="4","FAC","TRX")))) &amp; "-" &amp; B754 &amp; "-" &amp; TEXT(COUNTIFS($E$2:$E754,E754,$B$2:$B754,B754),"000")</f>
        <v>SOL-24-066</v>
      </c>
      <c r="B754">
        <v>24</v>
      </c>
      <c r="D754" t="s">
        <v>126</v>
      </c>
      <c r="E754" t="s">
        <v>208</v>
      </c>
      <c r="F754" t="s">
        <v>60</v>
      </c>
      <c r="G754" s="3">
        <v>100</v>
      </c>
      <c r="H754" s="365">
        <v>27</v>
      </c>
      <c r="I754" s="365">
        <v>2700</v>
      </c>
      <c r="J754" t="s">
        <v>209</v>
      </c>
      <c r="K754">
        <v>27</v>
      </c>
    </row>
    <row r="755" spans="1:11">
      <c r="A755" t="str">
        <f>IF(LEFT(E755,1)="1","SOL",IF(LEFT(E755,1)="2","CO",IF(LEFT(E755,1)="3","ALM",IF(LEFT(E755,1)="4","FAC","TRX")))) &amp; "-" &amp; B755 &amp; "-" &amp; TEXT(COUNTIFS($E$2:$E755,E755,$B$2:$B755,B755),"000")</f>
        <v>SOL-24-067</v>
      </c>
      <c r="B755">
        <v>24</v>
      </c>
      <c r="D755" t="s">
        <v>126</v>
      </c>
      <c r="E755" t="s">
        <v>208</v>
      </c>
      <c r="F755" t="s">
        <v>60</v>
      </c>
      <c r="G755" s="3">
        <v>100</v>
      </c>
      <c r="H755" s="365">
        <v>27</v>
      </c>
      <c r="I755" s="365">
        <v>2700</v>
      </c>
      <c r="J755" t="s">
        <v>209</v>
      </c>
      <c r="K755">
        <v>27</v>
      </c>
    </row>
    <row r="756" spans="1:11">
      <c r="A756" t="str">
        <f>IF(LEFT(E756,1)="1","SOL",IF(LEFT(E756,1)="2","CO",IF(LEFT(E756,1)="3","ALM",IF(LEFT(E756,1)="4","FAC","TRX")))) &amp; "-" &amp; B756 &amp; "-" &amp; TEXT(COUNTIFS($E$2:$E756,E756,$B$2:$B756,B756),"000")</f>
        <v>SOL-24-068</v>
      </c>
      <c r="B756">
        <v>24</v>
      </c>
      <c r="D756" t="s">
        <v>126</v>
      </c>
      <c r="E756" t="s">
        <v>208</v>
      </c>
      <c r="F756" t="s">
        <v>60</v>
      </c>
      <c r="G756" s="3">
        <v>50</v>
      </c>
      <c r="H756" s="365">
        <v>27</v>
      </c>
      <c r="I756" s="365">
        <v>1350</v>
      </c>
      <c r="J756" t="s">
        <v>209</v>
      </c>
      <c r="K756">
        <v>27</v>
      </c>
    </row>
    <row r="757" spans="1:11">
      <c r="A757" t="str">
        <f>IF(LEFT(E757,1)="1","SOL",IF(LEFT(E757,1)="2","CO",IF(LEFT(E757,1)="3","ALM",IF(LEFT(E757,1)="4","FAC","TRX")))) &amp; "-" &amp; B757 &amp; "-" &amp; TEXT(COUNTIFS($E$2:$E757,E757,$B$2:$B757,B757),"000")</f>
        <v>SOL-24-069</v>
      </c>
      <c r="B757">
        <v>24</v>
      </c>
      <c r="D757" t="s">
        <v>126</v>
      </c>
      <c r="E757" t="s">
        <v>208</v>
      </c>
      <c r="F757" t="s">
        <v>61</v>
      </c>
      <c r="G757" s="3">
        <v>10</v>
      </c>
      <c r="H757" s="365">
        <v>27</v>
      </c>
      <c r="I757" s="365">
        <v>270</v>
      </c>
      <c r="J757" t="s">
        <v>209</v>
      </c>
      <c r="K757">
        <v>27</v>
      </c>
    </row>
    <row r="758" spans="1:11">
      <c r="A758" t="str">
        <f>IF(LEFT(E758,1)="1","SOL",IF(LEFT(E758,1)="2","CO",IF(LEFT(E758,1)="3","ALM",IF(LEFT(E758,1)="4","FAC","TRX")))) &amp; "-" &amp; B758 &amp; "-" &amp; TEXT(COUNTIFS($E$2:$E758,E758,$B$2:$B758,B758),"000")</f>
        <v>SOL-24-070</v>
      </c>
      <c r="B758">
        <v>24</v>
      </c>
      <c r="D758" t="s">
        <v>126</v>
      </c>
      <c r="E758" t="s">
        <v>208</v>
      </c>
      <c r="F758" t="s">
        <v>114</v>
      </c>
      <c r="G758" s="3">
        <v>10</v>
      </c>
      <c r="H758" s="365">
        <v>27</v>
      </c>
      <c r="I758" s="365">
        <v>270</v>
      </c>
      <c r="J758" t="s">
        <v>209</v>
      </c>
      <c r="K758">
        <v>27</v>
      </c>
    </row>
    <row r="759" spans="1:11">
      <c r="A759" t="str">
        <f>IF(LEFT(E759,1)="1","SOL",IF(LEFT(E759,1)="2","CO",IF(LEFT(E759,1)="3","ALM",IF(LEFT(E759,1)="4","FAC","TRX")))) &amp; "-" &amp; B759 &amp; "-" &amp; TEXT(COUNTIFS($E$2:$E759,E759,$B$2:$B759,B759),"000")</f>
        <v>SOL-25-063</v>
      </c>
      <c r="B759">
        <v>25</v>
      </c>
      <c r="D759" t="s">
        <v>126</v>
      </c>
      <c r="E759" t="s">
        <v>208</v>
      </c>
      <c r="F759" t="s">
        <v>60</v>
      </c>
      <c r="G759" s="3">
        <v>70</v>
      </c>
      <c r="H759" s="365">
        <v>27</v>
      </c>
      <c r="I759" s="365">
        <v>1890</v>
      </c>
      <c r="J759" t="s">
        <v>209</v>
      </c>
      <c r="K759">
        <v>27</v>
      </c>
    </row>
    <row r="760" spans="1:11">
      <c r="A760" t="str">
        <f>IF(LEFT(E760,1)="1","SOL",IF(LEFT(E760,1)="2","CO",IF(LEFT(E760,1)="3","ALM",IF(LEFT(E760,1)="4","FAC","TRX")))) &amp; "-" &amp; B760 &amp; "-" &amp; TEXT(COUNTIFS($E$2:$E760,E760,$B$2:$B760,B760),"000")</f>
        <v>SOL-25-064</v>
      </c>
      <c r="B760">
        <v>25</v>
      </c>
      <c r="D760" t="s">
        <v>126</v>
      </c>
      <c r="E760" t="s">
        <v>208</v>
      </c>
      <c r="F760" t="s">
        <v>80</v>
      </c>
      <c r="G760" s="3">
        <v>200</v>
      </c>
      <c r="H760" s="365">
        <v>27</v>
      </c>
      <c r="I760" s="365">
        <v>5400</v>
      </c>
      <c r="J760" t="s">
        <v>209</v>
      </c>
      <c r="K760">
        <v>27</v>
      </c>
    </row>
    <row r="761" spans="1:11">
      <c r="A761" t="str">
        <f>IF(LEFT(E761,1)="1","SOL",IF(LEFT(E761,1)="2","CO",IF(LEFT(E761,1)="3","ALM",IF(LEFT(E761,1)="4","FAC","TRX")))) &amp; "-" &amp; B761 &amp; "-" &amp; TEXT(COUNTIFS($E$2:$E761,E761,$B$2:$B761,B761),"000")</f>
        <v>SOL-25-065</v>
      </c>
      <c r="B761">
        <v>25</v>
      </c>
      <c r="D761" t="s">
        <v>126</v>
      </c>
      <c r="E761" t="s">
        <v>208</v>
      </c>
      <c r="F761" t="s">
        <v>116</v>
      </c>
      <c r="G761" s="3">
        <v>40</v>
      </c>
      <c r="H761" s="365">
        <v>27</v>
      </c>
      <c r="I761" s="365">
        <v>1080</v>
      </c>
      <c r="J761" t="s">
        <v>209</v>
      </c>
      <c r="K761">
        <v>27</v>
      </c>
    </row>
    <row r="762" spans="1:11">
      <c r="A762" t="str">
        <f>IF(LEFT(E762,1)="1","SOL",IF(LEFT(E762,1)="2","CO",IF(LEFT(E762,1)="3","ALM",IF(LEFT(E762,1)="4","FAC","TRX")))) &amp; "-" &amp; B762 &amp; "-" &amp; TEXT(COUNTIFS($E$2:$E762,E762,$B$2:$B762,B762),"000")</f>
        <v>SOL-25-066</v>
      </c>
      <c r="B762">
        <v>25</v>
      </c>
      <c r="D762" t="s">
        <v>126</v>
      </c>
      <c r="E762" t="s">
        <v>208</v>
      </c>
      <c r="F762" t="s">
        <v>60</v>
      </c>
      <c r="G762" s="3">
        <v>60</v>
      </c>
      <c r="H762" s="365">
        <v>27</v>
      </c>
      <c r="I762" s="365">
        <v>1620</v>
      </c>
      <c r="J762" t="s">
        <v>209</v>
      </c>
      <c r="K762">
        <v>27</v>
      </c>
    </row>
    <row r="763" spans="1:11">
      <c r="A763" t="str">
        <f>IF(LEFT(E763,1)="1","SOL",IF(LEFT(E763,1)="2","CO",IF(LEFT(E763,1)="3","ALM",IF(LEFT(E763,1)="4","FAC","TRX")))) &amp; "-" &amp; B763 &amp; "-" &amp; TEXT(COUNTIFS($E$2:$E763,E763,$B$2:$B763,B763),"000")</f>
        <v>SOL-25-067</v>
      </c>
      <c r="B763">
        <v>25</v>
      </c>
      <c r="D763" t="s">
        <v>126</v>
      </c>
      <c r="E763" t="s">
        <v>208</v>
      </c>
      <c r="F763" t="s">
        <v>60</v>
      </c>
      <c r="G763" s="3">
        <v>50</v>
      </c>
      <c r="H763" s="365">
        <v>27</v>
      </c>
      <c r="I763" s="365">
        <v>1350</v>
      </c>
      <c r="J763" t="s">
        <v>209</v>
      </c>
      <c r="K763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dimension ref="B2:Z43"/>
  <sheetViews>
    <sheetView showGridLines="0" topLeftCell="P1" zoomScale="118" zoomScaleNormal="80" workbookViewId="0">
      <selection activeCell="X11" sqref="X11"/>
    </sheetView>
  </sheetViews>
  <sheetFormatPr baseColWidth="10" defaultColWidth="8" defaultRowHeight="14.4"/>
  <cols>
    <col min="1" max="1" width="8" style="8"/>
    <col min="2" max="5" width="15" style="8" customWidth="1"/>
    <col min="6" max="6" width="8" style="8"/>
    <col min="7" max="10" width="15" style="8" customWidth="1"/>
    <col min="11" max="11" width="8" style="8"/>
    <col min="12" max="15" width="15" style="8" customWidth="1"/>
    <col min="16" max="16" width="8" style="8"/>
    <col min="17" max="20" width="15" style="8" customWidth="1"/>
    <col min="21" max="21" width="8" style="8"/>
    <col min="22" max="26" width="15" style="8" customWidth="1"/>
    <col min="27" max="16384" width="8" style="8"/>
  </cols>
  <sheetData>
    <row r="2" spans="2:24" ht="18">
      <c r="B2" s="7" t="s">
        <v>143</v>
      </c>
      <c r="G2" s="7" t="s">
        <v>144</v>
      </c>
      <c r="L2" s="7" t="s">
        <v>145</v>
      </c>
      <c r="Q2" s="7" t="s">
        <v>146</v>
      </c>
      <c r="V2" s="7" t="s">
        <v>147</v>
      </c>
    </row>
    <row r="4" spans="2:24">
      <c r="B4" s="9" t="s">
        <v>11</v>
      </c>
      <c r="C4" s="9" t="s">
        <v>0</v>
      </c>
      <c r="D4" s="9" t="s">
        <v>78</v>
      </c>
      <c r="E4" s="9" t="s">
        <v>148</v>
      </c>
      <c r="G4" s="9" t="s">
        <v>11</v>
      </c>
      <c r="H4" s="9" t="s">
        <v>0</v>
      </c>
      <c r="I4" s="9" t="s">
        <v>15</v>
      </c>
      <c r="J4" s="9" t="s">
        <v>149</v>
      </c>
      <c r="L4" s="9" t="s">
        <v>11</v>
      </c>
      <c r="M4" s="9" t="s">
        <v>0</v>
      </c>
      <c r="N4" s="9" t="s">
        <v>15</v>
      </c>
      <c r="O4" s="9" t="s">
        <v>149</v>
      </c>
      <c r="Q4" s="9" t="s">
        <v>11</v>
      </c>
      <c r="R4" s="9" t="s">
        <v>0</v>
      </c>
      <c r="S4" s="9" t="s">
        <v>34</v>
      </c>
      <c r="T4" s="9" t="s">
        <v>149</v>
      </c>
      <c r="V4" s="9" t="s">
        <v>0</v>
      </c>
      <c r="W4" s="9" t="s">
        <v>34</v>
      </c>
      <c r="X4" s="9" t="s">
        <v>149</v>
      </c>
    </row>
    <row r="5" spans="2:24">
      <c r="B5" s="10" t="s">
        <v>150</v>
      </c>
      <c r="C5" s="10" t="s">
        <v>2</v>
      </c>
      <c r="D5" s="10">
        <v>160</v>
      </c>
      <c r="E5" s="11">
        <v>4528</v>
      </c>
      <c r="G5" s="10" t="s">
        <v>151</v>
      </c>
      <c r="H5" s="10" t="s">
        <v>3</v>
      </c>
      <c r="I5" s="10">
        <v>455</v>
      </c>
      <c r="J5" s="11">
        <v>12876.5</v>
      </c>
      <c r="L5" s="10" t="s">
        <v>151</v>
      </c>
      <c r="M5" s="10" t="s">
        <v>126</v>
      </c>
      <c r="N5" s="10">
        <v>180</v>
      </c>
      <c r="O5" s="11">
        <v>5094</v>
      </c>
      <c r="Q5" s="10" t="s">
        <v>151</v>
      </c>
      <c r="R5" s="10" t="s">
        <v>126</v>
      </c>
      <c r="S5" s="10">
        <v>100</v>
      </c>
      <c r="T5" s="11">
        <v>2830</v>
      </c>
      <c r="V5" s="10" t="s">
        <v>126</v>
      </c>
      <c r="W5" s="10">
        <v>200</v>
      </c>
      <c r="X5" s="11">
        <v>5660</v>
      </c>
    </row>
    <row r="6" spans="2:24">
      <c r="B6" s="10" t="s">
        <v>150</v>
      </c>
      <c r="C6" s="10" t="s">
        <v>1</v>
      </c>
      <c r="D6" s="10">
        <v>640</v>
      </c>
      <c r="E6" s="11">
        <v>18112</v>
      </c>
      <c r="G6" s="10" t="s">
        <v>151</v>
      </c>
      <c r="H6" s="10" t="s">
        <v>2</v>
      </c>
      <c r="I6" s="10">
        <v>97</v>
      </c>
      <c r="J6" s="11">
        <v>2745.1</v>
      </c>
      <c r="L6" s="10" t="s">
        <v>151</v>
      </c>
      <c r="M6" s="10" t="s">
        <v>130</v>
      </c>
      <c r="N6" s="10">
        <v>409</v>
      </c>
      <c r="O6" s="11">
        <v>11574.7</v>
      </c>
      <c r="Q6" s="10" t="s">
        <v>151</v>
      </c>
      <c r="R6" s="10" t="s">
        <v>3</v>
      </c>
      <c r="S6" s="10">
        <v>455</v>
      </c>
      <c r="T6" s="11">
        <v>12876.5</v>
      </c>
      <c r="V6" s="10" t="s">
        <v>3</v>
      </c>
      <c r="W6" s="10">
        <v>1693</v>
      </c>
      <c r="X6" s="11">
        <v>47911.9</v>
      </c>
    </row>
    <row r="7" spans="2:24">
      <c r="B7" s="10" t="s">
        <v>151</v>
      </c>
      <c r="C7" s="10" t="s">
        <v>126</v>
      </c>
      <c r="D7" s="10">
        <v>100</v>
      </c>
      <c r="E7" s="11">
        <v>2830</v>
      </c>
      <c r="G7" s="10" t="s">
        <v>151</v>
      </c>
      <c r="H7" s="10" t="s">
        <v>1</v>
      </c>
      <c r="I7" s="10">
        <v>369</v>
      </c>
      <c r="J7" s="11">
        <v>10442.700000000001</v>
      </c>
      <c r="L7" s="10" t="s">
        <v>152</v>
      </c>
      <c r="M7" s="10" t="s">
        <v>2</v>
      </c>
      <c r="N7" s="10">
        <v>180</v>
      </c>
      <c r="O7" s="11">
        <v>5094</v>
      </c>
      <c r="Q7" s="10" t="s">
        <v>151</v>
      </c>
      <c r="R7" s="10" t="s">
        <v>2</v>
      </c>
      <c r="S7" s="10">
        <v>97</v>
      </c>
      <c r="T7" s="11">
        <v>2745.1</v>
      </c>
      <c r="V7" s="10" t="s">
        <v>2</v>
      </c>
      <c r="W7" s="10">
        <v>872</v>
      </c>
      <c r="X7" s="11">
        <v>24677.599999999999</v>
      </c>
    </row>
    <row r="8" spans="2:24">
      <c r="B8" s="10" t="s">
        <v>151</v>
      </c>
      <c r="C8" s="10" t="s">
        <v>3</v>
      </c>
      <c r="D8" s="10">
        <v>990</v>
      </c>
      <c r="E8" s="11">
        <v>28017</v>
      </c>
      <c r="G8" s="10" t="s">
        <v>152</v>
      </c>
      <c r="H8" s="10" t="s">
        <v>3</v>
      </c>
      <c r="I8" s="10">
        <v>736</v>
      </c>
      <c r="J8" s="11">
        <v>20828.8</v>
      </c>
      <c r="L8" s="10" t="s">
        <v>153</v>
      </c>
      <c r="M8" s="10" t="s">
        <v>126</v>
      </c>
      <c r="N8" s="10">
        <v>100</v>
      </c>
      <c r="O8" s="11">
        <v>2830</v>
      </c>
      <c r="Q8" s="10" t="s">
        <v>151</v>
      </c>
      <c r="R8" s="10" t="s">
        <v>1</v>
      </c>
      <c r="S8" s="10">
        <v>369</v>
      </c>
      <c r="T8" s="11">
        <v>10442.700000000001</v>
      </c>
      <c r="V8" s="10" t="s">
        <v>1</v>
      </c>
      <c r="W8" s="10">
        <v>1285</v>
      </c>
      <c r="X8" s="11">
        <v>36365.5</v>
      </c>
    </row>
    <row r="9" spans="2:24">
      <c r="B9" s="10" t="s">
        <v>152</v>
      </c>
      <c r="C9" s="10" t="s">
        <v>126</v>
      </c>
      <c r="D9" s="10">
        <v>100</v>
      </c>
      <c r="E9" s="11">
        <v>2830</v>
      </c>
      <c r="G9" s="10" t="s">
        <v>153</v>
      </c>
      <c r="H9" s="10" t="s">
        <v>1</v>
      </c>
      <c r="I9" s="10">
        <v>300</v>
      </c>
      <c r="J9" s="11">
        <v>8490</v>
      </c>
      <c r="L9" s="10" t="s">
        <v>154</v>
      </c>
      <c r="M9" s="10" t="s">
        <v>2</v>
      </c>
      <c r="N9" s="10">
        <v>595</v>
      </c>
      <c r="O9" s="11">
        <v>16838.5</v>
      </c>
      <c r="Q9" s="10" t="s">
        <v>151</v>
      </c>
      <c r="R9" s="10" t="s">
        <v>130</v>
      </c>
      <c r="S9" s="10">
        <v>409</v>
      </c>
      <c r="T9" s="11">
        <v>11574.7</v>
      </c>
      <c r="V9" s="10" t="s">
        <v>130</v>
      </c>
      <c r="W9" s="10">
        <v>647</v>
      </c>
      <c r="X9" s="11">
        <v>18310.099999999999</v>
      </c>
    </row>
    <row r="10" spans="2:24">
      <c r="B10" s="10" t="s">
        <v>152</v>
      </c>
      <c r="C10" s="10" t="s">
        <v>3</v>
      </c>
      <c r="D10" s="10">
        <v>790</v>
      </c>
      <c r="E10" s="11">
        <v>22357</v>
      </c>
      <c r="G10" s="10" t="s">
        <v>154</v>
      </c>
      <c r="H10" s="10" t="s">
        <v>1</v>
      </c>
      <c r="I10" s="10">
        <v>256</v>
      </c>
      <c r="J10" s="11">
        <v>7244.8</v>
      </c>
      <c r="L10" s="10" t="s">
        <v>154</v>
      </c>
      <c r="M10" s="10" t="s">
        <v>130</v>
      </c>
      <c r="N10" s="10">
        <v>238</v>
      </c>
      <c r="O10" s="11">
        <v>6735.4000000000005</v>
      </c>
      <c r="Q10" s="10" t="s">
        <v>152</v>
      </c>
      <c r="R10" s="10" t="s">
        <v>3</v>
      </c>
      <c r="S10" s="10">
        <v>736</v>
      </c>
      <c r="T10" s="11">
        <v>20828.8</v>
      </c>
      <c r="X10" s="14">
        <f>SUM(X5:X9)</f>
        <v>132925.1</v>
      </c>
    </row>
    <row r="11" spans="2:24">
      <c r="B11" s="10" t="s">
        <v>152</v>
      </c>
      <c r="C11" s="10" t="s">
        <v>2</v>
      </c>
      <c r="D11" s="10">
        <v>210</v>
      </c>
      <c r="E11" s="11">
        <v>5943</v>
      </c>
      <c r="G11" s="10" t="s">
        <v>155</v>
      </c>
      <c r="H11" s="10" t="s">
        <v>3</v>
      </c>
      <c r="I11" s="10">
        <v>502</v>
      </c>
      <c r="J11" s="11">
        <v>14206.6</v>
      </c>
      <c r="L11" s="10" t="s">
        <v>155</v>
      </c>
      <c r="M11" s="10" t="s">
        <v>126</v>
      </c>
      <c r="N11" s="10">
        <v>70</v>
      </c>
      <c r="O11" s="11">
        <v>1981</v>
      </c>
      <c r="Q11" s="10" t="s">
        <v>152</v>
      </c>
      <c r="R11" s="10" t="s">
        <v>2</v>
      </c>
      <c r="S11" s="10">
        <v>180</v>
      </c>
      <c r="T11" s="11">
        <v>5094</v>
      </c>
    </row>
    <row r="12" spans="2:24">
      <c r="B12" s="10" t="s">
        <v>153</v>
      </c>
      <c r="C12" s="10" t="s">
        <v>1</v>
      </c>
      <c r="D12" s="10">
        <v>320</v>
      </c>
      <c r="E12" s="11">
        <v>9056</v>
      </c>
      <c r="G12" s="10" t="s">
        <v>155</v>
      </c>
      <c r="H12" s="10" t="s">
        <v>1</v>
      </c>
      <c r="I12" s="10">
        <v>360</v>
      </c>
      <c r="J12" s="11">
        <v>10188</v>
      </c>
      <c r="Q12" s="10" t="s">
        <v>153</v>
      </c>
      <c r="R12" s="10" t="s">
        <v>126</v>
      </c>
      <c r="S12" s="10">
        <v>100</v>
      </c>
      <c r="T12" s="11">
        <v>2830</v>
      </c>
    </row>
    <row r="13" spans="2:24">
      <c r="B13" s="10" t="s">
        <v>154</v>
      </c>
      <c r="C13" s="10" t="s">
        <v>126</v>
      </c>
      <c r="D13" s="10">
        <v>70</v>
      </c>
      <c r="E13" s="11">
        <v>1981</v>
      </c>
      <c r="Q13" s="10" t="s">
        <v>153</v>
      </c>
      <c r="R13" s="10" t="s">
        <v>1</v>
      </c>
      <c r="S13" s="10">
        <v>300</v>
      </c>
      <c r="T13" s="11">
        <v>8490</v>
      </c>
    </row>
    <row r="14" spans="2:24">
      <c r="B14" s="10" t="s">
        <v>154</v>
      </c>
      <c r="C14" s="10" t="s">
        <v>2</v>
      </c>
      <c r="D14" s="10">
        <v>460</v>
      </c>
      <c r="E14" s="11">
        <v>13018</v>
      </c>
      <c r="Q14" s="10" t="s">
        <v>154</v>
      </c>
      <c r="R14" s="10" t="s">
        <v>2</v>
      </c>
      <c r="S14" s="10">
        <v>595</v>
      </c>
      <c r="T14" s="11">
        <v>16838.5</v>
      </c>
    </row>
    <row r="15" spans="2:24">
      <c r="B15" s="10" t="s">
        <v>155</v>
      </c>
      <c r="C15" s="10" t="s">
        <v>3</v>
      </c>
      <c r="D15" s="10">
        <v>620</v>
      </c>
      <c r="E15" s="11">
        <v>17546</v>
      </c>
      <c r="Q15" s="10" t="s">
        <v>154</v>
      </c>
      <c r="R15" s="10" t="s">
        <v>1</v>
      </c>
      <c r="S15" s="10">
        <v>256</v>
      </c>
      <c r="T15" s="11">
        <v>7244.8</v>
      </c>
    </row>
    <row r="16" spans="2:24">
      <c r="B16" s="10" t="s">
        <v>155</v>
      </c>
      <c r="C16" s="10" t="s">
        <v>1</v>
      </c>
      <c r="D16" s="10">
        <v>540</v>
      </c>
      <c r="E16" s="11">
        <v>15282</v>
      </c>
      <c r="Q16" s="10" t="s">
        <v>154</v>
      </c>
      <c r="R16" s="10" t="s">
        <v>130</v>
      </c>
      <c r="S16" s="10">
        <v>238</v>
      </c>
      <c r="T16" s="11">
        <v>6735.4000000000005</v>
      </c>
    </row>
    <row r="17" spans="17:20">
      <c r="Q17" s="10" t="s">
        <v>155</v>
      </c>
      <c r="R17" s="10" t="s">
        <v>3</v>
      </c>
      <c r="S17" s="10">
        <v>502</v>
      </c>
      <c r="T17" s="11">
        <v>14206.6</v>
      </c>
    </row>
    <row r="18" spans="17:20">
      <c r="Q18" s="10" t="s">
        <v>155</v>
      </c>
      <c r="R18" s="10" t="s">
        <v>1</v>
      </c>
      <c r="S18" s="10">
        <v>360</v>
      </c>
      <c r="T18" s="11">
        <v>10188</v>
      </c>
    </row>
    <row r="35" spans="2:26" ht="18">
      <c r="B35" s="7" t="s">
        <v>156</v>
      </c>
      <c r="G35" s="7" t="s">
        <v>157</v>
      </c>
      <c r="L35" s="7" t="s">
        <v>158</v>
      </c>
      <c r="Q35" s="7" t="s">
        <v>159</v>
      </c>
      <c r="V35" s="12" t="s">
        <v>160</v>
      </c>
    </row>
    <row r="37" spans="2:26">
      <c r="B37" s="9" t="s">
        <v>11</v>
      </c>
      <c r="C37" s="9" t="s">
        <v>161</v>
      </c>
      <c r="D37" s="9" t="s">
        <v>149</v>
      </c>
      <c r="G37" s="9" t="s">
        <v>0</v>
      </c>
      <c r="H37" s="9" t="s">
        <v>161</v>
      </c>
      <c r="I37" s="9" t="s">
        <v>149</v>
      </c>
      <c r="L37" s="9" t="s">
        <v>11</v>
      </c>
      <c r="M37" s="9" t="s">
        <v>162</v>
      </c>
      <c r="N37" s="9" t="s">
        <v>163</v>
      </c>
      <c r="Q37" s="9" t="s">
        <v>0</v>
      </c>
      <c r="R37" s="9" t="s">
        <v>162</v>
      </c>
      <c r="S37" s="9" t="s">
        <v>163</v>
      </c>
      <c r="V37" s="13" t="s">
        <v>11</v>
      </c>
      <c r="W37" s="13" t="s">
        <v>0</v>
      </c>
      <c r="X37" s="13" t="s">
        <v>164</v>
      </c>
      <c r="Y37" s="13" t="s">
        <v>34</v>
      </c>
      <c r="Z37" s="13" t="s">
        <v>165</v>
      </c>
    </row>
    <row r="38" spans="2:26">
      <c r="B38" s="10" t="s">
        <v>150</v>
      </c>
      <c r="C38" s="11">
        <v>22640</v>
      </c>
      <c r="D38" s="11">
        <v>0</v>
      </c>
      <c r="G38" s="10" t="s">
        <v>126</v>
      </c>
      <c r="H38" s="11">
        <v>7641</v>
      </c>
      <c r="I38" s="11">
        <v>9905</v>
      </c>
      <c r="L38" s="10" t="s">
        <v>151</v>
      </c>
      <c r="M38" s="10">
        <v>1510</v>
      </c>
      <c r="N38" s="11">
        <v>42733</v>
      </c>
      <c r="Q38" s="10" t="s">
        <v>126</v>
      </c>
      <c r="R38" s="10">
        <v>350</v>
      </c>
      <c r="S38" s="11">
        <v>9905</v>
      </c>
      <c r="V38" s="10" t="s">
        <v>151</v>
      </c>
      <c r="W38" s="10" t="s">
        <v>126</v>
      </c>
      <c r="X38" s="10">
        <v>180</v>
      </c>
      <c r="Y38" s="10">
        <v>100</v>
      </c>
      <c r="Z38" s="10">
        <v>80</v>
      </c>
    </row>
    <row r="39" spans="2:26">
      <c r="B39" s="10" t="s">
        <v>151</v>
      </c>
      <c r="C39" s="11">
        <v>30847</v>
      </c>
      <c r="D39" s="11">
        <v>42733</v>
      </c>
      <c r="G39" s="10" t="s">
        <v>3</v>
      </c>
      <c r="H39" s="11">
        <v>67920</v>
      </c>
      <c r="I39" s="11">
        <v>47911.9</v>
      </c>
      <c r="L39" s="10" t="s">
        <v>152</v>
      </c>
      <c r="M39" s="10">
        <v>916</v>
      </c>
      <c r="N39" s="11">
        <v>25922.799999999999</v>
      </c>
      <c r="Q39" s="10" t="s">
        <v>3</v>
      </c>
      <c r="R39" s="10">
        <v>1693</v>
      </c>
      <c r="S39" s="11">
        <v>47911.9</v>
      </c>
      <c r="V39" s="10" t="s">
        <v>155</v>
      </c>
      <c r="W39" s="10" t="s">
        <v>126</v>
      </c>
      <c r="X39" s="10">
        <v>70</v>
      </c>
      <c r="Y39" s="10">
        <v>0</v>
      </c>
      <c r="Z39" s="10">
        <v>70</v>
      </c>
    </row>
    <row r="40" spans="2:26">
      <c r="B40" s="10" t="s">
        <v>152</v>
      </c>
      <c r="C40" s="11">
        <v>31130</v>
      </c>
      <c r="D40" s="11">
        <v>25922.799999999999</v>
      </c>
      <c r="G40" s="10" t="s">
        <v>2</v>
      </c>
      <c r="H40" s="11">
        <v>23489</v>
      </c>
      <c r="I40" s="11">
        <v>24677.599999999999</v>
      </c>
      <c r="L40" s="10" t="s">
        <v>153</v>
      </c>
      <c r="M40" s="10">
        <v>400</v>
      </c>
      <c r="N40" s="11">
        <v>11320</v>
      </c>
      <c r="Q40" s="10" t="s">
        <v>2</v>
      </c>
      <c r="R40" s="10">
        <v>872</v>
      </c>
      <c r="S40" s="11">
        <v>24677.599999999999</v>
      </c>
    </row>
    <row r="41" spans="2:26">
      <c r="B41" s="10" t="s">
        <v>153</v>
      </c>
      <c r="C41" s="11">
        <v>9056</v>
      </c>
      <c r="D41" s="11">
        <v>11320</v>
      </c>
      <c r="G41" s="10" t="s">
        <v>1</v>
      </c>
      <c r="H41" s="11">
        <v>42450</v>
      </c>
      <c r="I41" s="11">
        <v>36365.5</v>
      </c>
      <c r="L41" s="10" t="s">
        <v>154</v>
      </c>
      <c r="M41" s="10">
        <v>1089</v>
      </c>
      <c r="N41" s="11">
        <v>30818.7</v>
      </c>
      <c r="Q41" s="10" t="s">
        <v>1</v>
      </c>
      <c r="R41" s="10">
        <v>1285</v>
      </c>
      <c r="S41" s="11">
        <v>36365.5</v>
      </c>
    </row>
    <row r="42" spans="2:26">
      <c r="B42" s="10" t="s">
        <v>154</v>
      </c>
      <c r="C42" s="11">
        <v>14999</v>
      </c>
      <c r="D42" s="11">
        <v>30818.7</v>
      </c>
      <c r="G42" s="10" t="s">
        <v>130</v>
      </c>
      <c r="H42" s="11">
        <v>0</v>
      </c>
      <c r="I42" s="11">
        <v>18310.099999999999</v>
      </c>
      <c r="L42" s="10" t="s">
        <v>155</v>
      </c>
      <c r="M42" s="10">
        <v>932</v>
      </c>
      <c r="N42" s="11">
        <v>26375.599999999999</v>
      </c>
      <c r="Q42" s="10" t="s">
        <v>130</v>
      </c>
      <c r="R42" s="10">
        <v>647</v>
      </c>
      <c r="S42" s="11">
        <v>18310.099999999999</v>
      </c>
    </row>
    <row r="43" spans="2:26">
      <c r="B43" s="10" t="s">
        <v>155</v>
      </c>
      <c r="C43" s="11">
        <v>32828</v>
      </c>
      <c r="D43" s="11">
        <v>26375.599999999999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6"/>
  <sheetViews>
    <sheetView workbookViewId="0">
      <selection activeCell="L8" sqref="L8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s="406" t="s">
        <v>4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</row>
    <row r="2" spans="1:12">
      <c r="A2" t="s">
        <v>5</v>
      </c>
      <c r="C2" t="s">
        <v>6</v>
      </c>
      <c r="F2" t="s">
        <v>7</v>
      </c>
      <c r="H2" t="s">
        <v>8</v>
      </c>
      <c r="I2" t="s">
        <v>9</v>
      </c>
      <c r="J2" t="s">
        <v>10</v>
      </c>
    </row>
    <row r="4" spans="1:12" ht="27.6">
      <c r="A4" s="1" t="s">
        <v>11</v>
      </c>
      <c r="B4" s="1" t="s">
        <v>12</v>
      </c>
      <c r="C4" s="1" t="s">
        <v>13</v>
      </c>
      <c r="D4" s="1" t="s">
        <v>0</v>
      </c>
      <c r="E4" s="1" t="s">
        <v>27</v>
      </c>
      <c r="F4" s="1" t="s">
        <v>125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</row>
    <row r="5" spans="1:12">
      <c r="A5" s="2">
        <v>46181</v>
      </c>
      <c r="B5" t="s">
        <v>72</v>
      </c>
      <c r="C5" t="s">
        <v>61</v>
      </c>
      <c r="D5" t="s">
        <v>126</v>
      </c>
      <c r="E5" t="s">
        <v>127</v>
      </c>
      <c r="F5" t="str">
        <f>VLOOKUP(TablaPegaso[[#This Row],[Equipo]],Catalogos!$I$4:$J$34,2,FALSE)</f>
        <v>BD-01</v>
      </c>
      <c r="G5" s="3"/>
      <c r="H5" s="3">
        <v>100</v>
      </c>
      <c r="I5" s="3">
        <f t="shared" ref="I5:I38" si="0">IF(ROW()=5,G5-H5,I4+G5-H5)</f>
        <v>-100</v>
      </c>
      <c r="J5" s="4">
        <v>28.3</v>
      </c>
      <c r="K5" s="4">
        <f t="shared" ref="K5:K38" si="1">IFERROR((G5+H5)*J5,0)</f>
        <v>2830</v>
      </c>
    </row>
    <row r="6" spans="1:12">
      <c r="A6" s="2">
        <v>46181</v>
      </c>
      <c r="B6" t="s">
        <v>72</v>
      </c>
      <c r="C6" t="s">
        <v>130</v>
      </c>
      <c r="D6" t="s">
        <v>130</v>
      </c>
      <c r="E6" t="s">
        <v>127</v>
      </c>
      <c r="F6" t="str">
        <f>VLOOKUP(TablaPegaso[[#This Row],[Equipo]],Catalogos!$I$4:$J$34,2,FALSE)</f>
        <v>BD-01</v>
      </c>
      <c r="G6" s="3"/>
      <c r="H6" s="3">
        <v>200</v>
      </c>
      <c r="I6" s="3">
        <f t="shared" si="0"/>
        <v>-300</v>
      </c>
      <c r="J6" s="4">
        <v>28.3</v>
      </c>
      <c r="K6" s="4">
        <f t="shared" si="1"/>
        <v>5660</v>
      </c>
    </row>
    <row r="7" spans="1:12">
      <c r="A7" s="2">
        <v>46181</v>
      </c>
      <c r="B7" t="s">
        <v>72</v>
      </c>
      <c r="C7" t="s">
        <v>131</v>
      </c>
      <c r="D7" t="s">
        <v>130</v>
      </c>
      <c r="E7" t="s">
        <v>127</v>
      </c>
      <c r="F7" t="str">
        <f>VLOOKUP(TablaPegaso[[#This Row],[Equipo]],Catalogos!$I$4:$J$34,2,FALSE)</f>
        <v>BD-01</v>
      </c>
      <c r="G7" s="3"/>
      <c r="H7" s="3">
        <v>209</v>
      </c>
      <c r="I7" s="3">
        <f t="shared" si="0"/>
        <v>-509</v>
      </c>
      <c r="J7" s="4">
        <v>28.3</v>
      </c>
      <c r="K7" s="4">
        <f t="shared" si="1"/>
        <v>5914.7</v>
      </c>
    </row>
    <row r="8" spans="1:12">
      <c r="A8" s="2">
        <v>46181</v>
      </c>
      <c r="B8" t="s">
        <v>141</v>
      </c>
      <c r="F8" t="e">
        <f>VLOOKUP(TablaPegaso[[#This Row],[Equipo]],Catalogos!$I$4:$J$34,2,FALSE)</f>
        <v>#N/A</v>
      </c>
      <c r="G8" s="3">
        <v>2800</v>
      </c>
      <c r="H8" s="3"/>
      <c r="I8" s="3">
        <f t="shared" si="0"/>
        <v>2291</v>
      </c>
      <c r="J8" s="4">
        <v>28.3</v>
      </c>
      <c r="K8" s="4">
        <f t="shared" si="1"/>
        <v>79240</v>
      </c>
    </row>
    <row r="9" spans="1:12">
      <c r="A9" s="2">
        <v>46181</v>
      </c>
      <c r="B9" t="s">
        <v>72</v>
      </c>
      <c r="C9" t="s">
        <v>58</v>
      </c>
      <c r="D9" t="s">
        <v>126</v>
      </c>
      <c r="E9" t="s">
        <v>127</v>
      </c>
      <c r="F9" t="str">
        <f>VLOOKUP(TablaPegaso[[#This Row],[Equipo]],Catalogos!$I$4:$J$34,2,FALSE)</f>
        <v>BD-01</v>
      </c>
      <c r="G9" s="3"/>
      <c r="H9" s="3">
        <v>80</v>
      </c>
      <c r="I9" s="3">
        <f t="shared" si="0"/>
        <v>2211</v>
      </c>
      <c r="J9" s="4">
        <v>28.3</v>
      </c>
      <c r="K9" s="4">
        <f t="shared" si="1"/>
        <v>2264</v>
      </c>
    </row>
    <row r="10" spans="1:12">
      <c r="A10" s="2">
        <v>46182</v>
      </c>
      <c r="B10" t="s">
        <v>72</v>
      </c>
      <c r="C10" t="s">
        <v>58</v>
      </c>
      <c r="D10" t="s">
        <v>2</v>
      </c>
      <c r="E10" t="s">
        <v>60</v>
      </c>
      <c r="F10" t="str">
        <f>VLOOKUP(TablaPegaso[[#This Row],[Equipo]],Catalogos!$I$4:$J$34,2,FALSE)</f>
        <v>RT-01</v>
      </c>
      <c r="G10" s="3"/>
      <c r="H10" s="3">
        <v>70</v>
      </c>
      <c r="I10" s="3">
        <f t="shared" si="0"/>
        <v>2141</v>
      </c>
      <c r="J10" s="4">
        <v>28.3</v>
      </c>
      <c r="K10" s="4">
        <f t="shared" si="1"/>
        <v>1981</v>
      </c>
    </row>
    <row r="11" spans="1:12">
      <c r="A11" s="2">
        <v>46182</v>
      </c>
      <c r="B11" t="s">
        <v>72</v>
      </c>
      <c r="C11" t="s">
        <v>58</v>
      </c>
      <c r="D11" t="s">
        <v>2</v>
      </c>
      <c r="E11" t="s">
        <v>116</v>
      </c>
      <c r="F11" t="str">
        <f>VLOOKUP(TablaPegaso[[#This Row],[Equipo]],Catalogos!$I$4:$J$34,2,FALSE)</f>
        <v>DR-01</v>
      </c>
      <c r="G11" s="3"/>
      <c r="H11" s="3">
        <v>50</v>
      </c>
      <c r="I11" s="3">
        <f t="shared" si="0"/>
        <v>2091</v>
      </c>
      <c r="J11" s="4">
        <v>28.3</v>
      </c>
      <c r="K11" s="4">
        <f t="shared" si="1"/>
        <v>1415</v>
      </c>
    </row>
    <row r="12" spans="1:12">
      <c r="A12" s="2">
        <v>46182</v>
      </c>
      <c r="B12" t="s">
        <v>72</v>
      </c>
      <c r="C12" t="s">
        <v>58</v>
      </c>
      <c r="D12" t="s">
        <v>2</v>
      </c>
      <c r="E12" t="s">
        <v>65</v>
      </c>
      <c r="F12" t="str">
        <f>VLOOKUP(TablaPegaso[[#This Row],[Equipo]],Catalogos!$I$4:$J$34,2,FALSE)</f>
        <v>PT-01</v>
      </c>
      <c r="G12" s="3"/>
      <c r="H12" s="3">
        <v>60</v>
      </c>
      <c r="I12" s="3">
        <f t="shared" si="0"/>
        <v>2031</v>
      </c>
      <c r="J12" s="4">
        <v>28.3</v>
      </c>
      <c r="K12" s="4">
        <f t="shared" si="1"/>
        <v>1698</v>
      </c>
    </row>
    <row r="13" spans="1:12">
      <c r="A13" s="2">
        <v>46183</v>
      </c>
      <c r="B13" t="s">
        <v>72</v>
      </c>
      <c r="C13" t="s">
        <v>61</v>
      </c>
      <c r="D13" t="s">
        <v>126</v>
      </c>
      <c r="E13" t="s">
        <v>127</v>
      </c>
      <c r="F13" t="str">
        <f>VLOOKUP(TablaPegaso[[#This Row],[Equipo]],Catalogos!$I$4:$J$34,2,FALSE)</f>
        <v>BD-01</v>
      </c>
      <c r="G13" s="3"/>
      <c r="H13" s="3">
        <v>100</v>
      </c>
      <c r="I13" s="3">
        <f t="shared" si="0"/>
        <v>1931</v>
      </c>
      <c r="J13" s="4">
        <v>28.3</v>
      </c>
      <c r="K13" s="4">
        <f t="shared" si="1"/>
        <v>2830</v>
      </c>
    </row>
    <row r="14" spans="1:12">
      <c r="A14" s="2">
        <v>46184</v>
      </c>
      <c r="B14" t="s">
        <v>72</v>
      </c>
      <c r="C14" t="s">
        <v>130</v>
      </c>
      <c r="D14" t="s">
        <v>130</v>
      </c>
      <c r="E14" t="s">
        <v>133</v>
      </c>
      <c r="F14" t="str">
        <f>VLOOKUP(TablaPegaso[[#This Row],[Equipo]],Catalogos!$I$4:$J$34,2,FALSE)</f>
        <v>PL-01</v>
      </c>
      <c r="G14" s="3"/>
      <c r="H14" s="3">
        <v>238</v>
      </c>
      <c r="I14" s="3">
        <f t="shared" si="0"/>
        <v>1693</v>
      </c>
      <c r="J14" s="4">
        <v>28.3</v>
      </c>
      <c r="K14" s="4">
        <f t="shared" si="1"/>
        <v>6735.4000000000005</v>
      </c>
    </row>
    <row r="15" spans="1:12">
      <c r="A15" s="2">
        <v>46184</v>
      </c>
      <c r="B15" t="s">
        <v>72</v>
      </c>
      <c r="C15" t="s">
        <v>58</v>
      </c>
      <c r="D15" t="s">
        <v>2</v>
      </c>
      <c r="E15" t="s">
        <v>65</v>
      </c>
      <c r="F15" t="str">
        <f>VLOOKUP(TablaPegaso[[#This Row],[Equipo]],Catalogos!$I$4:$J$34,2,FALSE)</f>
        <v>PT-01</v>
      </c>
      <c r="G15" s="3"/>
      <c r="H15" s="3">
        <v>80</v>
      </c>
      <c r="I15" s="3">
        <f t="shared" si="0"/>
        <v>1613</v>
      </c>
      <c r="J15" s="4">
        <v>28.3</v>
      </c>
      <c r="K15" s="4">
        <f t="shared" si="1"/>
        <v>2264</v>
      </c>
    </row>
    <row r="16" spans="1:12">
      <c r="A16" s="2">
        <v>46184</v>
      </c>
      <c r="B16" t="s">
        <v>72</v>
      </c>
      <c r="C16" t="s">
        <v>58</v>
      </c>
      <c r="D16" t="s">
        <v>2</v>
      </c>
      <c r="E16" t="s">
        <v>110</v>
      </c>
      <c r="F16" t="str">
        <f>VLOOKUP(TablaPegaso[[#This Row],[Equipo]],Catalogos!$I$4:$J$34,2,FALSE)</f>
        <v>CPR-01</v>
      </c>
      <c r="G16" s="3"/>
      <c r="H16" s="3">
        <v>50</v>
      </c>
      <c r="I16" s="3">
        <f t="shared" si="0"/>
        <v>1563</v>
      </c>
      <c r="J16" s="4">
        <v>28.3</v>
      </c>
      <c r="K16" s="4">
        <f t="shared" si="1"/>
        <v>1415</v>
      </c>
    </row>
    <row r="17" spans="1:11">
      <c r="A17" s="2">
        <v>46184</v>
      </c>
      <c r="B17" t="s">
        <v>72</v>
      </c>
      <c r="C17" t="s">
        <v>58</v>
      </c>
      <c r="D17" t="s">
        <v>2</v>
      </c>
      <c r="E17" t="s">
        <v>60</v>
      </c>
      <c r="F17" t="str">
        <f>VLOOKUP(TablaPegaso[[#This Row],[Equipo]],Catalogos!$I$4:$J$34,2,FALSE)</f>
        <v>RT-01</v>
      </c>
      <c r="G17" s="3"/>
      <c r="H17" s="3">
        <v>70</v>
      </c>
      <c r="I17" s="3">
        <f t="shared" si="0"/>
        <v>1493</v>
      </c>
      <c r="J17" s="4">
        <v>28.3</v>
      </c>
      <c r="K17" s="4">
        <f t="shared" si="1"/>
        <v>1981</v>
      </c>
    </row>
    <row r="18" spans="1:11">
      <c r="A18" s="2">
        <v>46184</v>
      </c>
      <c r="B18" t="s">
        <v>72</v>
      </c>
      <c r="C18" t="s">
        <v>58</v>
      </c>
      <c r="D18" t="s">
        <v>2</v>
      </c>
      <c r="E18" t="s">
        <v>106</v>
      </c>
      <c r="F18" t="str">
        <f>VLOOKUP(TablaPegaso[[#This Row],[Equipo]],Catalogos!$I$4:$J$34,2,FALSE)</f>
        <v>CI-01</v>
      </c>
      <c r="G18" s="3"/>
      <c r="H18" s="3">
        <v>80</v>
      </c>
      <c r="I18" s="3">
        <f t="shared" si="0"/>
        <v>1413</v>
      </c>
      <c r="J18" s="4">
        <v>28.3</v>
      </c>
      <c r="K18" s="4">
        <f t="shared" si="1"/>
        <v>2264</v>
      </c>
    </row>
    <row r="19" spans="1:11">
      <c r="A19" s="2">
        <v>46184</v>
      </c>
      <c r="B19" t="s">
        <v>72</v>
      </c>
      <c r="C19" t="s">
        <v>58</v>
      </c>
      <c r="D19" t="s">
        <v>2</v>
      </c>
      <c r="E19" t="s">
        <v>76</v>
      </c>
      <c r="F19" t="str">
        <f>VLOOKUP(TablaPegaso[[#This Row],[Equipo]],Catalogos!$I$4:$J$34,2,FALSE)</f>
        <v>VG-01</v>
      </c>
      <c r="G19" s="3"/>
      <c r="H19" s="3">
        <v>185</v>
      </c>
      <c r="I19" s="3">
        <f t="shared" si="0"/>
        <v>1228</v>
      </c>
      <c r="J19" s="4">
        <v>28.3</v>
      </c>
      <c r="K19" s="4">
        <f t="shared" si="1"/>
        <v>5235.5</v>
      </c>
    </row>
    <row r="20" spans="1:11">
      <c r="A20" s="2">
        <v>46184</v>
      </c>
      <c r="B20" t="s">
        <v>72</v>
      </c>
      <c r="C20" t="s">
        <v>58</v>
      </c>
      <c r="D20" t="s">
        <v>2</v>
      </c>
      <c r="E20" t="s">
        <v>116</v>
      </c>
      <c r="F20" t="str">
        <f>VLOOKUP(TablaPegaso[[#This Row],[Equipo]],Catalogos!$I$4:$J$34,2,FALSE)</f>
        <v>DR-01</v>
      </c>
      <c r="G20" s="3"/>
      <c r="H20" s="3">
        <v>50</v>
      </c>
      <c r="I20" s="3">
        <f t="shared" si="0"/>
        <v>1178</v>
      </c>
      <c r="J20" s="4">
        <v>28.3</v>
      </c>
      <c r="K20" s="4">
        <f t="shared" si="1"/>
        <v>1415</v>
      </c>
    </row>
    <row r="21" spans="1:11">
      <c r="A21" s="2">
        <v>46184</v>
      </c>
      <c r="B21" t="s">
        <v>72</v>
      </c>
      <c r="C21" t="s">
        <v>58</v>
      </c>
      <c r="D21" t="s">
        <v>2</v>
      </c>
      <c r="E21" t="s">
        <v>116</v>
      </c>
      <c r="F21" t="str">
        <f>VLOOKUP(TablaPegaso[[#This Row],[Equipo]],Catalogos!$I$4:$J$34,2,FALSE)</f>
        <v>DR-01</v>
      </c>
      <c r="G21" s="3"/>
      <c r="H21" s="3">
        <v>40</v>
      </c>
      <c r="I21" s="3">
        <f t="shared" si="0"/>
        <v>1138</v>
      </c>
      <c r="J21" s="4">
        <v>28.3</v>
      </c>
      <c r="K21" s="4">
        <f t="shared" si="1"/>
        <v>1132</v>
      </c>
    </row>
    <row r="22" spans="1:11">
      <c r="A22" s="2">
        <v>46184</v>
      </c>
      <c r="B22" t="s">
        <v>72</v>
      </c>
      <c r="C22" t="s">
        <v>58</v>
      </c>
      <c r="D22" t="s">
        <v>2</v>
      </c>
      <c r="E22" t="s">
        <v>97</v>
      </c>
      <c r="F22" t="str">
        <f>VLOOKUP(TablaPegaso[[#This Row],[Equipo]],Catalogos!$I$4:$J$34,2,FALSE)</f>
        <v>NM-01</v>
      </c>
      <c r="G22" s="3"/>
      <c r="H22" s="3">
        <v>40</v>
      </c>
      <c r="I22" s="3">
        <f t="shared" si="0"/>
        <v>1098</v>
      </c>
      <c r="J22" s="4">
        <v>28.3</v>
      </c>
      <c r="K22" s="4">
        <f t="shared" si="1"/>
        <v>1132</v>
      </c>
    </row>
    <row r="23" spans="1:11">
      <c r="A23" s="2">
        <v>46185</v>
      </c>
      <c r="B23" t="s">
        <v>72</v>
      </c>
      <c r="C23" t="s">
        <v>58</v>
      </c>
      <c r="D23" t="s">
        <v>126</v>
      </c>
      <c r="E23" t="s">
        <v>91</v>
      </c>
      <c r="F23" t="str">
        <f>VLOOKUP(TablaPegaso[[#This Row],[Equipo]],Catalogos!$I$4:$J$34,2,FALSE)</f>
        <v>BR-02</v>
      </c>
      <c r="G23" s="3"/>
      <c r="H23" s="3">
        <v>70</v>
      </c>
      <c r="I23" s="3">
        <f t="shared" si="0"/>
        <v>1028</v>
      </c>
      <c r="J23" s="4">
        <v>28.3</v>
      </c>
      <c r="K23" s="4">
        <f t="shared" si="1"/>
        <v>1981</v>
      </c>
    </row>
    <row r="24" spans="1:11">
      <c r="A24" s="2"/>
      <c r="F24" t="e">
        <f>VLOOKUP(TablaPegaso[[#This Row],[Equipo]],Catalogos!$I$4:$J$34,2,FALSE)</f>
        <v>#N/A</v>
      </c>
      <c r="G24" s="3"/>
      <c r="H24" s="3"/>
      <c r="I24" s="3">
        <f t="shared" si="0"/>
        <v>1028</v>
      </c>
      <c r="J24" s="4"/>
      <c r="K24" s="4">
        <f t="shared" si="1"/>
        <v>0</v>
      </c>
    </row>
    <row r="25" spans="1:11">
      <c r="A25" s="2"/>
      <c r="F25" t="e">
        <f>VLOOKUP(TablaPegaso[[#This Row],[Equipo]],Catalogos!$I$4:$J$34,2,FALSE)</f>
        <v>#N/A</v>
      </c>
      <c r="G25" s="3"/>
      <c r="H25" s="3"/>
      <c r="I25" s="3">
        <f t="shared" si="0"/>
        <v>1028</v>
      </c>
      <c r="J25" s="4"/>
      <c r="K25" s="4">
        <f t="shared" si="1"/>
        <v>0</v>
      </c>
    </row>
    <row r="26" spans="1:11">
      <c r="A26" s="2"/>
      <c r="F26" t="e">
        <f>VLOOKUP(TablaPegaso[[#This Row],[Equipo]],Catalogos!$I$4:$J$34,2,FALSE)</f>
        <v>#N/A</v>
      </c>
      <c r="G26" s="3"/>
      <c r="H26" s="3"/>
      <c r="I26" s="3">
        <f t="shared" si="0"/>
        <v>1028</v>
      </c>
      <c r="J26" s="4"/>
      <c r="K26" s="4">
        <f t="shared" si="1"/>
        <v>0</v>
      </c>
    </row>
    <row r="27" spans="1:11">
      <c r="A27" s="2"/>
      <c r="F27" t="e">
        <f>VLOOKUP(TablaPegaso[[#This Row],[Equipo]],Catalogos!$I$4:$J$34,2,FALSE)</f>
        <v>#N/A</v>
      </c>
      <c r="G27" s="3"/>
      <c r="H27" s="3"/>
      <c r="I27" s="3">
        <f t="shared" si="0"/>
        <v>1028</v>
      </c>
      <c r="J27" s="4"/>
      <c r="K27" s="4">
        <f t="shared" si="1"/>
        <v>0</v>
      </c>
    </row>
    <row r="28" spans="1:11">
      <c r="A28" s="2"/>
      <c r="F28" t="e">
        <f>VLOOKUP(TablaPegaso[[#This Row],[Equipo]],Catalogos!$I$4:$J$34,2,FALSE)</f>
        <v>#N/A</v>
      </c>
      <c r="G28" s="3"/>
      <c r="H28" s="3"/>
      <c r="I28" s="3">
        <f t="shared" si="0"/>
        <v>1028</v>
      </c>
      <c r="J28" s="4"/>
      <c r="K28" s="4">
        <f t="shared" si="1"/>
        <v>0</v>
      </c>
    </row>
    <row r="29" spans="1:11">
      <c r="A29" s="2"/>
      <c r="F29" t="e">
        <f>VLOOKUP(TablaPegaso[[#This Row],[Equipo]],Catalogos!$I$4:$J$34,2,FALSE)</f>
        <v>#N/A</v>
      </c>
      <c r="G29" s="3"/>
      <c r="H29" s="3"/>
      <c r="I29" s="3">
        <f t="shared" si="0"/>
        <v>1028</v>
      </c>
      <c r="J29" s="4"/>
      <c r="K29" s="4">
        <f t="shared" si="1"/>
        <v>0</v>
      </c>
    </row>
    <row r="30" spans="1:11">
      <c r="A30" s="2"/>
      <c r="F30" t="e">
        <f>VLOOKUP(TablaPegaso[[#This Row],[Equipo]],Catalogos!$I$4:$J$34,2,FALSE)</f>
        <v>#N/A</v>
      </c>
      <c r="G30" s="3"/>
      <c r="H30" s="3"/>
      <c r="I30" s="3">
        <f t="shared" si="0"/>
        <v>1028</v>
      </c>
      <c r="J30" s="4"/>
      <c r="K30" s="4">
        <f t="shared" si="1"/>
        <v>0</v>
      </c>
    </row>
    <row r="31" spans="1:11">
      <c r="A31" s="2"/>
      <c r="F31" t="e">
        <f>VLOOKUP(TablaPegaso[[#This Row],[Equipo]],Catalogos!$I$4:$J$34,2,FALSE)</f>
        <v>#N/A</v>
      </c>
      <c r="G31" s="3"/>
      <c r="H31" s="3"/>
      <c r="I31" s="3">
        <f t="shared" si="0"/>
        <v>1028</v>
      </c>
      <c r="J31" s="4"/>
      <c r="K31" s="4">
        <f t="shared" si="1"/>
        <v>0</v>
      </c>
    </row>
    <row r="32" spans="1:11">
      <c r="A32" s="2"/>
      <c r="F32" t="e">
        <f>VLOOKUP(TablaPegaso[[#This Row],[Equipo]],Catalogos!$I$4:$J$34,2,FALSE)</f>
        <v>#N/A</v>
      </c>
      <c r="G32" s="3"/>
      <c r="H32" s="3"/>
      <c r="I32" s="3">
        <f t="shared" si="0"/>
        <v>1028</v>
      </c>
      <c r="J32" s="4"/>
      <c r="K32" s="4">
        <f t="shared" si="1"/>
        <v>0</v>
      </c>
    </row>
    <row r="33" spans="1:11">
      <c r="A33" s="2"/>
      <c r="F33" t="e">
        <f>VLOOKUP(TablaPegaso[[#This Row],[Equipo]],Catalogos!$I$4:$J$34,2,FALSE)</f>
        <v>#N/A</v>
      </c>
      <c r="G33" s="3"/>
      <c r="H33" s="3"/>
      <c r="I33" s="3">
        <f t="shared" si="0"/>
        <v>1028</v>
      </c>
      <c r="J33" s="4"/>
      <c r="K33" s="4">
        <f t="shared" si="1"/>
        <v>0</v>
      </c>
    </row>
    <row r="34" spans="1:11">
      <c r="A34" s="2"/>
      <c r="F34" t="e">
        <f>VLOOKUP(TablaPegaso[[#This Row],[Equipo]],Catalogos!$I$4:$J$34,2,FALSE)</f>
        <v>#N/A</v>
      </c>
      <c r="G34" s="3"/>
      <c r="H34" s="3"/>
      <c r="I34" s="3">
        <f t="shared" si="0"/>
        <v>1028</v>
      </c>
      <c r="J34" s="4"/>
      <c r="K34" s="4">
        <f t="shared" si="1"/>
        <v>0</v>
      </c>
    </row>
    <row r="35" spans="1:11">
      <c r="A35" s="2"/>
      <c r="F35" t="e">
        <f>VLOOKUP(TablaPegaso[[#This Row],[Equipo]],Catalogos!$I$4:$J$34,2,FALSE)</f>
        <v>#N/A</v>
      </c>
      <c r="G35" s="3"/>
      <c r="H35" s="3"/>
      <c r="I35" s="3">
        <f t="shared" si="0"/>
        <v>1028</v>
      </c>
      <c r="J35" s="4"/>
      <c r="K35" s="4">
        <f t="shared" si="1"/>
        <v>0</v>
      </c>
    </row>
    <row r="36" spans="1:11">
      <c r="A36" s="2"/>
      <c r="F36" t="e">
        <f>VLOOKUP(TablaPegaso[[#This Row],[Equipo]],Catalogos!$I$4:$J$34,2,FALSE)</f>
        <v>#N/A</v>
      </c>
      <c r="G36" s="3"/>
      <c r="H36" s="3"/>
      <c r="I36" s="3">
        <f t="shared" si="0"/>
        <v>1028</v>
      </c>
      <c r="J36" s="4"/>
      <c r="K36" s="4">
        <f t="shared" si="1"/>
        <v>0</v>
      </c>
    </row>
    <row r="37" spans="1:11">
      <c r="A37" s="2"/>
      <c r="F37" t="e">
        <f>VLOOKUP(TablaPegaso[[#This Row],[Equipo]],Catalogos!$I$4:$J$34,2,FALSE)</f>
        <v>#N/A</v>
      </c>
      <c r="G37" s="3"/>
      <c r="H37" s="3"/>
      <c r="I37" s="3">
        <f t="shared" si="0"/>
        <v>1028</v>
      </c>
      <c r="J37" s="4"/>
      <c r="K37" s="4">
        <f t="shared" si="1"/>
        <v>0</v>
      </c>
    </row>
    <row r="38" spans="1:11">
      <c r="A38" s="2"/>
      <c r="F38" t="e">
        <f>VLOOKUP(TablaPegaso[[#This Row],[Equipo]],Catalogos!$I$4:$J$34,2,FALSE)</f>
        <v>#N/A</v>
      </c>
      <c r="G38" s="3"/>
      <c r="H38" s="3"/>
      <c r="I38" s="3">
        <f t="shared" si="0"/>
        <v>1028</v>
      </c>
      <c r="J38" s="4"/>
      <c r="K38" s="4">
        <f t="shared" si="1"/>
        <v>0</v>
      </c>
    </row>
    <row r="39" spans="1:11">
      <c r="A39" s="2"/>
      <c r="F39" t="e">
        <f>VLOOKUP(TablaPegaso[[#This Row],[Equipo]],Catalogos!$I$4:$J$34,2,FALSE)</f>
        <v>#N/A</v>
      </c>
      <c r="G39" s="3"/>
      <c r="H39" s="3"/>
      <c r="I39" s="3">
        <f t="shared" ref="I39:I70" si="2">IF(ROW()=5,G39-H39,I38+G39-H39)</f>
        <v>1028</v>
      </c>
      <c r="J39" s="4"/>
      <c r="K39" s="4">
        <f t="shared" ref="K39:K70" si="3">IFERROR((G39+H39)*J39,0)</f>
        <v>0</v>
      </c>
    </row>
    <row r="40" spans="1:11">
      <c r="A40" s="2"/>
      <c r="F40" t="e">
        <f>VLOOKUP(TablaPegaso[[#This Row],[Equipo]],Catalogos!$I$4:$J$34,2,FALSE)</f>
        <v>#N/A</v>
      </c>
      <c r="G40" s="3"/>
      <c r="H40" s="3"/>
      <c r="I40" s="3">
        <f t="shared" si="2"/>
        <v>1028</v>
      </c>
      <c r="J40" s="4"/>
      <c r="K40" s="4">
        <f t="shared" si="3"/>
        <v>0</v>
      </c>
    </row>
    <row r="41" spans="1:11">
      <c r="A41" s="2"/>
      <c r="F41" t="e">
        <f>VLOOKUP(TablaPegaso[[#This Row],[Equipo]],Catalogos!$I$4:$J$34,2,FALSE)</f>
        <v>#N/A</v>
      </c>
      <c r="G41" s="3"/>
      <c r="H41" s="3"/>
      <c r="I41" s="3">
        <f t="shared" si="2"/>
        <v>1028</v>
      </c>
      <c r="J41" s="4"/>
      <c r="K41" s="4">
        <f t="shared" si="3"/>
        <v>0</v>
      </c>
    </row>
    <row r="42" spans="1:11">
      <c r="A42" s="2"/>
      <c r="F42" t="e">
        <f>VLOOKUP(TablaPegaso[[#This Row],[Equipo]],Catalogos!$I$4:$J$34,2,FALSE)</f>
        <v>#N/A</v>
      </c>
      <c r="G42" s="3"/>
      <c r="H42" s="3"/>
      <c r="I42" s="3">
        <f t="shared" si="2"/>
        <v>1028</v>
      </c>
      <c r="J42" s="4"/>
      <c r="K42" s="4">
        <f t="shared" si="3"/>
        <v>0</v>
      </c>
    </row>
    <row r="43" spans="1:11">
      <c r="A43" s="2"/>
      <c r="F43" t="e">
        <f>VLOOKUP(TablaPegaso[[#This Row],[Equipo]],Catalogos!$I$4:$J$34,2,FALSE)</f>
        <v>#N/A</v>
      </c>
      <c r="G43" s="3"/>
      <c r="H43" s="3"/>
      <c r="I43" s="3">
        <f t="shared" si="2"/>
        <v>1028</v>
      </c>
      <c r="J43" s="4"/>
      <c r="K43" s="4">
        <f t="shared" si="3"/>
        <v>0</v>
      </c>
    </row>
    <row r="44" spans="1:11">
      <c r="A44" s="2"/>
      <c r="F44" t="e">
        <f>VLOOKUP(TablaPegaso[[#This Row],[Equipo]],Catalogos!$I$4:$J$34,2,FALSE)</f>
        <v>#N/A</v>
      </c>
      <c r="G44" s="3"/>
      <c r="H44" s="3"/>
      <c r="I44" s="3">
        <f t="shared" si="2"/>
        <v>1028</v>
      </c>
      <c r="J44" s="4"/>
      <c r="K44" s="4">
        <f t="shared" si="3"/>
        <v>0</v>
      </c>
    </row>
    <row r="45" spans="1:11">
      <c r="A45" s="2"/>
      <c r="F45" t="e">
        <f>VLOOKUP(TablaPegaso[[#This Row],[Equipo]],Catalogos!$I$4:$J$34,2,FALSE)</f>
        <v>#N/A</v>
      </c>
      <c r="G45" s="3"/>
      <c r="H45" s="3"/>
      <c r="I45" s="3">
        <f t="shared" si="2"/>
        <v>1028</v>
      </c>
      <c r="J45" s="4"/>
      <c r="K45" s="4">
        <f t="shared" si="3"/>
        <v>0</v>
      </c>
    </row>
    <row r="46" spans="1:11">
      <c r="A46" s="2"/>
      <c r="F46" t="e">
        <f>VLOOKUP(TablaPegaso[[#This Row],[Equipo]],Catalogos!$I$4:$J$34,2,FALSE)</f>
        <v>#N/A</v>
      </c>
      <c r="G46" s="3"/>
      <c r="H46" s="3"/>
      <c r="I46" s="3">
        <f t="shared" si="2"/>
        <v>1028</v>
      </c>
      <c r="J46" s="4"/>
      <c r="K46" s="4">
        <f t="shared" si="3"/>
        <v>0</v>
      </c>
    </row>
    <row r="47" spans="1:11">
      <c r="A47" s="2"/>
      <c r="F47" t="e">
        <f>VLOOKUP(TablaPegaso[[#This Row],[Equipo]],Catalogos!$I$4:$J$34,2,FALSE)</f>
        <v>#N/A</v>
      </c>
      <c r="G47" s="3"/>
      <c r="H47" s="3"/>
      <c r="I47" s="3">
        <f t="shared" si="2"/>
        <v>1028</v>
      </c>
      <c r="J47" s="4"/>
      <c r="K47" s="4">
        <f t="shared" si="3"/>
        <v>0</v>
      </c>
    </row>
    <row r="48" spans="1:11">
      <c r="A48" s="2"/>
      <c r="F48" t="e">
        <f>VLOOKUP(TablaPegaso[[#This Row],[Equipo]],Catalogos!$I$4:$J$34,2,FALSE)</f>
        <v>#N/A</v>
      </c>
      <c r="G48" s="3"/>
      <c r="H48" s="3"/>
      <c r="I48" s="3">
        <f t="shared" si="2"/>
        <v>1028</v>
      </c>
      <c r="J48" s="4"/>
      <c r="K48" s="4">
        <f t="shared" si="3"/>
        <v>0</v>
      </c>
    </row>
    <row r="49" spans="1:11">
      <c r="A49" s="2"/>
      <c r="F49" t="e">
        <f>VLOOKUP(TablaPegaso[[#This Row],[Equipo]],Catalogos!$I$4:$J$34,2,FALSE)</f>
        <v>#N/A</v>
      </c>
      <c r="G49" s="3"/>
      <c r="H49" s="3"/>
      <c r="I49" s="3">
        <f t="shared" si="2"/>
        <v>1028</v>
      </c>
      <c r="J49" s="4"/>
      <c r="K49" s="4">
        <f t="shared" si="3"/>
        <v>0</v>
      </c>
    </row>
    <row r="50" spans="1:11">
      <c r="A50" s="2"/>
      <c r="F50" t="e">
        <f>VLOOKUP(TablaPegaso[[#This Row],[Equipo]],Catalogos!$I$4:$J$34,2,FALSE)</f>
        <v>#N/A</v>
      </c>
      <c r="G50" s="3"/>
      <c r="H50" s="3"/>
      <c r="I50" s="3">
        <f t="shared" si="2"/>
        <v>1028</v>
      </c>
      <c r="J50" s="4"/>
      <c r="K50" s="4">
        <f t="shared" si="3"/>
        <v>0</v>
      </c>
    </row>
    <row r="51" spans="1:11">
      <c r="A51" s="2"/>
      <c r="F51" t="e">
        <f>VLOOKUP(TablaPegaso[[#This Row],[Equipo]],Catalogos!$I$4:$J$34,2,FALSE)</f>
        <v>#N/A</v>
      </c>
      <c r="G51" s="3"/>
      <c r="H51" s="3"/>
      <c r="I51" s="3">
        <f t="shared" si="2"/>
        <v>1028</v>
      </c>
      <c r="J51" s="4"/>
      <c r="K51" s="4">
        <f t="shared" si="3"/>
        <v>0</v>
      </c>
    </row>
    <row r="52" spans="1:11">
      <c r="A52" s="2"/>
      <c r="F52" t="e">
        <f>VLOOKUP(TablaPegaso[[#This Row],[Equipo]],Catalogos!$I$4:$J$34,2,FALSE)</f>
        <v>#N/A</v>
      </c>
      <c r="G52" s="3"/>
      <c r="H52" s="3"/>
      <c r="I52" s="3">
        <f t="shared" si="2"/>
        <v>1028</v>
      </c>
      <c r="J52" s="4"/>
      <c r="K52" s="4">
        <f t="shared" si="3"/>
        <v>0</v>
      </c>
    </row>
    <row r="53" spans="1:11">
      <c r="A53" s="2"/>
      <c r="F53" t="e">
        <f>VLOOKUP(TablaPegaso[[#This Row],[Equipo]],Catalogos!$I$4:$J$34,2,FALSE)</f>
        <v>#N/A</v>
      </c>
      <c r="G53" s="3"/>
      <c r="H53" s="3"/>
      <c r="I53" s="3">
        <f t="shared" si="2"/>
        <v>1028</v>
      </c>
      <c r="J53" s="4"/>
      <c r="K53" s="4">
        <f t="shared" si="3"/>
        <v>0</v>
      </c>
    </row>
    <row r="54" spans="1:11">
      <c r="A54" s="2"/>
      <c r="F54" t="e">
        <f>VLOOKUP(TablaPegaso[[#This Row],[Equipo]],Catalogos!$I$4:$J$34,2,FALSE)</f>
        <v>#N/A</v>
      </c>
      <c r="G54" s="3"/>
      <c r="H54" s="3"/>
      <c r="I54" s="3">
        <f t="shared" si="2"/>
        <v>1028</v>
      </c>
      <c r="J54" s="4"/>
      <c r="K54" s="4">
        <f t="shared" si="3"/>
        <v>0</v>
      </c>
    </row>
    <row r="55" spans="1:11">
      <c r="A55" s="2"/>
      <c r="F55" t="e">
        <f>VLOOKUP(TablaPegaso[[#This Row],[Equipo]],Catalogos!$I$4:$J$34,2,FALSE)</f>
        <v>#N/A</v>
      </c>
      <c r="G55" s="3"/>
      <c r="H55" s="3"/>
      <c r="I55" s="3">
        <f t="shared" si="2"/>
        <v>1028</v>
      </c>
      <c r="J55" s="4"/>
      <c r="K55" s="4">
        <f t="shared" si="3"/>
        <v>0</v>
      </c>
    </row>
    <row r="56" spans="1:11">
      <c r="A56" s="2"/>
      <c r="F56" t="e">
        <f>VLOOKUP(TablaPegaso[[#This Row],[Equipo]],Catalogos!$I$4:$J$34,2,FALSE)</f>
        <v>#N/A</v>
      </c>
      <c r="G56" s="3"/>
      <c r="H56" s="3"/>
      <c r="I56" s="3">
        <f t="shared" si="2"/>
        <v>1028</v>
      </c>
      <c r="J56" s="4"/>
      <c r="K56" s="4">
        <f t="shared" si="3"/>
        <v>0</v>
      </c>
    </row>
    <row r="57" spans="1:11">
      <c r="A57" s="2"/>
      <c r="F57" t="e">
        <f>VLOOKUP(TablaPegaso[[#This Row],[Equipo]],Catalogos!$I$4:$J$34,2,FALSE)</f>
        <v>#N/A</v>
      </c>
      <c r="G57" s="3"/>
      <c r="H57" s="3"/>
      <c r="I57" s="3">
        <f t="shared" si="2"/>
        <v>1028</v>
      </c>
      <c r="J57" s="4"/>
      <c r="K57" s="4">
        <f t="shared" si="3"/>
        <v>0</v>
      </c>
    </row>
    <row r="58" spans="1:11">
      <c r="A58" s="2"/>
      <c r="F58" t="e">
        <f>VLOOKUP(TablaPegaso[[#This Row],[Equipo]],Catalogos!$I$4:$J$34,2,FALSE)</f>
        <v>#N/A</v>
      </c>
      <c r="G58" s="3"/>
      <c r="H58" s="3"/>
      <c r="I58" s="3">
        <f t="shared" si="2"/>
        <v>1028</v>
      </c>
      <c r="J58" s="4"/>
      <c r="K58" s="4">
        <f t="shared" si="3"/>
        <v>0</v>
      </c>
    </row>
    <row r="59" spans="1:11">
      <c r="A59" s="2"/>
      <c r="F59" t="e">
        <f>VLOOKUP(TablaPegaso[[#This Row],[Equipo]],Catalogos!$I$4:$J$34,2,FALSE)</f>
        <v>#N/A</v>
      </c>
      <c r="G59" s="3"/>
      <c r="H59" s="3"/>
      <c r="I59" s="3">
        <f t="shared" si="2"/>
        <v>1028</v>
      </c>
      <c r="J59" s="4"/>
      <c r="K59" s="4">
        <f t="shared" si="3"/>
        <v>0</v>
      </c>
    </row>
    <row r="60" spans="1:11">
      <c r="A60" s="2"/>
      <c r="F60" t="e">
        <f>VLOOKUP(TablaPegaso[[#This Row],[Equipo]],Catalogos!$I$4:$J$34,2,FALSE)</f>
        <v>#N/A</v>
      </c>
      <c r="G60" s="3"/>
      <c r="H60" s="3"/>
      <c r="I60" s="3">
        <f t="shared" si="2"/>
        <v>1028</v>
      </c>
      <c r="J60" s="4"/>
      <c r="K60" s="4">
        <f t="shared" si="3"/>
        <v>0</v>
      </c>
    </row>
    <row r="61" spans="1:11">
      <c r="A61" s="2"/>
      <c r="F61" t="e">
        <f>VLOOKUP(TablaPegaso[[#This Row],[Equipo]],Catalogos!$I$4:$J$34,2,FALSE)</f>
        <v>#N/A</v>
      </c>
      <c r="G61" s="3"/>
      <c r="H61" s="3"/>
      <c r="I61" s="3">
        <f t="shared" si="2"/>
        <v>1028</v>
      </c>
      <c r="J61" s="4"/>
      <c r="K61" s="4">
        <f t="shared" si="3"/>
        <v>0</v>
      </c>
    </row>
    <row r="62" spans="1:11">
      <c r="A62" s="2"/>
      <c r="F62" t="e">
        <f>VLOOKUP(TablaPegaso[[#This Row],[Equipo]],Catalogos!$I$4:$J$34,2,FALSE)</f>
        <v>#N/A</v>
      </c>
      <c r="G62" s="3"/>
      <c r="H62" s="3"/>
      <c r="I62" s="3">
        <f t="shared" si="2"/>
        <v>1028</v>
      </c>
      <c r="J62" s="4"/>
      <c r="K62" s="4">
        <f t="shared" si="3"/>
        <v>0</v>
      </c>
    </row>
    <row r="63" spans="1:11">
      <c r="A63" s="2"/>
      <c r="F63" t="e">
        <f>VLOOKUP(TablaPegaso[[#This Row],[Equipo]],Catalogos!$I$4:$J$34,2,FALSE)</f>
        <v>#N/A</v>
      </c>
      <c r="G63" s="3"/>
      <c r="H63" s="3"/>
      <c r="I63" s="3">
        <f t="shared" si="2"/>
        <v>1028</v>
      </c>
      <c r="J63" s="4"/>
      <c r="K63" s="4">
        <f t="shared" si="3"/>
        <v>0</v>
      </c>
    </row>
    <row r="64" spans="1:11">
      <c r="A64" s="2"/>
      <c r="F64" t="e">
        <f>VLOOKUP(TablaPegaso[[#This Row],[Equipo]],Catalogos!$I$4:$J$34,2,FALSE)</f>
        <v>#N/A</v>
      </c>
      <c r="G64" s="3"/>
      <c r="H64" s="3"/>
      <c r="I64" s="3">
        <f t="shared" si="2"/>
        <v>1028</v>
      </c>
      <c r="J64" s="4"/>
      <c r="K64" s="4">
        <f t="shared" si="3"/>
        <v>0</v>
      </c>
    </row>
    <row r="65" spans="1:11">
      <c r="A65" s="2"/>
      <c r="F65" t="e">
        <f>VLOOKUP(TablaPegaso[[#This Row],[Equipo]],Catalogos!$I$4:$J$34,2,FALSE)</f>
        <v>#N/A</v>
      </c>
      <c r="G65" s="3"/>
      <c r="H65" s="3"/>
      <c r="I65" s="3">
        <f t="shared" si="2"/>
        <v>1028</v>
      </c>
      <c r="J65" s="4"/>
      <c r="K65" s="4">
        <f t="shared" si="3"/>
        <v>0</v>
      </c>
    </row>
    <row r="66" spans="1:11">
      <c r="A66" s="2"/>
      <c r="F66" t="e">
        <f>VLOOKUP(TablaPegaso[[#This Row],[Equipo]],Catalogos!$I$4:$J$34,2,FALSE)</f>
        <v>#N/A</v>
      </c>
      <c r="G66" s="3"/>
      <c r="H66" s="3"/>
      <c r="I66" s="3">
        <f t="shared" si="2"/>
        <v>1028</v>
      </c>
      <c r="J66" s="4"/>
      <c r="K66" s="4">
        <f t="shared" si="3"/>
        <v>0</v>
      </c>
    </row>
    <row r="67" spans="1:11">
      <c r="A67" s="2"/>
      <c r="F67" t="e">
        <f>VLOOKUP(TablaPegaso[[#This Row],[Equipo]],Catalogos!$I$4:$J$34,2,FALSE)</f>
        <v>#N/A</v>
      </c>
      <c r="G67" s="3"/>
      <c r="H67" s="3"/>
      <c r="I67" s="3">
        <f t="shared" si="2"/>
        <v>1028</v>
      </c>
      <c r="J67" s="4"/>
      <c r="K67" s="4">
        <f t="shared" si="3"/>
        <v>0</v>
      </c>
    </row>
    <row r="68" spans="1:11">
      <c r="A68" s="2"/>
      <c r="F68" t="e">
        <f>VLOOKUP(TablaPegaso[[#This Row],[Equipo]],Catalogos!$I$4:$J$34,2,FALSE)</f>
        <v>#N/A</v>
      </c>
      <c r="G68" s="3"/>
      <c r="H68" s="3"/>
      <c r="I68" s="3">
        <f t="shared" si="2"/>
        <v>1028</v>
      </c>
      <c r="J68" s="4"/>
      <c r="K68" s="4">
        <f t="shared" si="3"/>
        <v>0</v>
      </c>
    </row>
    <row r="69" spans="1:11">
      <c r="A69" s="2"/>
      <c r="F69" t="e">
        <f>VLOOKUP(TablaPegaso[[#This Row],[Equipo]],Catalogos!$I$4:$J$34,2,FALSE)</f>
        <v>#N/A</v>
      </c>
      <c r="G69" s="3"/>
      <c r="H69" s="3"/>
      <c r="I69" s="3">
        <f t="shared" si="2"/>
        <v>1028</v>
      </c>
      <c r="J69" s="4"/>
      <c r="K69" s="4">
        <f t="shared" si="3"/>
        <v>0</v>
      </c>
    </row>
    <row r="70" spans="1:11">
      <c r="A70" s="2"/>
      <c r="F70" t="e">
        <f>VLOOKUP(TablaPegaso[[#This Row],[Equipo]],Catalogos!$I$4:$J$34,2,FALSE)</f>
        <v>#N/A</v>
      </c>
      <c r="G70" s="3"/>
      <c r="H70" s="3"/>
      <c r="I70" s="3">
        <f t="shared" si="2"/>
        <v>1028</v>
      </c>
      <c r="J70" s="4"/>
      <c r="K70" s="4">
        <f t="shared" si="3"/>
        <v>0</v>
      </c>
    </row>
    <row r="71" spans="1:11">
      <c r="A71" s="2"/>
      <c r="F71" t="e">
        <f>VLOOKUP(TablaPegaso[[#This Row],[Equipo]],Catalogos!$I$4:$J$34,2,FALSE)</f>
        <v>#N/A</v>
      </c>
      <c r="G71" s="3"/>
      <c r="H71" s="3"/>
      <c r="I71" s="3">
        <f t="shared" ref="I71:I102" si="4">IF(ROW()=5,G71-H71,I70+G71-H71)</f>
        <v>1028</v>
      </c>
      <c r="J71" s="4"/>
      <c r="K71" s="4">
        <f t="shared" ref="K71:K102" si="5">IFERROR((G71+H71)*J71,0)</f>
        <v>0</v>
      </c>
    </row>
    <row r="72" spans="1:11">
      <c r="A72" s="2"/>
      <c r="F72" t="e">
        <f>VLOOKUP(TablaPegaso[[#This Row],[Equipo]],Catalogos!$I$4:$J$34,2,FALSE)</f>
        <v>#N/A</v>
      </c>
      <c r="G72" s="3"/>
      <c r="H72" s="3"/>
      <c r="I72" s="3">
        <f t="shared" si="4"/>
        <v>1028</v>
      </c>
      <c r="J72" s="4"/>
      <c r="K72" s="4">
        <f t="shared" si="5"/>
        <v>0</v>
      </c>
    </row>
    <row r="73" spans="1:11">
      <c r="A73" s="2"/>
      <c r="F73" t="e">
        <f>VLOOKUP(TablaPegaso[[#This Row],[Equipo]],Catalogos!$I$4:$J$34,2,FALSE)</f>
        <v>#N/A</v>
      </c>
      <c r="G73" s="3"/>
      <c r="H73" s="3"/>
      <c r="I73" s="3">
        <f t="shared" si="4"/>
        <v>1028</v>
      </c>
      <c r="J73" s="4"/>
      <c r="K73" s="4">
        <f t="shared" si="5"/>
        <v>0</v>
      </c>
    </row>
    <row r="74" spans="1:11">
      <c r="A74" s="2"/>
      <c r="F74" t="e">
        <f>VLOOKUP(TablaPegaso[[#This Row],[Equipo]],Catalogos!$I$4:$J$34,2,FALSE)</f>
        <v>#N/A</v>
      </c>
      <c r="G74" s="3"/>
      <c r="H74" s="3"/>
      <c r="I74" s="3">
        <f t="shared" si="4"/>
        <v>1028</v>
      </c>
      <c r="J74" s="4"/>
      <c r="K74" s="4">
        <f t="shared" si="5"/>
        <v>0</v>
      </c>
    </row>
    <row r="75" spans="1:11">
      <c r="A75" s="2"/>
      <c r="F75" t="e">
        <f>VLOOKUP(TablaPegaso[[#This Row],[Equipo]],Catalogos!$I$4:$J$34,2,FALSE)</f>
        <v>#N/A</v>
      </c>
      <c r="G75" s="3"/>
      <c r="H75" s="3"/>
      <c r="I75" s="3">
        <f t="shared" si="4"/>
        <v>1028</v>
      </c>
      <c r="J75" s="4"/>
      <c r="K75" s="4">
        <f t="shared" si="5"/>
        <v>0</v>
      </c>
    </row>
    <row r="76" spans="1:11">
      <c r="A76" s="2"/>
      <c r="F76" t="e">
        <f>VLOOKUP(TablaPegaso[[#This Row],[Equipo]],Catalogos!$I$4:$J$34,2,FALSE)</f>
        <v>#N/A</v>
      </c>
      <c r="G76" s="3"/>
      <c r="H76" s="3"/>
      <c r="I76" s="3">
        <f t="shared" si="4"/>
        <v>1028</v>
      </c>
      <c r="J76" s="4"/>
      <c r="K76" s="4">
        <f t="shared" si="5"/>
        <v>0</v>
      </c>
    </row>
    <row r="77" spans="1:11">
      <c r="A77" s="2"/>
      <c r="F77" t="e">
        <f>VLOOKUP(TablaPegaso[[#This Row],[Equipo]],Catalogos!$I$4:$J$34,2,FALSE)</f>
        <v>#N/A</v>
      </c>
      <c r="G77" s="3"/>
      <c r="H77" s="3"/>
      <c r="I77" s="3">
        <f t="shared" si="4"/>
        <v>1028</v>
      </c>
      <c r="J77" s="4"/>
      <c r="K77" s="4">
        <f t="shared" si="5"/>
        <v>0</v>
      </c>
    </row>
    <row r="78" spans="1:11">
      <c r="A78" s="2"/>
      <c r="F78" t="e">
        <f>VLOOKUP(TablaPegaso[[#This Row],[Equipo]],Catalogos!$I$4:$J$34,2,FALSE)</f>
        <v>#N/A</v>
      </c>
      <c r="G78" s="3"/>
      <c r="H78" s="3"/>
      <c r="I78" s="3">
        <f t="shared" si="4"/>
        <v>1028</v>
      </c>
      <c r="J78" s="4"/>
      <c r="K78" s="4">
        <f t="shared" si="5"/>
        <v>0</v>
      </c>
    </row>
    <row r="79" spans="1:11">
      <c r="A79" s="2"/>
      <c r="F79" t="e">
        <f>VLOOKUP(TablaPegaso[[#This Row],[Equipo]],Catalogos!$I$4:$J$34,2,FALSE)</f>
        <v>#N/A</v>
      </c>
      <c r="G79" s="3"/>
      <c r="H79" s="3"/>
      <c r="I79" s="3">
        <f t="shared" si="4"/>
        <v>1028</v>
      </c>
      <c r="J79" s="4"/>
      <c r="K79" s="4">
        <f t="shared" si="5"/>
        <v>0</v>
      </c>
    </row>
    <row r="80" spans="1:11">
      <c r="A80" s="2"/>
      <c r="F80" t="e">
        <f>VLOOKUP(TablaPegaso[[#This Row],[Equipo]],Catalogos!$I$4:$J$34,2,FALSE)</f>
        <v>#N/A</v>
      </c>
      <c r="G80" s="3"/>
      <c r="H80" s="3"/>
      <c r="I80" s="3">
        <f t="shared" si="4"/>
        <v>1028</v>
      </c>
      <c r="J80" s="4"/>
      <c r="K80" s="4">
        <f t="shared" si="5"/>
        <v>0</v>
      </c>
    </row>
    <row r="81" spans="1:11">
      <c r="A81" s="2"/>
      <c r="F81" t="e">
        <f>VLOOKUP(TablaPegaso[[#This Row],[Equipo]],Catalogos!$I$4:$J$34,2,FALSE)</f>
        <v>#N/A</v>
      </c>
      <c r="G81" s="3"/>
      <c r="H81" s="3"/>
      <c r="I81" s="3">
        <f t="shared" si="4"/>
        <v>1028</v>
      </c>
      <c r="J81" s="4"/>
      <c r="K81" s="4">
        <f t="shared" si="5"/>
        <v>0</v>
      </c>
    </row>
    <row r="82" spans="1:11">
      <c r="A82" s="2"/>
      <c r="F82" t="e">
        <f>VLOOKUP(TablaPegaso[[#This Row],[Equipo]],Catalogos!$I$4:$J$34,2,FALSE)</f>
        <v>#N/A</v>
      </c>
      <c r="G82" s="3"/>
      <c r="H82" s="3"/>
      <c r="I82" s="3">
        <f t="shared" si="4"/>
        <v>1028</v>
      </c>
      <c r="J82" s="4"/>
      <c r="K82" s="4">
        <f t="shared" si="5"/>
        <v>0</v>
      </c>
    </row>
    <row r="83" spans="1:11">
      <c r="A83" s="2"/>
      <c r="F83" t="e">
        <f>VLOOKUP(TablaPegaso[[#This Row],[Equipo]],Catalogos!$I$4:$J$34,2,FALSE)</f>
        <v>#N/A</v>
      </c>
      <c r="G83" s="3"/>
      <c r="H83" s="3"/>
      <c r="I83" s="3">
        <f t="shared" si="4"/>
        <v>1028</v>
      </c>
      <c r="J83" s="4"/>
      <c r="K83" s="4">
        <f t="shared" si="5"/>
        <v>0</v>
      </c>
    </row>
    <row r="84" spans="1:11">
      <c r="A84" s="2"/>
      <c r="F84" t="e">
        <f>VLOOKUP(TablaPegaso[[#This Row],[Equipo]],Catalogos!$I$4:$J$34,2,FALSE)</f>
        <v>#N/A</v>
      </c>
      <c r="G84" s="3"/>
      <c r="H84" s="3"/>
      <c r="I84" s="3">
        <f t="shared" si="4"/>
        <v>1028</v>
      </c>
      <c r="J84" s="4"/>
      <c r="K84" s="4">
        <f t="shared" si="5"/>
        <v>0</v>
      </c>
    </row>
    <row r="85" spans="1:11">
      <c r="A85" s="2"/>
      <c r="F85" t="e">
        <f>VLOOKUP(TablaPegaso[[#This Row],[Equipo]],Catalogos!$I$4:$J$34,2,FALSE)</f>
        <v>#N/A</v>
      </c>
      <c r="G85" s="3"/>
      <c r="H85" s="3"/>
      <c r="I85" s="3">
        <f t="shared" si="4"/>
        <v>1028</v>
      </c>
      <c r="J85" s="4"/>
      <c r="K85" s="4">
        <f t="shared" si="5"/>
        <v>0</v>
      </c>
    </row>
    <row r="86" spans="1:11">
      <c r="A86" s="2"/>
      <c r="F86" t="e">
        <f>VLOOKUP(TablaPegaso[[#This Row],[Equipo]],Catalogos!$I$4:$J$34,2,FALSE)</f>
        <v>#N/A</v>
      </c>
      <c r="G86" s="3"/>
      <c r="H86" s="3"/>
      <c r="I86" s="3">
        <f t="shared" si="4"/>
        <v>1028</v>
      </c>
      <c r="J86" s="4"/>
      <c r="K86" s="4">
        <f t="shared" si="5"/>
        <v>0</v>
      </c>
    </row>
    <row r="87" spans="1:11">
      <c r="A87" s="2"/>
      <c r="F87" t="e">
        <f>VLOOKUP(TablaPegaso[[#This Row],[Equipo]],Catalogos!$I$4:$J$34,2,FALSE)</f>
        <v>#N/A</v>
      </c>
      <c r="G87" s="3"/>
      <c r="H87" s="3"/>
      <c r="I87" s="3">
        <f t="shared" si="4"/>
        <v>1028</v>
      </c>
      <c r="J87" s="4"/>
      <c r="K87" s="4">
        <f t="shared" si="5"/>
        <v>0</v>
      </c>
    </row>
    <row r="88" spans="1:11">
      <c r="A88" s="2"/>
      <c r="F88" t="e">
        <f>VLOOKUP(TablaPegaso[[#This Row],[Equipo]],Catalogos!$I$4:$J$34,2,FALSE)</f>
        <v>#N/A</v>
      </c>
      <c r="G88" s="3"/>
      <c r="H88" s="3"/>
      <c r="I88" s="3">
        <f t="shared" si="4"/>
        <v>1028</v>
      </c>
      <c r="J88" s="4"/>
      <c r="K88" s="4">
        <f t="shared" si="5"/>
        <v>0</v>
      </c>
    </row>
    <row r="89" spans="1:11">
      <c r="A89" s="2"/>
      <c r="F89" t="e">
        <f>VLOOKUP(TablaPegaso[[#This Row],[Equipo]],Catalogos!$I$4:$J$34,2,FALSE)</f>
        <v>#N/A</v>
      </c>
      <c r="G89" s="3"/>
      <c r="H89" s="3"/>
      <c r="I89" s="3">
        <f t="shared" si="4"/>
        <v>1028</v>
      </c>
      <c r="J89" s="4"/>
      <c r="K89" s="4">
        <f t="shared" si="5"/>
        <v>0</v>
      </c>
    </row>
    <row r="90" spans="1:11">
      <c r="A90" s="2"/>
      <c r="F90" t="e">
        <f>VLOOKUP(TablaPegaso[[#This Row],[Equipo]],Catalogos!$I$4:$J$34,2,FALSE)</f>
        <v>#N/A</v>
      </c>
      <c r="G90" s="3"/>
      <c r="H90" s="3"/>
      <c r="I90" s="3">
        <f t="shared" si="4"/>
        <v>1028</v>
      </c>
      <c r="J90" s="4"/>
      <c r="K90" s="4">
        <f t="shared" si="5"/>
        <v>0</v>
      </c>
    </row>
    <row r="91" spans="1:11">
      <c r="A91" s="2"/>
      <c r="F91" t="e">
        <f>VLOOKUP(TablaPegaso[[#This Row],[Equipo]],Catalogos!$I$4:$J$34,2,FALSE)</f>
        <v>#N/A</v>
      </c>
      <c r="G91" s="3"/>
      <c r="H91" s="3"/>
      <c r="I91" s="3">
        <f t="shared" si="4"/>
        <v>1028</v>
      </c>
      <c r="J91" s="4"/>
      <c r="K91" s="4">
        <f t="shared" si="5"/>
        <v>0</v>
      </c>
    </row>
    <row r="92" spans="1:11">
      <c r="A92" s="2"/>
      <c r="F92" t="e">
        <f>VLOOKUP(TablaPegaso[[#This Row],[Equipo]],Catalogos!$I$4:$J$34,2,FALSE)</f>
        <v>#N/A</v>
      </c>
      <c r="G92" s="3"/>
      <c r="H92" s="3"/>
      <c r="I92" s="3">
        <f t="shared" si="4"/>
        <v>1028</v>
      </c>
      <c r="J92" s="4"/>
      <c r="K92" s="4">
        <f t="shared" si="5"/>
        <v>0</v>
      </c>
    </row>
    <row r="93" spans="1:11">
      <c r="A93" s="2"/>
      <c r="F93" t="e">
        <f>VLOOKUP(TablaPegaso[[#This Row],[Equipo]],Catalogos!$I$4:$J$34,2,FALSE)</f>
        <v>#N/A</v>
      </c>
      <c r="G93" s="3"/>
      <c r="H93" s="3"/>
      <c r="I93" s="3">
        <f t="shared" si="4"/>
        <v>1028</v>
      </c>
      <c r="J93" s="4"/>
      <c r="K93" s="4">
        <f t="shared" si="5"/>
        <v>0</v>
      </c>
    </row>
    <row r="94" spans="1:11">
      <c r="A94" s="2"/>
      <c r="F94" t="e">
        <f>VLOOKUP(TablaPegaso[[#This Row],[Equipo]],Catalogos!$I$4:$J$34,2,FALSE)</f>
        <v>#N/A</v>
      </c>
      <c r="G94" s="3"/>
      <c r="H94" s="3"/>
      <c r="I94" s="3">
        <f t="shared" si="4"/>
        <v>1028</v>
      </c>
      <c r="J94" s="4"/>
      <c r="K94" s="4">
        <f t="shared" si="5"/>
        <v>0</v>
      </c>
    </row>
    <row r="95" spans="1:11">
      <c r="A95" s="2"/>
      <c r="F95" t="e">
        <f>VLOOKUP(TablaPegaso[[#This Row],[Equipo]],Catalogos!$I$4:$J$34,2,FALSE)</f>
        <v>#N/A</v>
      </c>
      <c r="G95" s="3"/>
      <c r="H95" s="3"/>
      <c r="I95" s="3">
        <f t="shared" si="4"/>
        <v>1028</v>
      </c>
      <c r="J95" s="4"/>
      <c r="K95" s="4">
        <f t="shared" si="5"/>
        <v>0</v>
      </c>
    </row>
    <row r="96" spans="1:11">
      <c r="A96" s="2"/>
      <c r="F96" t="e">
        <f>VLOOKUP(TablaPegaso[[#This Row],[Equipo]],Catalogos!$I$4:$J$34,2,FALSE)</f>
        <v>#N/A</v>
      </c>
      <c r="G96" s="3"/>
      <c r="H96" s="3"/>
      <c r="I96" s="3">
        <f t="shared" si="4"/>
        <v>1028</v>
      </c>
      <c r="J96" s="4"/>
      <c r="K96" s="4">
        <f t="shared" si="5"/>
        <v>0</v>
      </c>
    </row>
    <row r="97" spans="1:11">
      <c r="A97" s="2"/>
      <c r="F97" t="e">
        <f>VLOOKUP(TablaPegaso[[#This Row],[Equipo]],Catalogos!$I$4:$J$34,2,FALSE)</f>
        <v>#N/A</v>
      </c>
      <c r="G97" s="3"/>
      <c r="H97" s="3"/>
      <c r="I97" s="3">
        <f t="shared" si="4"/>
        <v>1028</v>
      </c>
      <c r="J97" s="4"/>
      <c r="K97" s="4">
        <f t="shared" si="5"/>
        <v>0</v>
      </c>
    </row>
    <row r="98" spans="1:11">
      <c r="A98" s="2"/>
      <c r="F98" t="e">
        <f>VLOOKUP(TablaPegaso[[#This Row],[Equipo]],Catalogos!$I$4:$J$34,2,FALSE)</f>
        <v>#N/A</v>
      </c>
      <c r="G98" s="3"/>
      <c r="H98" s="3"/>
      <c r="I98" s="3">
        <f t="shared" si="4"/>
        <v>1028</v>
      </c>
      <c r="J98" s="4"/>
      <c r="K98" s="4">
        <f t="shared" si="5"/>
        <v>0</v>
      </c>
    </row>
    <row r="99" spans="1:11">
      <c r="A99" s="2"/>
      <c r="F99" t="e">
        <f>VLOOKUP(TablaPegaso[[#This Row],[Equipo]],Catalogos!$I$4:$J$34,2,FALSE)</f>
        <v>#N/A</v>
      </c>
      <c r="G99" s="3"/>
      <c r="H99" s="3"/>
      <c r="I99" s="3">
        <f t="shared" si="4"/>
        <v>1028</v>
      </c>
      <c r="J99" s="4"/>
      <c r="K99" s="4">
        <f t="shared" si="5"/>
        <v>0</v>
      </c>
    </row>
    <row r="100" spans="1:11">
      <c r="A100" s="2"/>
      <c r="F100" t="e">
        <f>VLOOKUP(TablaPegaso[[#This Row],[Equipo]],Catalogos!$I$4:$J$34,2,FALSE)</f>
        <v>#N/A</v>
      </c>
      <c r="G100" s="3"/>
      <c r="H100" s="3"/>
      <c r="I100" s="3">
        <f t="shared" si="4"/>
        <v>1028</v>
      </c>
      <c r="J100" s="4"/>
      <c r="K100" s="4">
        <f t="shared" si="5"/>
        <v>0</v>
      </c>
    </row>
    <row r="101" spans="1:11">
      <c r="A101" s="2"/>
      <c r="F101" t="e">
        <f>VLOOKUP(TablaPegaso[[#This Row],[Equipo]],Catalogos!$I$4:$J$34,2,FALSE)</f>
        <v>#N/A</v>
      </c>
      <c r="G101" s="3"/>
      <c r="H101" s="3"/>
      <c r="I101" s="3">
        <f t="shared" si="4"/>
        <v>1028</v>
      </c>
      <c r="J101" s="4"/>
      <c r="K101" s="4">
        <f t="shared" si="5"/>
        <v>0</v>
      </c>
    </row>
    <row r="102" spans="1:11">
      <c r="A102" s="2"/>
      <c r="F102" t="e">
        <f>VLOOKUP(TablaPegaso[[#This Row],[Equipo]],Catalogos!$I$4:$J$34,2,FALSE)</f>
        <v>#N/A</v>
      </c>
      <c r="G102" s="3"/>
      <c r="H102" s="3"/>
      <c r="I102" s="3">
        <f t="shared" si="4"/>
        <v>1028</v>
      </c>
      <c r="J102" s="4"/>
      <c r="K102" s="4">
        <f t="shared" si="5"/>
        <v>0</v>
      </c>
    </row>
    <row r="103" spans="1:11">
      <c r="A103" s="2"/>
      <c r="F103" t="e">
        <f>VLOOKUP(TablaPegaso[[#This Row],[Equipo]],Catalogos!$I$4:$J$34,2,FALSE)</f>
        <v>#N/A</v>
      </c>
      <c r="G103" s="3"/>
      <c r="H103" s="3"/>
      <c r="I103" s="3">
        <f t="shared" ref="I103:I134" si="6">IF(ROW()=5,G103-H103,I102+G103-H103)</f>
        <v>1028</v>
      </c>
      <c r="J103" s="4"/>
      <c r="K103" s="4">
        <f t="shared" ref="K103:K134" si="7">IFERROR((G103+H103)*J103,0)</f>
        <v>0</v>
      </c>
    </row>
    <row r="104" spans="1:11">
      <c r="A104" s="2"/>
      <c r="F104" t="e">
        <f>VLOOKUP(TablaPegaso[[#This Row],[Equipo]],Catalogos!$I$4:$J$34,2,FALSE)</f>
        <v>#N/A</v>
      </c>
      <c r="G104" s="3"/>
      <c r="H104" s="3"/>
      <c r="I104" s="3">
        <f t="shared" si="6"/>
        <v>1028</v>
      </c>
      <c r="J104" s="4"/>
      <c r="K104" s="4">
        <f t="shared" si="7"/>
        <v>0</v>
      </c>
    </row>
    <row r="105" spans="1:11">
      <c r="A105" s="2"/>
      <c r="F105" t="e">
        <f>VLOOKUP(TablaPegaso[[#This Row],[Equipo]],Catalogos!$I$4:$J$34,2,FALSE)</f>
        <v>#N/A</v>
      </c>
      <c r="G105" s="3"/>
      <c r="H105" s="3"/>
      <c r="I105" s="3">
        <f t="shared" si="6"/>
        <v>1028</v>
      </c>
      <c r="J105" s="4"/>
      <c r="K105" s="4">
        <f t="shared" si="7"/>
        <v>0</v>
      </c>
    </row>
    <row r="106" spans="1:11">
      <c r="A106" s="2"/>
      <c r="F106" t="e">
        <f>VLOOKUP(TablaPegaso[[#This Row],[Equipo]],Catalogos!$I$4:$J$34,2,FALSE)</f>
        <v>#N/A</v>
      </c>
      <c r="G106" s="3"/>
      <c r="H106" s="3"/>
      <c r="I106" s="3">
        <f t="shared" si="6"/>
        <v>1028</v>
      </c>
      <c r="J106" s="4"/>
      <c r="K106" s="4">
        <f t="shared" si="7"/>
        <v>0</v>
      </c>
    </row>
    <row r="107" spans="1:11">
      <c r="A107" s="2"/>
      <c r="F107" t="e">
        <f>VLOOKUP(TablaPegaso[[#This Row],[Equipo]],Catalogos!$I$4:$J$34,2,FALSE)</f>
        <v>#N/A</v>
      </c>
      <c r="G107" s="3"/>
      <c r="H107" s="3"/>
      <c r="I107" s="3">
        <f t="shared" si="6"/>
        <v>1028</v>
      </c>
      <c r="J107" s="4"/>
      <c r="K107" s="4">
        <f t="shared" si="7"/>
        <v>0</v>
      </c>
    </row>
    <row r="108" spans="1:11">
      <c r="A108" s="2"/>
      <c r="F108" t="e">
        <f>VLOOKUP(TablaPegaso[[#This Row],[Equipo]],Catalogos!$I$4:$J$34,2,FALSE)</f>
        <v>#N/A</v>
      </c>
      <c r="G108" s="3"/>
      <c r="H108" s="3"/>
      <c r="I108" s="3">
        <f t="shared" si="6"/>
        <v>1028</v>
      </c>
      <c r="J108" s="4"/>
      <c r="K108" s="4">
        <f t="shared" si="7"/>
        <v>0</v>
      </c>
    </row>
    <row r="109" spans="1:11">
      <c r="A109" s="2"/>
      <c r="F109" t="e">
        <f>VLOOKUP(TablaPegaso[[#This Row],[Equipo]],Catalogos!$I$4:$J$34,2,FALSE)</f>
        <v>#N/A</v>
      </c>
      <c r="G109" s="3"/>
      <c r="H109" s="3"/>
      <c r="I109" s="3">
        <f t="shared" si="6"/>
        <v>1028</v>
      </c>
      <c r="J109" s="4"/>
      <c r="K109" s="4">
        <f t="shared" si="7"/>
        <v>0</v>
      </c>
    </row>
    <row r="110" spans="1:11">
      <c r="A110" s="2"/>
      <c r="F110" t="e">
        <f>VLOOKUP(TablaPegaso[[#This Row],[Equipo]],Catalogos!$I$4:$J$34,2,FALSE)</f>
        <v>#N/A</v>
      </c>
      <c r="G110" s="3"/>
      <c r="H110" s="3"/>
      <c r="I110" s="3">
        <f t="shared" si="6"/>
        <v>1028</v>
      </c>
      <c r="J110" s="4"/>
      <c r="K110" s="4">
        <f t="shared" si="7"/>
        <v>0</v>
      </c>
    </row>
    <row r="111" spans="1:11">
      <c r="A111" s="2"/>
      <c r="F111" t="e">
        <f>VLOOKUP(TablaPegaso[[#This Row],[Equipo]],Catalogos!$I$4:$J$34,2,FALSE)</f>
        <v>#N/A</v>
      </c>
      <c r="G111" s="3"/>
      <c r="H111" s="3"/>
      <c r="I111" s="3">
        <f t="shared" si="6"/>
        <v>1028</v>
      </c>
      <c r="J111" s="4"/>
      <c r="K111" s="4">
        <f t="shared" si="7"/>
        <v>0</v>
      </c>
    </row>
    <row r="112" spans="1:11">
      <c r="A112" s="2"/>
      <c r="F112" t="e">
        <f>VLOOKUP(TablaPegaso[[#This Row],[Equipo]],Catalogos!$I$4:$J$34,2,FALSE)</f>
        <v>#N/A</v>
      </c>
      <c r="G112" s="3"/>
      <c r="H112" s="3"/>
      <c r="I112" s="3">
        <f t="shared" si="6"/>
        <v>1028</v>
      </c>
      <c r="J112" s="4"/>
      <c r="K112" s="4">
        <f t="shared" si="7"/>
        <v>0</v>
      </c>
    </row>
    <row r="113" spans="1:11">
      <c r="A113" s="2"/>
      <c r="F113" t="e">
        <f>VLOOKUP(TablaPegaso[[#This Row],[Equipo]],Catalogos!$I$4:$J$34,2,FALSE)</f>
        <v>#N/A</v>
      </c>
      <c r="G113" s="3"/>
      <c r="H113" s="3"/>
      <c r="I113" s="3">
        <f t="shared" si="6"/>
        <v>1028</v>
      </c>
      <c r="J113" s="4"/>
      <c r="K113" s="4">
        <f t="shared" si="7"/>
        <v>0</v>
      </c>
    </row>
    <row r="114" spans="1:11">
      <c r="A114" s="2"/>
      <c r="F114" t="e">
        <f>VLOOKUP(TablaPegaso[[#This Row],[Equipo]],Catalogos!$I$4:$J$34,2,FALSE)</f>
        <v>#N/A</v>
      </c>
      <c r="G114" s="3"/>
      <c r="H114" s="3"/>
      <c r="I114" s="3">
        <f t="shared" si="6"/>
        <v>1028</v>
      </c>
      <c r="J114" s="4"/>
      <c r="K114" s="4">
        <f t="shared" si="7"/>
        <v>0</v>
      </c>
    </row>
    <row r="115" spans="1:11">
      <c r="A115" s="2"/>
      <c r="F115" t="e">
        <f>VLOOKUP(TablaPegaso[[#This Row],[Equipo]],Catalogos!$I$4:$J$34,2,FALSE)</f>
        <v>#N/A</v>
      </c>
      <c r="G115" s="3"/>
      <c r="H115" s="3"/>
      <c r="I115" s="3">
        <f t="shared" si="6"/>
        <v>1028</v>
      </c>
      <c r="J115" s="4"/>
      <c r="K115" s="4">
        <f t="shared" si="7"/>
        <v>0</v>
      </c>
    </row>
    <row r="116" spans="1:11">
      <c r="A116" s="2"/>
      <c r="F116" t="e">
        <f>VLOOKUP(TablaPegaso[[#This Row],[Equipo]],Catalogos!$I$4:$J$34,2,FALSE)</f>
        <v>#N/A</v>
      </c>
      <c r="G116" s="3"/>
      <c r="H116" s="3"/>
      <c r="I116" s="3">
        <f t="shared" si="6"/>
        <v>1028</v>
      </c>
      <c r="J116" s="4"/>
      <c r="K116" s="4">
        <f t="shared" si="7"/>
        <v>0</v>
      </c>
    </row>
    <row r="117" spans="1:11">
      <c r="A117" s="2"/>
      <c r="F117" t="e">
        <f>VLOOKUP(TablaPegaso[[#This Row],[Equipo]],Catalogos!$I$4:$J$34,2,FALSE)</f>
        <v>#N/A</v>
      </c>
      <c r="G117" s="3"/>
      <c r="H117" s="3"/>
      <c r="I117" s="3">
        <f t="shared" si="6"/>
        <v>1028</v>
      </c>
      <c r="J117" s="4"/>
      <c r="K117" s="4">
        <f t="shared" si="7"/>
        <v>0</v>
      </c>
    </row>
    <row r="118" spans="1:11">
      <c r="A118" s="2"/>
      <c r="F118" t="e">
        <f>VLOOKUP(TablaPegaso[[#This Row],[Equipo]],Catalogos!$I$4:$J$34,2,FALSE)</f>
        <v>#N/A</v>
      </c>
      <c r="G118" s="3"/>
      <c r="H118" s="3"/>
      <c r="I118" s="3">
        <f t="shared" si="6"/>
        <v>1028</v>
      </c>
      <c r="J118" s="4"/>
      <c r="K118" s="4">
        <f t="shared" si="7"/>
        <v>0</v>
      </c>
    </row>
    <row r="119" spans="1:11">
      <c r="A119" s="2"/>
      <c r="F119" t="e">
        <f>VLOOKUP(TablaPegaso[[#This Row],[Equipo]],Catalogos!$I$4:$J$34,2,FALSE)</f>
        <v>#N/A</v>
      </c>
      <c r="G119" s="3"/>
      <c r="H119" s="3"/>
      <c r="I119" s="3">
        <f t="shared" si="6"/>
        <v>1028</v>
      </c>
      <c r="J119" s="4"/>
      <c r="K119" s="4">
        <f t="shared" si="7"/>
        <v>0</v>
      </c>
    </row>
    <row r="120" spans="1:11">
      <c r="A120" s="2"/>
      <c r="F120" t="e">
        <f>VLOOKUP(TablaPegaso[[#This Row],[Equipo]],Catalogos!$I$4:$J$34,2,FALSE)</f>
        <v>#N/A</v>
      </c>
      <c r="G120" s="3"/>
      <c r="H120" s="3"/>
      <c r="I120" s="3">
        <f t="shared" si="6"/>
        <v>1028</v>
      </c>
      <c r="J120" s="4"/>
      <c r="K120" s="4">
        <f t="shared" si="7"/>
        <v>0</v>
      </c>
    </row>
    <row r="121" spans="1:11">
      <c r="A121" s="2"/>
      <c r="F121" t="e">
        <f>VLOOKUP(TablaPegaso[[#This Row],[Equipo]],Catalogos!$I$4:$J$34,2,FALSE)</f>
        <v>#N/A</v>
      </c>
      <c r="G121" s="3"/>
      <c r="H121" s="3"/>
      <c r="I121" s="3">
        <f t="shared" si="6"/>
        <v>1028</v>
      </c>
      <c r="J121" s="4"/>
      <c r="K121" s="4">
        <f t="shared" si="7"/>
        <v>0</v>
      </c>
    </row>
    <row r="122" spans="1:11">
      <c r="A122" s="2"/>
      <c r="F122" t="e">
        <f>VLOOKUP(TablaPegaso[[#This Row],[Equipo]],Catalogos!$I$4:$J$34,2,FALSE)</f>
        <v>#N/A</v>
      </c>
      <c r="G122" s="3"/>
      <c r="H122" s="3"/>
      <c r="I122" s="3">
        <f t="shared" si="6"/>
        <v>1028</v>
      </c>
      <c r="J122" s="4"/>
      <c r="K122" s="4">
        <f t="shared" si="7"/>
        <v>0</v>
      </c>
    </row>
    <row r="123" spans="1:11">
      <c r="A123" s="2"/>
      <c r="F123" t="e">
        <f>VLOOKUP(TablaPegaso[[#This Row],[Equipo]],Catalogos!$I$4:$J$34,2,FALSE)</f>
        <v>#N/A</v>
      </c>
      <c r="G123" s="3"/>
      <c r="H123" s="3"/>
      <c r="I123" s="3">
        <f t="shared" si="6"/>
        <v>1028</v>
      </c>
      <c r="J123" s="4"/>
      <c r="K123" s="4">
        <f t="shared" si="7"/>
        <v>0</v>
      </c>
    </row>
    <row r="124" spans="1:11">
      <c r="A124" s="2"/>
      <c r="F124" t="e">
        <f>VLOOKUP(TablaPegaso[[#This Row],[Equipo]],Catalogos!$I$4:$J$34,2,FALSE)</f>
        <v>#N/A</v>
      </c>
      <c r="G124" s="3"/>
      <c r="H124" s="3"/>
      <c r="I124" s="3">
        <f t="shared" si="6"/>
        <v>1028</v>
      </c>
      <c r="J124" s="4"/>
      <c r="K124" s="4">
        <f t="shared" si="7"/>
        <v>0</v>
      </c>
    </row>
    <row r="125" spans="1:11">
      <c r="A125" s="2"/>
      <c r="F125" t="e">
        <f>VLOOKUP(TablaPegaso[[#This Row],[Equipo]],Catalogos!$I$4:$J$34,2,FALSE)</f>
        <v>#N/A</v>
      </c>
      <c r="G125" s="3"/>
      <c r="H125" s="3"/>
      <c r="I125" s="3">
        <f t="shared" si="6"/>
        <v>1028</v>
      </c>
      <c r="J125" s="4"/>
      <c r="K125" s="4">
        <f t="shared" si="7"/>
        <v>0</v>
      </c>
    </row>
    <row r="126" spans="1:11">
      <c r="A126" s="2"/>
      <c r="F126" t="e">
        <f>VLOOKUP(TablaPegaso[[#This Row],[Equipo]],Catalogos!$I$4:$J$34,2,FALSE)</f>
        <v>#N/A</v>
      </c>
      <c r="G126" s="3"/>
      <c r="H126" s="3"/>
      <c r="I126" s="3">
        <f t="shared" si="6"/>
        <v>1028</v>
      </c>
      <c r="J126" s="4"/>
      <c r="K126" s="4">
        <f t="shared" si="7"/>
        <v>0</v>
      </c>
    </row>
    <row r="127" spans="1:11">
      <c r="A127" s="2"/>
      <c r="F127" t="e">
        <f>VLOOKUP(TablaPegaso[[#This Row],[Equipo]],Catalogos!$I$4:$J$34,2,FALSE)</f>
        <v>#N/A</v>
      </c>
      <c r="G127" s="3"/>
      <c r="H127" s="3"/>
      <c r="I127" s="3">
        <f t="shared" si="6"/>
        <v>1028</v>
      </c>
      <c r="J127" s="4"/>
      <c r="K127" s="4">
        <f t="shared" si="7"/>
        <v>0</v>
      </c>
    </row>
    <row r="128" spans="1:11">
      <c r="A128" s="2"/>
      <c r="F128" t="e">
        <f>VLOOKUP(TablaPegaso[[#This Row],[Equipo]],Catalogos!$I$4:$J$34,2,FALSE)</f>
        <v>#N/A</v>
      </c>
      <c r="G128" s="3"/>
      <c r="H128" s="3"/>
      <c r="I128" s="3">
        <f t="shared" si="6"/>
        <v>1028</v>
      </c>
      <c r="J128" s="4"/>
      <c r="K128" s="4">
        <f t="shared" si="7"/>
        <v>0</v>
      </c>
    </row>
    <row r="129" spans="1:11">
      <c r="A129" s="2"/>
      <c r="F129" t="e">
        <f>VLOOKUP(TablaPegaso[[#This Row],[Equipo]],Catalogos!$I$4:$J$34,2,FALSE)</f>
        <v>#N/A</v>
      </c>
      <c r="G129" s="3"/>
      <c r="H129" s="3"/>
      <c r="I129" s="3">
        <f t="shared" si="6"/>
        <v>1028</v>
      </c>
      <c r="J129" s="4"/>
      <c r="K129" s="4">
        <f t="shared" si="7"/>
        <v>0</v>
      </c>
    </row>
    <row r="130" spans="1:11">
      <c r="A130" s="2"/>
      <c r="F130" t="e">
        <f>VLOOKUP(TablaPegaso[[#This Row],[Equipo]],Catalogos!$I$4:$J$34,2,FALSE)</f>
        <v>#N/A</v>
      </c>
      <c r="G130" s="3"/>
      <c r="H130" s="3"/>
      <c r="I130" s="3">
        <f t="shared" si="6"/>
        <v>1028</v>
      </c>
      <c r="J130" s="4"/>
      <c r="K130" s="4">
        <f t="shared" si="7"/>
        <v>0</v>
      </c>
    </row>
    <row r="131" spans="1:11">
      <c r="A131" s="2"/>
      <c r="F131" t="e">
        <f>VLOOKUP(TablaPegaso[[#This Row],[Equipo]],Catalogos!$I$4:$J$34,2,FALSE)</f>
        <v>#N/A</v>
      </c>
      <c r="G131" s="3"/>
      <c r="H131" s="3"/>
      <c r="I131" s="3">
        <f t="shared" si="6"/>
        <v>1028</v>
      </c>
      <c r="J131" s="4"/>
      <c r="K131" s="4">
        <f t="shared" si="7"/>
        <v>0</v>
      </c>
    </row>
    <row r="132" spans="1:11">
      <c r="A132" s="2"/>
      <c r="F132" t="e">
        <f>VLOOKUP(TablaPegaso[[#This Row],[Equipo]],Catalogos!$I$4:$J$34,2,FALSE)</f>
        <v>#N/A</v>
      </c>
      <c r="G132" s="3"/>
      <c r="H132" s="3"/>
      <c r="I132" s="3">
        <f t="shared" si="6"/>
        <v>1028</v>
      </c>
      <c r="J132" s="4"/>
      <c r="K132" s="4">
        <f t="shared" si="7"/>
        <v>0</v>
      </c>
    </row>
    <row r="133" spans="1:11">
      <c r="A133" s="2"/>
      <c r="F133" t="e">
        <f>VLOOKUP(TablaPegaso[[#This Row],[Equipo]],Catalogos!$I$4:$J$34,2,FALSE)</f>
        <v>#N/A</v>
      </c>
      <c r="G133" s="3"/>
      <c r="H133" s="3"/>
      <c r="I133" s="3">
        <f t="shared" si="6"/>
        <v>1028</v>
      </c>
      <c r="J133" s="4"/>
      <c r="K133" s="4">
        <f t="shared" si="7"/>
        <v>0</v>
      </c>
    </row>
    <row r="134" spans="1:11">
      <c r="A134" s="2"/>
      <c r="F134" t="e">
        <f>VLOOKUP(TablaPegaso[[#This Row],[Equipo]],Catalogos!$I$4:$J$34,2,FALSE)</f>
        <v>#N/A</v>
      </c>
      <c r="G134" s="3"/>
      <c r="H134" s="3"/>
      <c r="I134" s="3">
        <f t="shared" si="6"/>
        <v>1028</v>
      </c>
      <c r="J134" s="4"/>
      <c r="K134" s="4">
        <f t="shared" si="7"/>
        <v>0</v>
      </c>
    </row>
    <row r="135" spans="1:11">
      <c r="A135" s="2"/>
      <c r="F135" t="e">
        <f>VLOOKUP(TablaPegaso[[#This Row],[Equipo]],Catalogos!$I$4:$J$34,2,FALSE)</f>
        <v>#N/A</v>
      </c>
      <c r="G135" s="3"/>
      <c r="H135" s="3"/>
      <c r="I135" s="3">
        <f t="shared" ref="I135:I166" si="8">IF(ROW()=5,G135-H135,I134+G135-H135)</f>
        <v>1028</v>
      </c>
      <c r="J135" s="4"/>
      <c r="K135" s="4">
        <f t="shared" ref="K135:K166" si="9">IFERROR((G135+H135)*J135,0)</f>
        <v>0</v>
      </c>
    </row>
    <row r="136" spans="1:11">
      <c r="A136" s="2"/>
      <c r="F136" t="e">
        <f>VLOOKUP(TablaPegaso[[#This Row],[Equipo]],Catalogos!$I$4:$J$34,2,FALSE)</f>
        <v>#N/A</v>
      </c>
      <c r="G136" s="3"/>
      <c r="H136" s="3"/>
      <c r="I136" s="3">
        <f t="shared" si="8"/>
        <v>1028</v>
      </c>
      <c r="J136" s="4"/>
      <c r="K136" s="4">
        <f t="shared" si="9"/>
        <v>0</v>
      </c>
    </row>
    <row r="137" spans="1:11">
      <c r="A137" s="2"/>
      <c r="F137" t="e">
        <f>VLOOKUP(TablaPegaso[[#This Row],[Equipo]],Catalogos!$I$4:$J$34,2,FALSE)</f>
        <v>#N/A</v>
      </c>
      <c r="G137" s="3"/>
      <c r="H137" s="3"/>
      <c r="I137" s="3">
        <f t="shared" si="8"/>
        <v>1028</v>
      </c>
      <c r="J137" s="4"/>
      <c r="K137" s="4">
        <f t="shared" si="9"/>
        <v>0</v>
      </c>
    </row>
    <row r="138" spans="1:11">
      <c r="A138" s="2"/>
      <c r="F138" t="e">
        <f>VLOOKUP(TablaPegaso[[#This Row],[Equipo]],Catalogos!$I$4:$J$34,2,FALSE)</f>
        <v>#N/A</v>
      </c>
      <c r="G138" s="3"/>
      <c r="H138" s="3"/>
      <c r="I138" s="3">
        <f t="shared" si="8"/>
        <v>1028</v>
      </c>
      <c r="J138" s="4"/>
      <c r="K138" s="4">
        <f t="shared" si="9"/>
        <v>0</v>
      </c>
    </row>
    <row r="139" spans="1:11">
      <c r="A139" s="2"/>
      <c r="F139" t="e">
        <f>VLOOKUP(TablaPegaso[[#This Row],[Equipo]],Catalogos!$I$4:$J$34,2,FALSE)</f>
        <v>#N/A</v>
      </c>
      <c r="G139" s="3"/>
      <c r="H139" s="3"/>
      <c r="I139" s="3">
        <f t="shared" si="8"/>
        <v>1028</v>
      </c>
      <c r="J139" s="4"/>
      <c r="K139" s="4">
        <f t="shared" si="9"/>
        <v>0</v>
      </c>
    </row>
    <row r="140" spans="1:11">
      <c r="A140" s="2"/>
      <c r="F140" t="e">
        <f>VLOOKUP(TablaPegaso[[#This Row],[Equipo]],Catalogos!$I$4:$J$34,2,FALSE)</f>
        <v>#N/A</v>
      </c>
      <c r="G140" s="3"/>
      <c r="H140" s="3"/>
      <c r="I140" s="3">
        <f t="shared" si="8"/>
        <v>1028</v>
      </c>
      <c r="J140" s="4"/>
      <c r="K140" s="4">
        <f t="shared" si="9"/>
        <v>0</v>
      </c>
    </row>
    <row r="141" spans="1:11">
      <c r="A141" s="2"/>
      <c r="F141" t="e">
        <f>VLOOKUP(TablaPegaso[[#This Row],[Equipo]],Catalogos!$I$4:$J$34,2,FALSE)</f>
        <v>#N/A</v>
      </c>
      <c r="G141" s="3"/>
      <c r="H141" s="3"/>
      <c r="I141" s="3">
        <f t="shared" si="8"/>
        <v>1028</v>
      </c>
      <c r="J141" s="4"/>
      <c r="K141" s="4">
        <f t="shared" si="9"/>
        <v>0</v>
      </c>
    </row>
    <row r="142" spans="1:11">
      <c r="A142" s="2"/>
      <c r="F142" t="e">
        <f>VLOOKUP(TablaPegaso[[#This Row],[Equipo]],Catalogos!$I$4:$J$34,2,FALSE)</f>
        <v>#N/A</v>
      </c>
      <c r="G142" s="3"/>
      <c r="H142" s="3"/>
      <c r="I142" s="3">
        <f t="shared" si="8"/>
        <v>1028</v>
      </c>
      <c r="J142" s="4"/>
      <c r="K142" s="4">
        <f t="shared" si="9"/>
        <v>0</v>
      </c>
    </row>
    <row r="143" spans="1:11">
      <c r="A143" s="2"/>
      <c r="F143" t="e">
        <f>VLOOKUP(TablaPegaso[[#This Row],[Equipo]],Catalogos!$I$4:$J$34,2,FALSE)</f>
        <v>#N/A</v>
      </c>
      <c r="G143" s="3"/>
      <c r="H143" s="3"/>
      <c r="I143" s="3">
        <f t="shared" si="8"/>
        <v>1028</v>
      </c>
      <c r="J143" s="4"/>
      <c r="K143" s="4">
        <f t="shared" si="9"/>
        <v>0</v>
      </c>
    </row>
    <row r="144" spans="1:11">
      <c r="A144" s="2"/>
      <c r="F144" t="e">
        <f>VLOOKUP(TablaPegaso[[#This Row],[Equipo]],Catalogos!$I$4:$J$34,2,FALSE)</f>
        <v>#N/A</v>
      </c>
      <c r="G144" s="3"/>
      <c r="H144" s="3"/>
      <c r="I144" s="3">
        <f t="shared" si="8"/>
        <v>1028</v>
      </c>
      <c r="J144" s="4"/>
      <c r="K144" s="4">
        <f t="shared" si="9"/>
        <v>0</v>
      </c>
    </row>
    <row r="145" spans="1:11">
      <c r="A145" s="2"/>
      <c r="F145" t="e">
        <f>VLOOKUP(TablaPegaso[[#This Row],[Equipo]],Catalogos!$I$4:$J$34,2,FALSE)</f>
        <v>#N/A</v>
      </c>
      <c r="G145" s="3"/>
      <c r="H145" s="3"/>
      <c r="I145" s="3">
        <f t="shared" si="8"/>
        <v>1028</v>
      </c>
      <c r="J145" s="4"/>
      <c r="K145" s="4">
        <f t="shared" si="9"/>
        <v>0</v>
      </c>
    </row>
    <row r="146" spans="1:11">
      <c r="A146" s="2"/>
      <c r="F146" t="e">
        <f>VLOOKUP(TablaPegaso[[#This Row],[Equipo]],Catalogos!$I$4:$J$34,2,FALSE)</f>
        <v>#N/A</v>
      </c>
      <c r="G146" s="3"/>
      <c r="H146" s="3"/>
      <c r="I146" s="3">
        <f t="shared" si="8"/>
        <v>1028</v>
      </c>
      <c r="J146" s="4"/>
      <c r="K146" s="4">
        <f t="shared" si="9"/>
        <v>0</v>
      </c>
    </row>
    <row r="147" spans="1:11">
      <c r="A147" s="2"/>
      <c r="F147" t="e">
        <f>VLOOKUP(TablaPegaso[[#This Row],[Equipo]],Catalogos!$I$4:$J$34,2,FALSE)</f>
        <v>#N/A</v>
      </c>
      <c r="G147" s="3"/>
      <c r="H147" s="3"/>
      <c r="I147" s="3">
        <f t="shared" si="8"/>
        <v>1028</v>
      </c>
      <c r="J147" s="4"/>
      <c r="K147" s="4">
        <f t="shared" si="9"/>
        <v>0</v>
      </c>
    </row>
    <row r="148" spans="1:11">
      <c r="A148" s="2"/>
      <c r="F148" t="e">
        <f>VLOOKUP(TablaPegaso[[#This Row],[Equipo]],Catalogos!$I$4:$J$34,2,FALSE)</f>
        <v>#N/A</v>
      </c>
      <c r="G148" s="3"/>
      <c r="H148" s="3"/>
      <c r="I148" s="3">
        <f t="shared" si="8"/>
        <v>1028</v>
      </c>
      <c r="J148" s="4"/>
      <c r="K148" s="4">
        <f t="shared" si="9"/>
        <v>0</v>
      </c>
    </row>
    <row r="149" spans="1:11">
      <c r="A149" s="2"/>
      <c r="F149" t="e">
        <f>VLOOKUP(TablaPegaso[[#This Row],[Equipo]],Catalogos!$I$4:$J$34,2,FALSE)</f>
        <v>#N/A</v>
      </c>
      <c r="G149" s="3"/>
      <c r="H149" s="3"/>
      <c r="I149" s="3">
        <f t="shared" si="8"/>
        <v>1028</v>
      </c>
      <c r="J149" s="4"/>
      <c r="K149" s="4">
        <f t="shared" si="9"/>
        <v>0</v>
      </c>
    </row>
    <row r="150" spans="1:11">
      <c r="A150" s="2"/>
      <c r="F150" t="e">
        <f>VLOOKUP(TablaPegaso[[#This Row],[Equipo]],Catalogos!$I$4:$J$34,2,FALSE)</f>
        <v>#N/A</v>
      </c>
      <c r="G150" s="3"/>
      <c r="H150" s="3"/>
      <c r="I150" s="3">
        <f t="shared" si="8"/>
        <v>1028</v>
      </c>
      <c r="J150" s="4"/>
      <c r="K150" s="4">
        <f t="shared" si="9"/>
        <v>0</v>
      </c>
    </row>
    <row r="151" spans="1:11">
      <c r="A151" s="2"/>
      <c r="F151" t="e">
        <f>VLOOKUP(TablaPegaso[[#This Row],[Equipo]],Catalogos!$I$4:$J$34,2,FALSE)</f>
        <v>#N/A</v>
      </c>
      <c r="G151" s="3"/>
      <c r="H151" s="3"/>
      <c r="I151" s="3">
        <f t="shared" si="8"/>
        <v>1028</v>
      </c>
      <c r="J151" s="4"/>
      <c r="K151" s="4">
        <f t="shared" si="9"/>
        <v>0</v>
      </c>
    </row>
    <row r="152" spans="1:11">
      <c r="A152" s="2"/>
      <c r="F152" t="e">
        <f>VLOOKUP(TablaPegaso[[#This Row],[Equipo]],Catalogos!$I$4:$J$34,2,FALSE)</f>
        <v>#N/A</v>
      </c>
      <c r="G152" s="3"/>
      <c r="H152" s="3"/>
      <c r="I152" s="3">
        <f t="shared" si="8"/>
        <v>1028</v>
      </c>
      <c r="J152" s="4"/>
      <c r="K152" s="4">
        <f t="shared" si="9"/>
        <v>0</v>
      </c>
    </row>
    <row r="153" spans="1:11">
      <c r="A153" s="2"/>
      <c r="F153" t="e">
        <f>VLOOKUP(TablaPegaso[[#This Row],[Equipo]],Catalogos!$I$4:$J$34,2,FALSE)</f>
        <v>#N/A</v>
      </c>
      <c r="G153" s="3"/>
      <c r="H153" s="3"/>
      <c r="I153" s="3">
        <f t="shared" si="8"/>
        <v>1028</v>
      </c>
      <c r="J153" s="4"/>
      <c r="K153" s="4">
        <f t="shared" si="9"/>
        <v>0</v>
      </c>
    </row>
    <row r="154" spans="1:11">
      <c r="A154" s="2"/>
      <c r="F154" t="e">
        <f>VLOOKUP(TablaPegaso[[#This Row],[Equipo]],Catalogos!$I$4:$J$34,2,FALSE)</f>
        <v>#N/A</v>
      </c>
      <c r="G154" s="3"/>
      <c r="H154" s="3"/>
      <c r="I154" s="3">
        <f t="shared" si="8"/>
        <v>1028</v>
      </c>
      <c r="J154" s="4"/>
      <c r="K154" s="4">
        <f t="shared" si="9"/>
        <v>0</v>
      </c>
    </row>
    <row r="155" spans="1:11">
      <c r="A155" s="2"/>
      <c r="F155" t="e">
        <f>VLOOKUP(TablaPegaso[[#This Row],[Equipo]],Catalogos!$I$4:$J$34,2,FALSE)</f>
        <v>#N/A</v>
      </c>
      <c r="G155" s="3"/>
      <c r="H155" s="3"/>
      <c r="I155" s="3">
        <f t="shared" si="8"/>
        <v>1028</v>
      </c>
      <c r="J155" s="4"/>
      <c r="K155" s="4">
        <f t="shared" si="9"/>
        <v>0</v>
      </c>
    </row>
    <row r="156" spans="1:11">
      <c r="A156" s="2"/>
      <c r="F156" t="e">
        <f>VLOOKUP(TablaPegaso[[#This Row],[Equipo]],Catalogos!$I$4:$J$34,2,FALSE)</f>
        <v>#N/A</v>
      </c>
      <c r="G156" s="3"/>
      <c r="H156" s="3"/>
      <c r="I156" s="3">
        <f t="shared" si="8"/>
        <v>1028</v>
      </c>
      <c r="J156" s="4"/>
      <c r="K156" s="4">
        <f t="shared" si="9"/>
        <v>0</v>
      </c>
    </row>
    <row r="157" spans="1:11">
      <c r="A157" s="2"/>
      <c r="F157" t="e">
        <f>VLOOKUP(TablaPegaso[[#This Row],[Equipo]],Catalogos!$I$4:$J$34,2,FALSE)</f>
        <v>#N/A</v>
      </c>
      <c r="G157" s="3"/>
      <c r="H157" s="3"/>
      <c r="I157" s="3">
        <f t="shared" si="8"/>
        <v>1028</v>
      </c>
      <c r="J157" s="4"/>
      <c r="K157" s="4">
        <f t="shared" si="9"/>
        <v>0</v>
      </c>
    </row>
    <row r="158" spans="1:11">
      <c r="A158" s="2"/>
      <c r="F158" t="e">
        <f>VLOOKUP(TablaPegaso[[#This Row],[Equipo]],Catalogos!$I$4:$J$34,2,FALSE)</f>
        <v>#N/A</v>
      </c>
      <c r="G158" s="3"/>
      <c r="H158" s="3"/>
      <c r="I158" s="3">
        <f t="shared" si="8"/>
        <v>1028</v>
      </c>
      <c r="J158" s="4"/>
      <c r="K158" s="4">
        <f t="shared" si="9"/>
        <v>0</v>
      </c>
    </row>
    <row r="159" spans="1:11">
      <c r="A159" s="2"/>
      <c r="F159" t="e">
        <f>VLOOKUP(TablaPegaso[[#This Row],[Equipo]],Catalogos!$I$4:$J$34,2,FALSE)</f>
        <v>#N/A</v>
      </c>
      <c r="G159" s="3"/>
      <c r="H159" s="3"/>
      <c r="I159" s="3">
        <f t="shared" si="8"/>
        <v>1028</v>
      </c>
      <c r="J159" s="4"/>
      <c r="K159" s="4">
        <f t="shared" si="9"/>
        <v>0</v>
      </c>
    </row>
    <row r="160" spans="1:11">
      <c r="A160" s="2"/>
      <c r="F160" t="e">
        <f>VLOOKUP(TablaPegaso[[#This Row],[Equipo]],Catalogos!$I$4:$J$34,2,FALSE)</f>
        <v>#N/A</v>
      </c>
      <c r="G160" s="3"/>
      <c r="H160" s="3"/>
      <c r="I160" s="3">
        <f t="shared" si="8"/>
        <v>1028</v>
      </c>
      <c r="J160" s="4"/>
      <c r="K160" s="4">
        <f t="shared" si="9"/>
        <v>0</v>
      </c>
    </row>
    <row r="161" spans="1:11">
      <c r="A161" s="2"/>
      <c r="F161" t="e">
        <f>VLOOKUP(TablaPegaso[[#This Row],[Equipo]],Catalogos!$I$4:$J$34,2,FALSE)</f>
        <v>#N/A</v>
      </c>
      <c r="G161" s="3"/>
      <c r="H161" s="3"/>
      <c r="I161" s="3">
        <f t="shared" si="8"/>
        <v>1028</v>
      </c>
      <c r="J161" s="4"/>
      <c r="K161" s="4">
        <f t="shared" si="9"/>
        <v>0</v>
      </c>
    </row>
    <row r="162" spans="1:11">
      <c r="A162" s="2"/>
      <c r="F162" t="e">
        <f>VLOOKUP(TablaPegaso[[#This Row],[Equipo]],Catalogos!$I$4:$J$34,2,FALSE)</f>
        <v>#N/A</v>
      </c>
      <c r="G162" s="3"/>
      <c r="H162" s="3"/>
      <c r="I162" s="3">
        <f t="shared" si="8"/>
        <v>1028</v>
      </c>
      <c r="J162" s="4"/>
      <c r="K162" s="4">
        <f t="shared" si="9"/>
        <v>0</v>
      </c>
    </row>
    <row r="163" spans="1:11">
      <c r="A163" s="2"/>
      <c r="F163" t="e">
        <f>VLOOKUP(TablaPegaso[[#This Row],[Equipo]],Catalogos!$I$4:$J$34,2,FALSE)</f>
        <v>#N/A</v>
      </c>
      <c r="G163" s="3"/>
      <c r="H163" s="3"/>
      <c r="I163" s="3">
        <f t="shared" si="8"/>
        <v>1028</v>
      </c>
      <c r="J163" s="4"/>
      <c r="K163" s="4">
        <f t="shared" si="9"/>
        <v>0</v>
      </c>
    </row>
    <row r="164" spans="1:11">
      <c r="A164" s="2"/>
      <c r="F164" t="e">
        <f>VLOOKUP(TablaPegaso[[#This Row],[Equipo]],Catalogos!$I$4:$J$34,2,FALSE)</f>
        <v>#N/A</v>
      </c>
      <c r="G164" s="3"/>
      <c r="H164" s="3"/>
      <c r="I164" s="3">
        <f t="shared" si="8"/>
        <v>1028</v>
      </c>
      <c r="J164" s="4"/>
      <c r="K164" s="4">
        <f t="shared" si="9"/>
        <v>0</v>
      </c>
    </row>
    <row r="165" spans="1:11">
      <c r="A165" s="2"/>
      <c r="F165" t="e">
        <f>VLOOKUP(TablaPegaso[[#This Row],[Equipo]],Catalogos!$I$4:$J$34,2,FALSE)</f>
        <v>#N/A</v>
      </c>
      <c r="G165" s="3"/>
      <c r="H165" s="3"/>
      <c r="I165" s="3">
        <f t="shared" si="8"/>
        <v>1028</v>
      </c>
      <c r="J165" s="4"/>
      <c r="K165" s="4">
        <f t="shared" si="9"/>
        <v>0</v>
      </c>
    </row>
    <row r="166" spans="1:11">
      <c r="A166" s="2"/>
      <c r="F166" t="e">
        <f>VLOOKUP(TablaPegaso[[#This Row],[Equipo]],Catalogos!$I$4:$J$34,2,FALSE)</f>
        <v>#N/A</v>
      </c>
      <c r="G166" s="3"/>
      <c r="H166" s="3"/>
      <c r="I166" s="3">
        <f t="shared" si="8"/>
        <v>1028</v>
      </c>
      <c r="J166" s="4"/>
      <c r="K166" s="4">
        <f t="shared" si="9"/>
        <v>0</v>
      </c>
    </row>
    <row r="167" spans="1:11">
      <c r="A167" s="2"/>
      <c r="F167" t="e">
        <f>VLOOKUP(TablaPegaso[[#This Row],[Equipo]],Catalogos!$I$4:$J$34,2,FALSE)</f>
        <v>#N/A</v>
      </c>
      <c r="G167" s="3"/>
      <c r="H167" s="3"/>
      <c r="I167" s="3">
        <f t="shared" ref="I167:I198" si="10">IF(ROW()=5,G167-H167,I166+G167-H167)</f>
        <v>1028</v>
      </c>
      <c r="J167" s="4"/>
      <c r="K167" s="4">
        <f t="shared" ref="K167:K198" si="11">IFERROR((G167+H167)*J167,0)</f>
        <v>0</v>
      </c>
    </row>
    <row r="168" spans="1:11">
      <c r="A168" s="2"/>
      <c r="F168" t="e">
        <f>VLOOKUP(TablaPegaso[[#This Row],[Equipo]],Catalogos!$I$4:$J$34,2,FALSE)</f>
        <v>#N/A</v>
      </c>
      <c r="G168" s="3"/>
      <c r="H168" s="3"/>
      <c r="I168" s="3">
        <f t="shared" si="10"/>
        <v>1028</v>
      </c>
      <c r="J168" s="4"/>
      <c r="K168" s="4">
        <f t="shared" si="11"/>
        <v>0</v>
      </c>
    </row>
    <row r="169" spans="1:11">
      <c r="A169" s="2"/>
      <c r="F169" t="e">
        <f>VLOOKUP(TablaPegaso[[#This Row],[Equipo]],Catalogos!$I$4:$J$34,2,FALSE)</f>
        <v>#N/A</v>
      </c>
      <c r="G169" s="3"/>
      <c r="H169" s="3"/>
      <c r="I169" s="3">
        <f t="shared" si="10"/>
        <v>1028</v>
      </c>
      <c r="J169" s="4"/>
      <c r="K169" s="4">
        <f t="shared" si="11"/>
        <v>0</v>
      </c>
    </row>
    <row r="170" spans="1:11">
      <c r="A170" s="2"/>
      <c r="F170" t="e">
        <f>VLOOKUP(TablaPegaso[[#This Row],[Equipo]],Catalogos!$I$4:$J$34,2,FALSE)</f>
        <v>#N/A</v>
      </c>
      <c r="G170" s="3"/>
      <c r="H170" s="3"/>
      <c r="I170" s="3">
        <f t="shared" si="10"/>
        <v>1028</v>
      </c>
      <c r="J170" s="4"/>
      <c r="K170" s="4">
        <f t="shared" si="11"/>
        <v>0</v>
      </c>
    </row>
    <row r="171" spans="1:11">
      <c r="A171" s="2"/>
      <c r="F171" t="e">
        <f>VLOOKUP(TablaPegaso[[#This Row],[Equipo]],Catalogos!$I$4:$J$34,2,FALSE)</f>
        <v>#N/A</v>
      </c>
      <c r="G171" s="3"/>
      <c r="H171" s="3"/>
      <c r="I171" s="3">
        <f t="shared" si="10"/>
        <v>1028</v>
      </c>
      <c r="J171" s="4"/>
      <c r="K171" s="4">
        <f t="shared" si="11"/>
        <v>0</v>
      </c>
    </row>
    <row r="172" spans="1:11">
      <c r="A172" s="2"/>
      <c r="F172" t="e">
        <f>VLOOKUP(TablaPegaso[[#This Row],[Equipo]],Catalogos!$I$4:$J$34,2,FALSE)</f>
        <v>#N/A</v>
      </c>
      <c r="G172" s="3"/>
      <c r="H172" s="3"/>
      <c r="I172" s="3">
        <f t="shared" si="10"/>
        <v>1028</v>
      </c>
      <c r="J172" s="4"/>
      <c r="K172" s="4">
        <f t="shared" si="11"/>
        <v>0</v>
      </c>
    </row>
    <row r="173" spans="1:11">
      <c r="A173" s="2"/>
      <c r="F173" t="e">
        <f>VLOOKUP(TablaPegaso[[#This Row],[Equipo]],Catalogos!$I$4:$J$34,2,FALSE)</f>
        <v>#N/A</v>
      </c>
      <c r="G173" s="3"/>
      <c r="H173" s="3"/>
      <c r="I173" s="3">
        <f t="shared" si="10"/>
        <v>1028</v>
      </c>
      <c r="J173" s="4"/>
      <c r="K173" s="4">
        <f t="shared" si="11"/>
        <v>0</v>
      </c>
    </row>
    <row r="174" spans="1:11">
      <c r="A174" s="2"/>
      <c r="F174" t="e">
        <f>VLOOKUP(TablaPegaso[[#This Row],[Equipo]],Catalogos!$I$4:$J$34,2,FALSE)</f>
        <v>#N/A</v>
      </c>
      <c r="G174" s="3"/>
      <c r="H174" s="3"/>
      <c r="I174" s="3">
        <f t="shared" si="10"/>
        <v>1028</v>
      </c>
      <c r="J174" s="4"/>
      <c r="K174" s="4">
        <f t="shared" si="11"/>
        <v>0</v>
      </c>
    </row>
    <row r="175" spans="1:11">
      <c r="A175" s="2"/>
      <c r="F175" t="e">
        <f>VLOOKUP(TablaPegaso[[#This Row],[Equipo]],Catalogos!$I$4:$J$34,2,FALSE)</f>
        <v>#N/A</v>
      </c>
      <c r="G175" s="3"/>
      <c r="H175" s="3"/>
      <c r="I175" s="3">
        <f t="shared" si="10"/>
        <v>1028</v>
      </c>
      <c r="J175" s="4"/>
      <c r="K175" s="4">
        <f t="shared" si="11"/>
        <v>0</v>
      </c>
    </row>
    <row r="176" spans="1:11">
      <c r="A176" s="2"/>
      <c r="F176" t="e">
        <f>VLOOKUP(TablaPegaso[[#This Row],[Equipo]],Catalogos!$I$4:$J$34,2,FALSE)</f>
        <v>#N/A</v>
      </c>
      <c r="G176" s="3"/>
      <c r="H176" s="3"/>
      <c r="I176" s="3">
        <f t="shared" si="10"/>
        <v>1028</v>
      </c>
      <c r="J176" s="4"/>
      <c r="K176" s="4">
        <f t="shared" si="11"/>
        <v>0</v>
      </c>
    </row>
    <row r="177" spans="1:11">
      <c r="A177" s="2"/>
      <c r="F177" t="e">
        <f>VLOOKUP(TablaPegaso[[#This Row],[Equipo]],Catalogos!$I$4:$J$34,2,FALSE)</f>
        <v>#N/A</v>
      </c>
      <c r="G177" s="3"/>
      <c r="H177" s="3"/>
      <c r="I177" s="3">
        <f t="shared" si="10"/>
        <v>1028</v>
      </c>
      <c r="J177" s="4"/>
      <c r="K177" s="4">
        <f t="shared" si="11"/>
        <v>0</v>
      </c>
    </row>
    <row r="178" spans="1:11">
      <c r="A178" s="2"/>
      <c r="F178" t="e">
        <f>VLOOKUP(TablaPegaso[[#This Row],[Equipo]],Catalogos!$I$4:$J$34,2,FALSE)</f>
        <v>#N/A</v>
      </c>
      <c r="G178" s="3"/>
      <c r="H178" s="3"/>
      <c r="I178" s="3">
        <f t="shared" si="10"/>
        <v>1028</v>
      </c>
      <c r="J178" s="4"/>
      <c r="K178" s="4">
        <f t="shared" si="11"/>
        <v>0</v>
      </c>
    </row>
    <row r="179" spans="1:11">
      <c r="A179" s="2"/>
      <c r="F179" t="e">
        <f>VLOOKUP(TablaPegaso[[#This Row],[Equipo]],Catalogos!$I$4:$J$34,2,FALSE)</f>
        <v>#N/A</v>
      </c>
      <c r="G179" s="3"/>
      <c r="H179" s="3"/>
      <c r="I179" s="3">
        <f t="shared" si="10"/>
        <v>1028</v>
      </c>
      <c r="J179" s="4"/>
      <c r="K179" s="4">
        <f t="shared" si="11"/>
        <v>0</v>
      </c>
    </row>
    <row r="180" spans="1:11">
      <c r="A180" s="2"/>
      <c r="F180" t="e">
        <f>VLOOKUP(TablaPegaso[[#This Row],[Equipo]],Catalogos!$I$4:$J$34,2,FALSE)</f>
        <v>#N/A</v>
      </c>
      <c r="G180" s="3"/>
      <c r="H180" s="3"/>
      <c r="I180" s="3">
        <f t="shared" si="10"/>
        <v>1028</v>
      </c>
      <c r="J180" s="4"/>
      <c r="K180" s="4">
        <f t="shared" si="11"/>
        <v>0</v>
      </c>
    </row>
    <row r="181" spans="1:11">
      <c r="A181" s="2"/>
      <c r="F181" t="e">
        <f>VLOOKUP(TablaPegaso[[#This Row],[Equipo]],Catalogos!$I$4:$J$34,2,FALSE)</f>
        <v>#N/A</v>
      </c>
      <c r="G181" s="3"/>
      <c r="H181" s="3"/>
      <c r="I181" s="3">
        <f t="shared" si="10"/>
        <v>1028</v>
      </c>
      <c r="J181" s="4"/>
      <c r="K181" s="4">
        <f t="shared" si="11"/>
        <v>0</v>
      </c>
    </row>
    <row r="182" spans="1:11">
      <c r="A182" s="2"/>
      <c r="F182" t="e">
        <f>VLOOKUP(TablaPegaso[[#This Row],[Equipo]],Catalogos!$I$4:$J$34,2,FALSE)</f>
        <v>#N/A</v>
      </c>
      <c r="G182" s="3"/>
      <c r="H182" s="3"/>
      <c r="I182" s="3">
        <f t="shared" si="10"/>
        <v>1028</v>
      </c>
      <c r="J182" s="4"/>
      <c r="K182" s="4">
        <f t="shared" si="11"/>
        <v>0</v>
      </c>
    </row>
    <row r="183" spans="1:11">
      <c r="A183" s="2"/>
      <c r="F183" t="e">
        <f>VLOOKUP(TablaPegaso[[#This Row],[Equipo]],Catalogos!$I$4:$J$34,2,FALSE)</f>
        <v>#N/A</v>
      </c>
      <c r="G183" s="3"/>
      <c r="H183" s="3"/>
      <c r="I183" s="3">
        <f t="shared" si="10"/>
        <v>1028</v>
      </c>
      <c r="J183" s="4"/>
      <c r="K183" s="4">
        <f t="shared" si="11"/>
        <v>0</v>
      </c>
    </row>
    <row r="184" spans="1:11">
      <c r="A184" s="2"/>
      <c r="F184" t="e">
        <f>VLOOKUP(TablaPegaso[[#This Row],[Equipo]],Catalogos!$I$4:$J$34,2,FALSE)</f>
        <v>#N/A</v>
      </c>
      <c r="G184" s="3"/>
      <c r="H184" s="3"/>
      <c r="I184" s="3">
        <f t="shared" si="10"/>
        <v>1028</v>
      </c>
      <c r="J184" s="4"/>
      <c r="K184" s="4">
        <f t="shared" si="11"/>
        <v>0</v>
      </c>
    </row>
    <row r="185" spans="1:11">
      <c r="A185" s="2"/>
      <c r="F185" t="e">
        <f>VLOOKUP(TablaPegaso[[#This Row],[Equipo]],Catalogos!$I$4:$J$34,2,FALSE)</f>
        <v>#N/A</v>
      </c>
      <c r="G185" s="3"/>
      <c r="H185" s="3"/>
      <c r="I185" s="3">
        <f t="shared" si="10"/>
        <v>1028</v>
      </c>
      <c r="J185" s="4"/>
      <c r="K185" s="4">
        <f t="shared" si="11"/>
        <v>0</v>
      </c>
    </row>
    <row r="186" spans="1:11">
      <c r="A186" s="2"/>
      <c r="F186" t="e">
        <f>VLOOKUP(TablaPegaso[[#This Row],[Equipo]],Catalogos!$I$4:$J$34,2,FALSE)</f>
        <v>#N/A</v>
      </c>
      <c r="G186" s="3"/>
      <c r="H186" s="3"/>
      <c r="I186" s="3">
        <f t="shared" si="10"/>
        <v>1028</v>
      </c>
      <c r="J186" s="4"/>
      <c r="K186" s="4">
        <f t="shared" si="11"/>
        <v>0</v>
      </c>
    </row>
    <row r="187" spans="1:11">
      <c r="A187" s="2"/>
      <c r="F187" t="e">
        <f>VLOOKUP(TablaPegaso[[#This Row],[Equipo]],Catalogos!$I$4:$J$34,2,FALSE)</f>
        <v>#N/A</v>
      </c>
      <c r="G187" s="3"/>
      <c r="H187" s="3"/>
      <c r="I187" s="3">
        <f t="shared" si="10"/>
        <v>1028</v>
      </c>
      <c r="J187" s="4"/>
      <c r="K187" s="4">
        <f t="shared" si="11"/>
        <v>0</v>
      </c>
    </row>
    <row r="188" spans="1:11">
      <c r="A188" s="2"/>
      <c r="F188" t="e">
        <f>VLOOKUP(TablaPegaso[[#This Row],[Equipo]],Catalogos!$I$4:$J$34,2,FALSE)</f>
        <v>#N/A</v>
      </c>
      <c r="G188" s="3"/>
      <c r="H188" s="3"/>
      <c r="I188" s="3">
        <f t="shared" si="10"/>
        <v>1028</v>
      </c>
      <c r="J188" s="4"/>
      <c r="K188" s="4">
        <f t="shared" si="11"/>
        <v>0</v>
      </c>
    </row>
    <row r="189" spans="1:11">
      <c r="A189" s="2"/>
      <c r="F189" t="e">
        <f>VLOOKUP(TablaPegaso[[#This Row],[Equipo]],Catalogos!$I$4:$J$34,2,FALSE)</f>
        <v>#N/A</v>
      </c>
      <c r="G189" s="3"/>
      <c r="H189" s="3"/>
      <c r="I189" s="3">
        <f t="shared" si="10"/>
        <v>1028</v>
      </c>
      <c r="J189" s="4"/>
      <c r="K189" s="4">
        <f t="shared" si="11"/>
        <v>0</v>
      </c>
    </row>
    <row r="190" spans="1:11">
      <c r="A190" s="2"/>
      <c r="F190" t="e">
        <f>VLOOKUP(TablaPegaso[[#This Row],[Equipo]],Catalogos!$I$4:$J$34,2,FALSE)</f>
        <v>#N/A</v>
      </c>
      <c r="G190" s="3"/>
      <c r="H190" s="3"/>
      <c r="I190" s="3">
        <f t="shared" si="10"/>
        <v>1028</v>
      </c>
      <c r="J190" s="4"/>
      <c r="K190" s="4">
        <f t="shared" si="11"/>
        <v>0</v>
      </c>
    </row>
    <row r="191" spans="1:11">
      <c r="A191" s="2"/>
      <c r="F191" t="e">
        <f>VLOOKUP(TablaPegaso[[#This Row],[Equipo]],Catalogos!$I$4:$J$34,2,FALSE)</f>
        <v>#N/A</v>
      </c>
      <c r="G191" s="3"/>
      <c r="H191" s="3"/>
      <c r="I191" s="3">
        <f t="shared" si="10"/>
        <v>1028</v>
      </c>
      <c r="J191" s="4"/>
      <c r="K191" s="4">
        <f t="shared" si="11"/>
        <v>0</v>
      </c>
    </row>
    <row r="192" spans="1:11">
      <c r="A192" s="2"/>
      <c r="F192" t="e">
        <f>VLOOKUP(TablaPegaso[[#This Row],[Equipo]],Catalogos!$I$4:$J$34,2,FALSE)</f>
        <v>#N/A</v>
      </c>
      <c r="G192" s="3"/>
      <c r="H192" s="3"/>
      <c r="I192" s="3">
        <f t="shared" si="10"/>
        <v>1028</v>
      </c>
      <c r="J192" s="4"/>
      <c r="K192" s="4">
        <f t="shared" si="11"/>
        <v>0</v>
      </c>
    </row>
    <row r="193" spans="1:11">
      <c r="A193" s="2"/>
      <c r="F193" t="e">
        <f>VLOOKUP(TablaPegaso[[#This Row],[Equipo]],Catalogos!$I$4:$J$34,2,FALSE)</f>
        <v>#N/A</v>
      </c>
      <c r="G193" s="3"/>
      <c r="H193" s="3"/>
      <c r="I193" s="3">
        <f t="shared" si="10"/>
        <v>1028</v>
      </c>
      <c r="J193" s="4"/>
      <c r="K193" s="4">
        <f t="shared" si="11"/>
        <v>0</v>
      </c>
    </row>
    <row r="194" spans="1:11">
      <c r="A194" s="2"/>
      <c r="F194" t="e">
        <f>VLOOKUP(TablaPegaso[[#This Row],[Equipo]],Catalogos!$I$4:$J$34,2,FALSE)</f>
        <v>#N/A</v>
      </c>
      <c r="G194" s="3"/>
      <c r="H194" s="3"/>
      <c r="I194" s="3">
        <f t="shared" si="10"/>
        <v>1028</v>
      </c>
      <c r="J194" s="4"/>
      <c r="K194" s="4">
        <f t="shared" si="11"/>
        <v>0</v>
      </c>
    </row>
    <row r="195" spans="1:11">
      <c r="A195" s="2"/>
      <c r="F195" t="e">
        <f>VLOOKUP(TablaPegaso[[#This Row],[Equipo]],Catalogos!$I$4:$J$34,2,FALSE)</f>
        <v>#N/A</v>
      </c>
      <c r="G195" s="3"/>
      <c r="H195" s="3"/>
      <c r="I195" s="3">
        <f t="shared" si="10"/>
        <v>1028</v>
      </c>
      <c r="J195" s="4"/>
      <c r="K195" s="4">
        <f t="shared" si="11"/>
        <v>0</v>
      </c>
    </row>
    <row r="196" spans="1:11">
      <c r="A196" s="2"/>
      <c r="F196" t="e">
        <f>VLOOKUP(TablaPegaso[[#This Row],[Equipo]],Catalogos!$I$4:$J$34,2,FALSE)</f>
        <v>#N/A</v>
      </c>
      <c r="G196" s="3"/>
      <c r="H196" s="3"/>
      <c r="I196" s="3">
        <f t="shared" si="10"/>
        <v>1028</v>
      </c>
      <c r="J196" s="4"/>
      <c r="K196" s="4">
        <f t="shared" si="11"/>
        <v>0</v>
      </c>
    </row>
    <row r="197" spans="1:11">
      <c r="A197" s="2"/>
      <c r="F197" t="e">
        <f>VLOOKUP(TablaPegaso[[#This Row],[Equipo]],Catalogos!$I$4:$J$34,2,FALSE)</f>
        <v>#N/A</v>
      </c>
      <c r="G197" s="3"/>
      <c r="H197" s="3"/>
      <c r="I197" s="3">
        <f t="shared" si="10"/>
        <v>1028</v>
      </c>
      <c r="J197" s="4"/>
      <c r="K197" s="4">
        <f t="shared" si="11"/>
        <v>0</v>
      </c>
    </row>
    <row r="198" spans="1:11">
      <c r="A198" s="2"/>
      <c r="F198" t="e">
        <f>VLOOKUP(TablaPegaso[[#This Row],[Equipo]],Catalogos!$I$4:$J$34,2,FALSE)</f>
        <v>#N/A</v>
      </c>
      <c r="G198" s="3"/>
      <c r="H198" s="3"/>
      <c r="I198" s="3">
        <f t="shared" si="10"/>
        <v>1028</v>
      </c>
      <c r="J198" s="4"/>
      <c r="K198" s="4">
        <f t="shared" si="11"/>
        <v>0</v>
      </c>
    </row>
    <row r="199" spans="1:11">
      <c r="A199" s="2"/>
      <c r="F199" t="e">
        <f>VLOOKUP(TablaPegaso[[#This Row],[Equipo]],Catalogos!$I$4:$J$34,2,FALSE)</f>
        <v>#N/A</v>
      </c>
      <c r="G199" s="3"/>
      <c r="H199" s="3"/>
      <c r="I199" s="3">
        <f t="shared" ref="I199:I206" si="12">IF(ROW()=5,G199-H199,I198+G199-H199)</f>
        <v>1028</v>
      </c>
      <c r="J199" s="4"/>
      <c r="K199" s="4">
        <f t="shared" ref="K199:K206" si="13">IFERROR((G199+H199)*J199,0)</f>
        <v>0</v>
      </c>
    </row>
    <row r="200" spans="1:11">
      <c r="A200" s="2"/>
      <c r="F200" t="e">
        <f>VLOOKUP(TablaPegaso[[#This Row],[Equipo]],Catalogos!$I$4:$J$34,2,FALSE)</f>
        <v>#N/A</v>
      </c>
      <c r="G200" s="3"/>
      <c r="H200" s="3"/>
      <c r="I200" s="3">
        <f t="shared" si="12"/>
        <v>1028</v>
      </c>
      <c r="J200" s="4"/>
      <c r="K200" s="4">
        <f t="shared" si="13"/>
        <v>0</v>
      </c>
    </row>
    <row r="201" spans="1:11">
      <c r="A201" s="2"/>
      <c r="F201" t="e">
        <f>VLOOKUP(TablaPegaso[[#This Row],[Equipo]],Catalogos!$I$4:$J$34,2,FALSE)</f>
        <v>#N/A</v>
      </c>
      <c r="G201" s="3"/>
      <c r="H201" s="3"/>
      <c r="I201" s="3">
        <f t="shared" si="12"/>
        <v>1028</v>
      </c>
      <c r="J201" s="4"/>
      <c r="K201" s="4">
        <f t="shared" si="13"/>
        <v>0</v>
      </c>
    </row>
    <row r="202" spans="1:11">
      <c r="A202" s="2"/>
      <c r="F202" t="e">
        <f>VLOOKUP(TablaPegaso[[#This Row],[Equipo]],Catalogos!$I$4:$J$34,2,FALSE)</f>
        <v>#N/A</v>
      </c>
      <c r="G202" s="3"/>
      <c r="H202" s="3"/>
      <c r="I202" s="3">
        <f t="shared" si="12"/>
        <v>1028</v>
      </c>
      <c r="J202" s="4"/>
      <c r="K202" s="4">
        <f t="shared" si="13"/>
        <v>0</v>
      </c>
    </row>
    <row r="203" spans="1:11">
      <c r="A203" s="2"/>
      <c r="F203" t="e">
        <f>VLOOKUP(TablaPegaso[[#This Row],[Equipo]],Catalogos!$I$4:$J$34,2,FALSE)</f>
        <v>#N/A</v>
      </c>
      <c r="G203" s="3"/>
      <c r="H203" s="3"/>
      <c r="I203" s="3">
        <f t="shared" si="12"/>
        <v>1028</v>
      </c>
      <c r="J203" s="4"/>
      <c r="K203" s="4">
        <f t="shared" si="13"/>
        <v>0</v>
      </c>
    </row>
    <row r="204" spans="1:11">
      <c r="A204" s="2"/>
      <c r="F204" t="e">
        <f>VLOOKUP(TablaPegaso[[#This Row],[Equipo]],Catalogos!$I$4:$J$34,2,FALSE)</f>
        <v>#N/A</v>
      </c>
      <c r="G204" s="3"/>
      <c r="H204" s="3"/>
      <c r="I204" s="3">
        <f t="shared" si="12"/>
        <v>1028</v>
      </c>
      <c r="J204" s="4"/>
      <c r="K204" s="4">
        <f t="shared" si="13"/>
        <v>0</v>
      </c>
    </row>
    <row r="205" spans="1:11">
      <c r="A205" s="2"/>
      <c r="F205" t="e">
        <f>VLOOKUP(TablaPegaso[[#This Row],[Equipo]],Catalogos!$I$4:$J$34,2,FALSE)</f>
        <v>#N/A</v>
      </c>
      <c r="G205" s="3"/>
      <c r="H205" s="3"/>
      <c r="I205" s="3">
        <f t="shared" si="12"/>
        <v>1028</v>
      </c>
      <c r="J205" s="4"/>
      <c r="K205" s="4">
        <f t="shared" si="13"/>
        <v>0</v>
      </c>
    </row>
    <row r="206" spans="1:11">
      <c r="A206" s="2"/>
      <c r="F206" t="e">
        <f>VLOOKUP(TablaPegaso[[#This Row],[Equipo]],Catalogos!$I$4:$J$34,2,FALSE)</f>
        <v>#N/A</v>
      </c>
      <c r="G206" s="3"/>
      <c r="H206" s="3"/>
      <c r="I206" s="3">
        <f t="shared" si="12"/>
        <v>1028</v>
      </c>
      <c r="J206" s="4"/>
      <c r="K206" s="4">
        <f t="shared" si="13"/>
        <v>0</v>
      </c>
    </row>
  </sheetData>
  <mergeCells count="1">
    <mergeCell ref="A1:L1"/>
  </mergeCells>
  <dataValidations count="1">
    <dataValidation type="list" sqref="B5:B206" xr:uid="{00000000-0002-0000-0100-000000000000}">
      <formula1>"Entrada,Salida a Marimba,Salida Directa Máquina,Ajuste"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4"/>
  <sheetViews>
    <sheetView workbookViewId="0">
      <selection activeCell="F36" sqref="F3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s="406" t="s">
        <v>20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</row>
    <row r="2" spans="1:12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2" ht="27.6">
      <c r="A4" s="1" t="s">
        <v>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29</v>
      </c>
      <c r="L4" s="1" t="s">
        <v>19</v>
      </c>
    </row>
    <row r="5" spans="1:12">
      <c r="A5" s="2">
        <v>46181</v>
      </c>
      <c r="B5" t="s">
        <v>73</v>
      </c>
      <c r="C5" t="s">
        <v>1</v>
      </c>
      <c r="D5" t="s">
        <v>97</v>
      </c>
      <c r="E5" t="str">
        <f>VLOOKUP(TablaMarimba[[#This Row],[Equipo]],Catalogos!$I$4:$J$34,2,FALSE)</f>
        <v>NM-01</v>
      </c>
      <c r="F5" s="3">
        <v>0</v>
      </c>
      <c r="G5" s="3">
        <v>30</v>
      </c>
      <c r="H5" s="3">
        <f t="shared" ref="H5:H36" si="0">IF(ROW()=5,F5-G5,H4+F5-G5)</f>
        <v>-30</v>
      </c>
      <c r="I5" s="4">
        <v>28.3</v>
      </c>
      <c r="J5" s="4">
        <f t="shared" ref="J5:J36" si="1">IFERROR((F5+G5)*I5,0)</f>
        <v>849</v>
      </c>
    </row>
    <row r="6" spans="1:12">
      <c r="A6" s="2">
        <v>46181</v>
      </c>
      <c r="B6" t="s">
        <v>73</v>
      </c>
      <c r="C6" t="s">
        <v>1</v>
      </c>
      <c r="D6" t="s">
        <v>51</v>
      </c>
      <c r="E6" t="str">
        <f>VLOOKUP(TablaMarimba[[#This Row],[Equipo]],Catalogos!$I$4:$J$34,2,FALSE)</f>
        <v>CP-01</v>
      </c>
      <c r="F6" s="3"/>
      <c r="G6" s="3">
        <v>32</v>
      </c>
      <c r="H6" s="3">
        <f t="shared" si="0"/>
        <v>-62</v>
      </c>
      <c r="I6" s="4">
        <v>28.3</v>
      </c>
      <c r="J6" s="4">
        <f t="shared" si="1"/>
        <v>905.6</v>
      </c>
    </row>
    <row r="7" spans="1:12">
      <c r="A7" s="2">
        <v>46181</v>
      </c>
      <c r="B7" t="s">
        <v>73</v>
      </c>
      <c r="C7" t="s">
        <v>1</v>
      </c>
      <c r="D7" t="s">
        <v>80</v>
      </c>
      <c r="E7" t="str">
        <f>VLOOKUP(TablaMarimba[[#This Row],[Equipo]],Catalogos!$I$4:$J$34,2,FALSE)</f>
        <v>PR-01</v>
      </c>
      <c r="F7" s="3"/>
      <c r="G7" s="3">
        <v>277</v>
      </c>
      <c r="H7" s="3">
        <f t="shared" si="0"/>
        <v>-339</v>
      </c>
      <c r="I7" s="4">
        <v>28.3</v>
      </c>
      <c r="J7" s="4">
        <f t="shared" si="1"/>
        <v>7839.1</v>
      </c>
    </row>
    <row r="8" spans="1:12">
      <c r="A8" s="2">
        <v>46181</v>
      </c>
      <c r="B8" t="s">
        <v>73</v>
      </c>
      <c r="C8" t="s">
        <v>1</v>
      </c>
      <c r="D8" t="s">
        <v>60</v>
      </c>
      <c r="E8" t="str">
        <f>VLOOKUP(TablaMarimba[[#This Row],[Equipo]],Catalogos!$I$4:$J$34,2,FALSE)</f>
        <v>RT-01</v>
      </c>
      <c r="F8" s="3"/>
      <c r="G8" s="3">
        <v>30</v>
      </c>
      <c r="H8" s="3">
        <f t="shared" si="0"/>
        <v>-369</v>
      </c>
      <c r="I8" s="4">
        <v>28.3</v>
      </c>
      <c r="J8" s="4">
        <f t="shared" si="1"/>
        <v>849</v>
      </c>
    </row>
    <row r="9" spans="1:12">
      <c r="A9" s="2">
        <v>46181</v>
      </c>
      <c r="B9" t="s">
        <v>73</v>
      </c>
      <c r="C9" t="s">
        <v>2</v>
      </c>
      <c r="D9" t="s">
        <v>76</v>
      </c>
      <c r="E9" t="str">
        <f>VLOOKUP(TablaMarimba[[#This Row],[Equipo]],Catalogos!$I$4:$J$34,2,FALSE)</f>
        <v>VG-01</v>
      </c>
      <c r="F9" s="3"/>
      <c r="G9" s="3">
        <v>97</v>
      </c>
      <c r="H9" s="3">
        <f t="shared" si="0"/>
        <v>-466</v>
      </c>
      <c r="I9" s="4">
        <v>28.3</v>
      </c>
      <c r="J9" s="4">
        <f t="shared" si="1"/>
        <v>2745.1</v>
      </c>
    </row>
    <row r="10" spans="1:12">
      <c r="A10" s="2">
        <v>46181</v>
      </c>
      <c r="B10" t="s">
        <v>73</v>
      </c>
      <c r="C10" t="s">
        <v>3</v>
      </c>
      <c r="D10" t="s">
        <v>87</v>
      </c>
      <c r="E10" t="str">
        <f>VLOOKUP(TablaMarimba[[#This Row],[Equipo]],Catalogos!$I$4:$J$34,2,FALSE)</f>
        <v>PR-02</v>
      </c>
      <c r="F10" s="3"/>
      <c r="G10" s="3">
        <v>198</v>
      </c>
      <c r="H10" s="3">
        <f t="shared" si="0"/>
        <v>-664</v>
      </c>
      <c r="I10" s="4">
        <v>28.3</v>
      </c>
      <c r="J10" s="4">
        <f t="shared" si="1"/>
        <v>5603.4000000000005</v>
      </c>
    </row>
    <row r="11" spans="1:12">
      <c r="A11" s="2">
        <v>46181</v>
      </c>
      <c r="B11" t="s">
        <v>73</v>
      </c>
      <c r="C11" t="s">
        <v>3</v>
      </c>
      <c r="D11" t="s">
        <v>108</v>
      </c>
      <c r="E11" t="str">
        <f>VLOOKUP(TablaMarimba[[#This Row],[Equipo]],Catalogos!$I$4:$J$34,2,FALSE)</f>
        <v>MX-01</v>
      </c>
      <c r="F11" s="3"/>
      <c r="G11" s="3">
        <v>10</v>
      </c>
      <c r="H11" s="3">
        <f t="shared" si="0"/>
        <v>-674</v>
      </c>
      <c r="I11" s="4">
        <v>28.3</v>
      </c>
      <c r="J11" s="4">
        <f t="shared" si="1"/>
        <v>283</v>
      </c>
    </row>
    <row r="12" spans="1:12">
      <c r="A12" s="2">
        <v>46181</v>
      </c>
      <c r="B12" t="s">
        <v>73</v>
      </c>
      <c r="C12" t="s">
        <v>3</v>
      </c>
      <c r="D12" t="s">
        <v>102</v>
      </c>
      <c r="E12" t="str">
        <f>VLOOKUP(TablaMarimba[[#This Row],[Equipo]],Catalogos!$I$4:$J$34,2,FALSE)</f>
        <v>NM-02</v>
      </c>
      <c r="F12" s="3"/>
      <c r="G12" s="3">
        <v>27</v>
      </c>
      <c r="H12" s="3">
        <f t="shared" si="0"/>
        <v>-701</v>
      </c>
      <c r="I12" s="4">
        <v>28.3</v>
      </c>
      <c r="J12" s="4">
        <f t="shared" si="1"/>
        <v>764.1</v>
      </c>
    </row>
    <row r="13" spans="1:12">
      <c r="A13" s="2">
        <v>46181</v>
      </c>
      <c r="B13" t="s">
        <v>73</v>
      </c>
      <c r="C13" t="s">
        <v>3</v>
      </c>
      <c r="D13" t="s">
        <v>110</v>
      </c>
      <c r="E13" t="str">
        <f>VLOOKUP(TablaMarimba[[#This Row],[Equipo]],Catalogos!$I$4:$J$34,2,FALSE)</f>
        <v>CPR-01</v>
      </c>
      <c r="F13" s="3"/>
      <c r="G13" s="3">
        <v>30</v>
      </c>
      <c r="H13" s="3">
        <f t="shared" si="0"/>
        <v>-731</v>
      </c>
      <c r="I13" s="4">
        <v>28.3</v>
      </c>
      <c r="J13" s="4">
        <f t="shared" si="1"/>
        <v>849</v>
      </c>
    </row>
    <row r="14" spans="1:12">
      <c r="A14" s="2">
        <v>46181</v>
      </c>
      <c r="B14" t="s">
        <v>73</v>
      </c>
      <c r="C14" t="s">
        <v>3</v>
      </c>
      <c r="D14" t="s">
        <v>93</v>
      </c>
      <c r="E14" t="str">
        <f>VLOOKUP(TablaMarimba[[#This Row],[Equipo]],Catalogos!$I$4:$J$34,2,FALSE)</f>
        <v>RT-02</v>
      </c>
      <c r="F14" s="3"/>
      <c r="G14" s="3">
        <v>40</v>
      </c>
      <c r="H14" s="3">
        <f t="shared" si="0"/>
        <v>-771</v>
      </c>
      <c r="I14" s="4">
        <v>28.3</v>
      </c>
      <c r="J14" s="4">
        <f t="shared" si="1"/>
        <v>1132</v>
      </c>
    </row>
    <row r="15" spans="1:12">
      <c r="A15" s="2">
        <v>46181</v>
      </c>
      <c r="B15" t="s">
        <v>73</v>
      </c>
      <c r="C15" t="s">
        <v>3</v>
      </c>
      <c r="D15" t="s">
        <v>98</v>
      </c>
      <c r="E15" t="str">
        <f>VLOOKUP(TablaMarimba[[#This Row],[Equipo]],Catalogos!$I$4:$J$34,2,FALSE)</f>
        <v>VG-02</v>
      </c>
      <c r="F15" s="3"/>
      <c r="G15" s="3">
        <v>120</v>
      </c>
      <c r="H15" s="3">
        <f t="shared" si="0"/>
        <v>-891</v>
      </c>
      <c r="I15" s="4">
        <v>28.3</v>
      </c>
      <c r="J15" s="4">
        <f t="shared" si="1"/>
        <v>3396</v>
      </c>
    </row>
    <row r="16" spans="1:12">
      <c r="A16" s="2">
        <v>46181</v>
      </c>
      <c r="B16" t="s">
        <v>73</v>
      </c>
      <c r="C16" t="s">
        <v>3</v>
      </c>
      <c r="D16" t="s">
        <v>104</v>
      </c>
      <c r="E16" t="str">
        <f>VLOOKUP(TablaMarimba[[#This Row],[Equipo]],Catalogos!$I$4:$J$34,2,FALSE)</f>
        <v>PT-02</v>
      </c>
      <c r="F16" s="3"/>
      <c r="G16" s="3">
        <v>30</v>
      </c>
      <c r="H16" s="3">
        <f t="shared" si="0"/>
        <v>-921</v>
      </c>
      <c r="I16" s="4">
        <v>28.3</v>
      </c>
      <c r="J16" s="4">
        <f t="shared" si="1"/>
        <v>849</v>
      </c>
    </row>
    <row r="17" spans="1:10">
      <c r="A17" s="2">
        <v>46182</v>
      </c>
      <c r="B17" t="s">
        <v>73</v>
      </c>
      <c r="C17" t="s">
        <v>3</v>
      </c>
      <c r="D17" t="s">
        <v>91</v>
      </c>
      <c r="E17" t="str">
        <f>VLOOKUP(TablaMarimba[[#This Row],[Equipo]],Catalogos!$I$4:$J$34,2,FALSE)</f>
        <v>BR-02</v>
      </c>
      <c r="F17" s="3"/>
      <c r="G17" s="3">
        <v>30</v>
      </c>
      <c r="H17" s="3">
        <f t="shared" si="0"/>
        <v>-951</v>
      </c>
      <c r="I17" s="4">
        <v>28.3</v>
      </c>
      <c r="J17" s="4">
        <f t="shared" si="1"/>
        <v>849</v>
      </c>
    </row>
    <row r="18" spans="1:10">
      <c r="A18" s="2">
        <v>46182</v>
      </c>
      <c r="B18" t="s">
        <v>73</v>
      </c>
      <c r="C18" t="s">
        <v>3</v>
      </c>
      <c r="D18" t="s">
        <v>95</v>
      </c>
      <c r="E18" t="str">
        <f>VLOOKUP(TablaMarimba[[#This Row],[Equipo]],Catalogos!$I$4:$J$34,2,FALSE)</f>
        <v>BG-01</v>
      </c>
      <c r="F18" s="3"/>
      <c r="G18" s="3">
        <v>100</v>
      </c>
      <c r="H18" s="3">
        <f t="shared" si="0"/>
        <v>-1051</v>
      </c>
      <c r="I18" s="4">
        <v>28.3</v>
      </c>
      <c r="J18" s="4">
        <f t="shared" si="1"/>
        <v>2830</v>
      </c>
    </row>
    <row r="19" spans="1:10">
      <c r="A19" s="2">
        <v>46182</v>
      </c>
      <c r="B19" t="s">
        <v>73</v>
      </c>
      <c r="C19" t="s">
        <v>3</v>
      </c>
      <c r="D19" t="s">
        <v>100</v>
      </c>
      <c r="E19" t="str">
        <f>VLOOKUP(TablaMarimba[[#This Row],[Equipo]],Catalogos!$I$4:$J$34,2,FALSE)</f>
        <v>TD-01</v>
      </c>
      <c r="F19" s="3"/>
      <c r="G19" s="3">
        <v>30</v>
      </c>
      <c r="H19" s="3">
        <f t="shared" si="0"/>
        <v>-1081</v>
      </c>
      <c r="I19" s="4">
        <v>28.3</v>
      </c>
      <c r="J19" s="4">
        <f t="shared" si="1"/>
        <v>849</v>
      </c>
    </row>
    <row r="20" spans="1:10">
      <c r="A20" s="2">
        <v>46182</v>
      </c>
      <c r="B20" t="s">
        <v>73</v>
      </c>
      <c r="C20" t="s">
        <v>3</v>
      </c>
      <c r="D20" t="s">
        <v>87</v>
      </c>
      <c r="E20" t="str">
        <f>VLOOKUP(TablaMarimba[[#This Row],[Equipo]],Catalogos!$I$4:$J$34,2,FALSE)</f>
        <v>PR-02</v>
      </c>
      <c r="F20" s="3"/>
      <c r="G20" s="3">
        <v>150</v>
      </c>
      <c r="H20" s="3">
        <f t="shared" si="0"/>
        <v>-1231</v>
      </c>
      <c r="I20" s="4">
        <v>28.3</v>
      </c>
      <c r="J20" s="4">
        <f t="shared" si="1"/>
        <v>4245</v>
      </c>
    </row>
    <row r="21" spans="1:10">
      <c r="A21" s="2">
        <v>46182</v>
      </c>
      <c r="B21" t="s">
        <v>73</v>
      </c>
      <c r="C21" t="s">
        <v>3</v>
      </c>
      <c r="D21" t="s">
        <v>104</v>
      </c>
      <c r="E21" t="str">
        <f>VLOOKUP(TablaMarimba[[#This Row],[Equipo]],Catalogos!$I$4:$J$34,2,FALSE)</f>
        <v>PT-02</v>
      </c>
      <c r="F21" s="3"/>
      <c r="G21" s="3">
        <v>50</v>
      </c>
      <c r="H21" s="3">
        <f t="shared" si="0"/>
        <v>-1281</v>
      </c>
      <c r="I21" s="4">
        <v>28.3</v>
      </c>
      <c r="J21" s="4">
        <f t="shared" si="1"/>
        <v>1415</v>
      </c>
    </row>
    <row r="22" spans="1:10">
      <c r="A22" s="2">
        <v>46182</v>
      </c>
      <c r="B22" t="s">
        <v>73</v>
      </c>
      <c r="C22" t="s">
        <v>3</v>
      </c>
      <c r="D22" t="s">
        <v>98</v>
      </c>
      <c r="E22" t="str">
        <f>VLOOKUP(TablaMarimba[[#This Row],[Equipo]],Catalogos!$I$4:$J$34,2,FALSE)</f>
        <v>VG-02</v>
      </c>
      <c r="F22" s="3"/>
      <c r="G22" s="3">
        <v>136</v>
      </c>
      <c r="H22" s="3">
        <f t="shared" si="0"/>
        <v>-1417</v>
      </c>
      <c r="I22" s="4">
        <v>28.3</v>
      </c>
      <c r="J22" s="4">
        <f t="shared" si="1"/>
        <v>3848.8</v>
      </c>
    </row>
    <row r="23" spans="1:10">
      <c r="A23" s="2">
        <v>46182</v>
      </c>
      <c r="B23" t="s">
        <v>73</v>
      </c>
      <c r="C23" t="s">
        <v>3</v>
      </c>
      <c r="D23" t="s">
        <v>100</v>
      </c>
      <c r="E23" t="str">
        <f>VLOOKUP(TablaMarimba[[#This Row],[Equipo]],Catalogos!$I$4:$J$34,2,FALSE)</f>
        <v>TD-01</v>
      </c>
      <c r="F23" s="3"/>
      <c r="G23" s="3">
        <v>30</v>
      </c>
      <c r="H23" s="3">
        <f t="shared" si="0"/>
        <v>-1447</v>
      </c>
      <c r="I23" s="4">
        <v>28.3</v>
      </c>
      <c r="J23" s="4">
        <f t="shared" si="1"/>
        <v>849</v>
      </c>
    </row>
    <row r="24" spans="1:10">
      <c r="A24" s="2">
        <v>46182</v>
      </c>
      <c r="B24" t="s">
        <v>73</v>
      </c>
      <c r="C24" t="s">
        <v>3</v>
      </c>
      <c r="D24" t="s">
        <v>97</v>
      </c>
      <c r="E24" t="str">
        <f>VLOOKUP(TablaMarimba[[#This Row],[Equipo]],Catalogos!$I$4:$J$34,2,FALSE)</f>
        <v>NM-01</v>
      </c>
      <c r="F24" s="3"/>
      <c r="G24" s="3">
        <v>30</v>
      </c>
      <c r="H24" s="3">
        <f t="shared" si="0"/>
        <v>-1477</v>
      </c>
      <c r="I24" s="4">
        <v>28.3</v>
      </c>
      <c r="J24" s="4">
        <f t="shared" si="1"/>
        <v>849</v>
      </c>
    </row>
    <row r="25" spans="1:10">
      <c r="A25" s="2">
        <v>46182</v>
      </c>
      <c r="B25" t="s">
        <v>73</v>
      </c>
      <c r="C25" t="s">
        <v>3</v>
      </c>
      <c r="D25" t="s">
        <v>95</v>
      </c>
      <c r="E25" t="str">
        <f>VLOOKUP(TablaMarimba[[#This Row],[Equipo]],Catalogos!$I$4:$J$34,2,FALSE)</f>
        <v>BG-01</v>
      </c>
      <c r="F25" s="3"/>
      <c r="G25" s="3">
        <v>100</v>
      </c>
      <c r="H25" s="3">
        <f t="shared" si="0"/>
        <v>-1577</v>
      </c>
      <c r="I25" s="4">
        <v>28.3</v>
      </c>
      <c r="J25" s="4">
        <f t="shared" si="1"/>
        <v>2830</v>
      </c>
    </row>
    <row r="26" spans="1:10">
      <c r="A26" s="2">
        <v>46182</v>
      </c>
      <c r="B26" t="s">
        <v>73</v>
      </c>
      <c r="C26" t="s">
        <v>3</v>
      </c>
      <c r="D26" t="s">
        <v>93</v>
      </c>
      <c r="E26" t="str">
        <f>VLOOKUP(TablaMarimba[[#This Row],[Equipo]],Catalogos!$I$4:$J$34,2,FALSE)</f>
        <v>RT-02</v>
      </c>
      <c r="F26" s="3"/>
      <c r="G26" s="3">
        <v>60</v>
      </c>
      <c r="H26" s="3">
        <f t="shared" si="0"/>
        <v>-1637</v>
      </c>
      <c r="I26" s="4">
        <v>28.3</v>
      </c>
      <c r="J26" s="4">
        <f t="shared" si="1"/>
        <v>1698</v>
      </c>
    </row>
    <row r="27" spans="1:10">
      <c r="A27" s="2">
        <v>46182</v>
      </c>
      <c r="B27" t="s">
        <v>73</v>
      </c>
      <c r="C27" t="s">
        <v>3</v>
      </c>
      <c r="D27" t="s">
        <v>110</v>
      </c>
      <c r="E27" t="str">
        <f>VLOOKUP(TablaMarimba[[#This Row],[Equipo]],Catalogos!$I$4:$J$34,2,FALSE)</f>
        <v>CPR-01</v>
      </c>
      <c r="F27" s="3"/>
      <c r="G27" s="3">
        <v>20</v>
      </c>
      <c r="H27" s="3">
        <f t="shared" si="0"/>
        <v>-1657</v>
      </c>
      <c r="I27" s="4">
        <v>28.3</v>
      </c>
      <c r="J27" s="4">
        <f t="shared" si="1"/>
        <v>566</v>
      </c>
    </row>
    <row r="28" spans="1:10">
      <c r="A28" s="2">
        <v>46183</v>
      </c>
      <c r="B28" t="s">
        <v>73</v>
      </c>
      <c r="C28" t="s">
        <v>1</v>
      </c>
      <c r="D28" t="s">
        <v>81</v>
      </c>
      <c r="E28" t="str">
        <f>VLOOKUP(TablaMarimba[[#This Row],[Equipo]],Catalogos!$I$4:$J$34,2,FALSE)</f>
        <v>BR-01</v>
      </c>
      <c r="F28" s="3"/>
      <c r="G28" s="3">
        <v>20</v>
      </c>
      <c r="H28" s="3">
        <f t="shared" si="0"/>
        <v>-1677</v>
      </c>
      <c r="I28" s="4">
        <v>28.3</v>
      </c>
      <c r="J28" s="4">
        <f t="shared" si="1"/>
        <v>566</v>
      </c>
    </row>
    <row r="29" spans="1:10">
      <c r="A29" s="2">
        <v>46183</v>
      </c>
      <c r="B29" t="s">
        <v>73</v>
      </c>
      <c r="C29" t="s">
        <v>1</v>
      </c>
      <c r="D29" t="s">
        <v>80</v>
      </c>
      <c r="E29" t="str">
        <f>VLOOKUP(TablaMarimba[[#This Row],[Equipo]],Catalogos!$I$4:$J$34,2,FALSE)</f>
        <v>PR-01</v>
      </c>
      <c r="F29" s="3"/>
      <c r="G29" s="3">
        <v>250</v>
      </c>
      <c r="H29" s="3">
        <f t="shared" si="0"/>
        <v>-1927</v>
      </c>
      <c r="I29" s="4">
        <v>28.3</v>
      </c>
      <c r="J29" s="4">
        <f t="shared" si="1"/>
        <v>7075</v>
      </c>
    </row>
    <row r="30" spans="1:10">
      <c r="A30" s="2">
        <v>46183</v>
      </c>
      <c r="B30" t="s">
        <v>73</v>
      </c>
      <c r="C30" t="s">
        <v>1</v>
      </c>
      <c r="D30" t="s">
        <v>60</v>
      </c>
      <c r="E30" t="str">
        <f>VLOOKUP(TablaMarimba[[#This Row],[Equipo]],Catalogos!$I$4:$J$34,2,FALSE)</f>
        <v>RT-01</v>
      </c>
      <c r="F30" s="3"/>
      <c r="G30" s="3">
        <v>30</v>
      </c>
      <c r="H30" s="3">
        <f t="shared" si="0"/>
        <v>-1957</v>
      </c>
      <c r="I30" s="4">
        <v>28.3</v>
      </c>
      <c r="J30" s="4">
        <f t="shared" si="1"/>
        <v>849</v>
      </c>
    </row>
    <row r="31" spans="1:10">
      <c r="A31" s="2">
        <v>46184</v>
      </c>
      <c r="B31" t="s">
        <v>73</v>
      </c>
      <c r="C31" t="s">
        <v>1</v>
      </c>
      <c r="D31" t="s">
        <v>51</v>
      </c>
      <c r="E31" t="str">
        <f>VLOOKUP(TablaMarimba[[#This Row],[Equipo]],Catalogos!$I$4:$J$34,2,FALSE)</f>
        <v>CP-01</v>
      </c>
      <c r="F31" s="3"/>
      <c r="G31" s="3">
        <v>30</v>
      </c>
      <c r="H31" s="3">
        <f t="shared" si="0"/>
        <v>-1987</v>
      </c>
      <c r="I31" s="4">
        <v>28.3</v>
      </c>
      <c r="J31" s="4">
        <f t="shared" si="1"/>
        <v>849</v>
      </c>
    </row>
    <row r="32" spans="1:10">
      <c r="A32" s="2">
        <v>46184</v>
      </c>
      <c r="B32" t="s">
        <v>73</v>
      </c>
      <c r="C32" t="s">
        <v>1</v>
      </c>
      <c r="D32" t="s">
        <v>97</v>
      </c>
      <c r="E32" t="str">
        <f>VLOOKUP(TablaMarimba[[#This Row],[Equipo]],Catalogos!$I$4:$J$34,2,FALSE)</f>
        <v>NM-01</v>
      </c>
      <c r="F32" s="3"/>
      <c r="G32" s="3">
        <v>30</v>
      </c>
      <c r="H32" s="3">
        <f t="shared" si="0"/>
        <v>-2017</v>
      </c>
      <c r="I32" s="4">
        <v>28.3</v>
      </c>
      <c r="J32" s="4">
        <f t="shared" si="1"/>
        <v>849</v>
      </c>
    </row>
    <row r="33" spans="1:14">
      <c r="A33" s="2">
        <v>46184</v>
      </c>
      <c r="B33" t="s">
        <v>73</v>
      </c>
      <c r="C33" t="s">
        <v>1</v>
      </c>
      <c r="D33" t="s">
        <v>76</v>
      </c>
      <c r="E33" t="str">
        <f>VLOOKUP(TablaMarimba[[#This Row],[Equipo]],Catalogos!$I$4:$J$34,2,FALSE)</f>
        <v>VG-01</v>
      </c>
      <c r="F33" s="3"/>
      <c r="G33" s="3">
        <v>136</v>
      </c>
      <c r="H33" s="3">
        <f t="shared" si="0"/>
        <v>-2153</v>
      </c>
      <c r="I33" s="4">
        <v>28.3</v>
      </c>
      <c r="J33" s="4">
        <f t="shared" si="1"/>
        <v>3848.8</v>
      </c>
    </row>
    <row r="34" spans="1:14">
      <c r="A34" s="2">
        <v>46184</v>
      </c>
      <c r="B34" t="s">
        <v>73</v>
      </c>
      <c r="C34" t="s">
        <v>1</v>
      </c>
      <c r="D34" t="s">
        <v>81</v>
      </c>
      <c r="E34" t="str">
        <f>VLOOKUP(TablaMarimba[[#This Row],[Equipo]],Catalogos!$I$4:$J$34,2,FALSE)</f>
        <v>BR-01</v>
      </c>
      <c r="F34" s="3"/>
      <c r="G34" s="3">
        <v>20</v>
      </c>
      <c r="H34" s="3">
        <f t="shared" si="0"/>
        <v>-2173</v>
      </c>
      <c r="I34" s="4">
        <v>28.3</v>
      </c>
      <c r="J34" s="4">
        <f t="shared" si="1"/>
        <v>566</v>
      </c>
    </row>
    <row r="35" spans="1:14">
      <c r="A35" s="2">
        <v>46184</v>
      </c>
      <c r="B35" t="s">
        <v>73</v>
      </c>
      <c r="C35" t="s">
        <v>1</v>
      </c>
      <c r="D35" t="s">
        <v>60</v>
      </c>
      <c r="E35" t="str">
        <f>VLOOKUP(TablaMarimba[[#This Row],[Equipo]],Catalogos!$I$4:$J$34,2,FALSE)</f>
        <v>RT-01</v>
      </c>
      <c r="F35" s="3"/>
      <c r="G35" s="3">
        <v>20</v>
      </c>
      <c r="H35" s="3">
        <f t="shared" si="0"/>
        <v>-2193</v>
      </c>
      <c r="I35" s="4">
        <v>28.3</v>
      </c>
      <c r="J35" s="4">
        <f t="shared" si="1"/>
        <v>566</v>
      </c>
    </row>
    <row r="36" spans="1:14">
      <c r="A36" s="2">
        <v>46184</v>
      </c>
      <c r="B36" t="s">
        <v>73</v>
      </c>
      <c r="C36" t="s">
        <v>1</v>
      </c>
      <c r="D36" t="s">
        <v>108</v>
      </c>
      <c r="E36" t="str">
        <f>VLOOKUP(TablaMarimba[[#This Row],[Equipo]],Catalogos!$I$4:$J$34,2,FALSE)</f>
        <v>MX-01</v>
      </c>
      <c r="F36" s="3"/>
      <c r="G36" s="3">
        <v>20</v>
      </c>
      <c r="H36" s="3">
        <f t="shared" si="0"/>
        <v>-2213</v>
      </c>
      <c r="I36" s="4">
        <v>28.3</v>
      </c>
      <c r="J36" s="4">
        <f t="shared" si="1"/>
        <v>566</v>
      </c>
    </row>
    <row r="37" spans="1:14">
      <c r="A37" s="2">
        <v>46185</v>
      </c>
      <c r="B37" t="s">
        <v>73</v>
      </c>
      <c r="C37" t="s">
        <v>3</v>
      </c>
      <c r="D37" t="s">
        <v>100</v>
      </c>
      <c r="E37" t="str">
        <f>VLOOKUP(TablaMarimba[[#This Row],[Equipo]],Catalogos!$I$4:$J$34,2,FALSE)</f>
        <v>TD-01</v>
      </c>
      <c r="F37" s="3"/>
      <c r="G37" s="3">
        <v>32</v>
      </c>
      <c r="H37" s="3">
        <f t="shared" ref="H37:H68" si="2">IF(ROW()=5,F37-G37,H36+F37-G37)</f>
        <v>-2245</v>
      </c>
      <c r="I37" s="4">
        <v>28.3</v>
      </c>
      <c r="J37" s="4">
        <f t="shared" ref="J37:J68" si="3">IFERROR((F37+G37)*I37,0)</f>
        <v>905.6</v>
      </c>
    </row>
    <row r="38" spans="1:14">
      <c r="A38" s="2">
        <v>46185</v>
      </c>
      <c r="B38" t="s">
        <v>73</v>
      </c>
      <c r="C38" t="s">
        <v>3</v>
      </c>
      <c r="D38" t="s">
        <v>102</v>
      </c>
      <c r="E38" t="str">
        <f>VLOOKUP(TablaMarimba[[#This Row],[Equipo]],Catalogos!$I$4:$J$34,2,FALSE)</f>
        <v>NM-02</v>
      </c>
      <c r="F38" s="3"/>
      <c r="G38" s="3">
        <v>30</v>
      </c>
      <c r="H38" s="3">
        <f t="shared" si="2"/>
        <v>-2275</v>
      </c>
      <c r="I38" s="4">
        <v>28.3</v>
      </c>
      <c r="J38" s="4">
        <f t="shared" si="3"/>
        <v>849</v>
      </c>
    </row>
    <row r="39" spans="1:14">
      <c r="A39" s="2">
        <v>46185</v>
      </c>
      <c r="B39" t="s">
        <v>73</v>
      </c>
      <c r="C39" t="s">
        <v>3</v>
      </c>
      <c r="D39" t="s">
        <v>91</v>
      </c>
      <c r="E39" t="str">
        <f>VLOOKUP(TablaMarimba[[#This Row],[Equipo]],Catalogos!$I$4:$J$34,2,FALSE)</f>
        <v>BR-02</v>
      </c>
      <c r="F39" s="3"/>
      <c r="G39" s="3">
        <v>30</v>
      </c>
      <c r="H39" s="3">
        <f t="shared" si="2"/>
        <v>-2305</v>
      </c>
      <c r="I39" s="4">
        <v>28.3</v>
      </c>
      <c r="J39" s="4">
        <f t="shared" si="3"/>
        <v>849</v>
      </c>
    </row>
    <row r="40" spans="1:14">
      <c r="A40" s="2">
        <v>46185</v>
      </c>
      <c r="B40" t="s">
        <v>73</v>
      </c>
      <c r="C40" t="s">
        <v>3</v>
      </c>
      <c r="D40" t="s">
        <v>93</v>
      </c>
      <c r="E40" t="str">
        <f>VLOOKUP(TablaMarimba[[#This Row],[Equipo]],Catalogos!$I$4:$J$34,2,FALSE)</f>
        <v>RT-02</v>
      </c>
      <c r="F40" s="3"/>
      <c r="G40" s="3">
        <v>50</v>
      </c>
      <c r="H40" s="3">
        <f t="shared" si="2"/>
        <v>-2355</v>
      </c>
      <c r="I40" s="4">
        <v>28.3</v>
      </c>
      <c r="J40" s="4">
        <f t="shared" si="3"/>
        <v>1415</v>
      </c>
    </row>
    <row r="41" spans="1:14">
      <c r="A41" s="2">
        <v>46185</v>
      </c>
      <c r="B41" t="s">
        <v>73</v>
      </c>
      <c r="C41" t="s">
        <v>3</v>
      </c>
      <c r="D41" t="s">
        <v>98</v>
      </c>
      <c r="E41" t="str">
        <f>VLOOKUP(TablaMarimba[[#This Row],[Equipo]],Catalogos!$I$4:$J$34,2,FALSE)</f>
        <v>VG-02</v>
      </c>
      <c r="F41" s="3"/>
      <c r="G41" s="3">
        <v>120</v>
      </c>
      <c r="H41" s="3">
        <f t="shared" si="2"/>
        <v>-2475</v>
      </c>
      <c r="I41" s="4">
        <v>28.3</v>
      </c>
      <c r="J41" s="4">
        <f t="shared" si="3"/>
        <v>3396</v>
      </c>
    </row>
    <row r="42" spans="1:14">
      <c r="A42" s="2">
        <v>46185</v>
      </c>
      <c r="B42" t="s">
        <v>73</v>
      </c>
      <c r="C42" t="s">
        <v>3</v>
      </c>
      <c r="D42" t="s">
        <v>104</v>
      </c>
      <c r="E42" t="str">
        <f>VLOOKUP(TablaMarimba[[#This Row],[Equipo]],Catalogos!$I$4:$J$34,2,FALSE)</f>
        <v>PT-02</v>
      </c>
      <c r="F42" s="3"/>
      <c r="G42" s="3">
        <v>40</v>
      </c>
      <c r="H42" s="3">
        <f t="shared" si="2"/>
        <v>-2515</v>
      </c>
      <c r="I42" s="4">
        <v>28.3</v>
      </c>
      <c r="J42" s="4">
        <f t="shared" si="3"/>
        <v>1132</v>
      </c>
    </row>
    <row r="43" spans="1:14">
      <c r="A43" s="2">
        <v>46185</v>
      </c>
      <c r="B43" t="s">
        <v>73</v>
      </c>
      <c r="C43" t="s">
        <v>3</v>
      </c>
      <c r="D43" t="s">
        <v>87</v>
      </c>
      <c r="E43" t="str">
        <f>VLOOKUP(TablaMarimba[[#This Row],[Equipo]],Catalogos!$I$4:$J$34,2,FALSE)</f>
        <v>PR-02</v>
      </c>
      <c r="F43" s="3"/>
      <c r="G43" s="3">
        <v>200</v>
      </c>
      <c r="H43" s="3">
        <f t="shared" si="2"/>
        <v>-2715</v>
      </c>
      <c r="I43" s="4">
        <v>28.3</v>
      </c>
      <c r="J43" s="4">
        <f t="shared" si="3"/>
        <v>5660</v>
      </c>
      <c r="N43" s="3">
        <f>SUM(G5:G48)</f>
        <v>3075</v>
      </c>
    </row>
    <row r="44" spans="1:14">
      <c r="A44" s="2">
        <v>46185</v>
      </c>
      <c r="B44" t="s">
        <v>73</v>
      </c>
      <c r="C44" t="s">
        <v>1</v>
      </c>
      <c r="D44" t="s">
        <v>81</v>
      </c>
      <c r="E44" t="str">
        <f>VLOOKUP(TablaMarimba[[#This Row],[Equipo]],Catalogos!$I$4:$J$34,2,FALSE)</f>
        <v>BR-01</v>
      </c>
      <c r="F44" s="3"/>
      <c r="G44" s="3">
        <v>20</v>
      </c>
      <c r="H44" s="3">
        <f t="shared" si="2"/>
        <v>-2735</v>
      </c>
      <c r="I44" s="4">
        <v>28.3</v>
      </c>
      <c r="J44" s="4">
        <f t="shared" si="3"/>
        <v>566</v>
      </c>
    </row>
    <row r="45" spans="1:14">
      <c r="A45" s="2">
        <v>46185</v>
      </c>
      <c r="B45" t="s">
        <v>73</v>
      </c>
      <c r="C45" t="s">
        <v>1</v>
      </c>
      <c r="D45" t="s">
        <v>97</v>
      </c>
      <c r="E45" t="str">
        <f>VLOOKUP(TablaMarimba[[#This Row],[Equipo]],Catalogos!$I$4:$J$34,2,FALSE)</f>
        <v>NM-01</v>
      </c>
      <c r="F45" s="3"/>
      <c r="G45" s="3">
        <v>30</v>
      </c>
      <c r="H45" s="3">
        <f t="shared" si="2"/>
        <v>-2765</v>
      </c>
      <c r="I45" s="4">
        <v>28.3</v>
      </c>
      <c r="J45" s="4">
        <f t="shared" si="3"/>
        <v>849</v>
      </c>
    </row>
    <row r="46" spans="1:14">
      <c r="A46" s="2">
        <v>46185</v>
      </c>
      <c r="B46" t="s">
        <v>73</v>
      </c>
      <c r="C46" t="s">
        <v>1</v>
      </c>
      <c r="D46" t="s">
        <v>108</v>
      </c>
      <c r="E46" t="str">
        <f>VLOOKUP(TablaMarimba[[#This Row],[Equipo]],Catalogos!$I$4:$J$34,2,FALSE)</f>
        <v>MX-01</v>
      </c>
      <c r="F46" s="3"/>
      <c r="G46" s="3">
        <v>20</v>
      </c>
      <c r="H46" s="3">
        <f t="shared" si="2"/>
        <v>-2785</v>
      </c>
      <c r="I46" s="4">
        <v>28.3</v>
      </c>
      <c r="J46" s="4">
        <f t="shared" si="3"/>
        <v>566</v>
      </c>
    </row>
    <row r="47" spans="1:14">
      <c r="A47" s="2">
        <v>46185</v>
      </c>
      <c r="B47" t="s">
        <v>73</v>
      </c>
      <c r="C47" t="s">
        <v>1</v>
      </c>
      <c r="D47" t="s">
        <v>51</v>
      </c>
      <c r="E47" t="str">
        <f>VLOOKUP(TablaMarimba[[#This Row],[Equipo]],Catalogos!$I$4:$J$34,2,FALSE)</f>
        <v>CP-01</v>
      </c>
      <c r="F47" s="3"/>
      <c r="G47" s="3">
        <v>40</v>
      </c>
      <c r="H47" s="3">
        <f t="shared" si="2"/>
        <v>-2825</v>
      </c>
      <c r="I47" s="4">
        <v>28.3</v>
      </c>
      <c r="J47" s="4">
        <f t="shared" si="3"/>
        <v>1132</v>
      </c>
    </row>
    <row r="48" spans="1:14">
      <c r="A48" s="2">
        <v>46185</v>
      </c>
      <c r="B48" t="s">
        <v>73</v>
      </c>
      <c r="C48" t="s">
        <v>1</v>
      </c>
      <c r="D48" t="s">
        <v>80</v>
      </c>
      <c r="E48" t="str">
        <f>VLOOKUP(TablaMarimba[[#This Row],[Equipo]],Catalogos!$I$4:$J$34,2,FALSE)</f>
        <v>PR-01</v>
      </c>
      <c r="F48" s="3"/>
      <c r="G48" s="3">
        <v>250</v>
      </c>
      <c r="H48" s="3">
        <f t="shared" si="2"/>
        <v>-3075</v>
      </c>
      <c r="I48" s="4">
        <v>28.3</v>
      </c>
      <c r="J48" s="4">
        <f t="shared" si="3"/>
        <v>7075</v>
      </c>
    </row>
    <row r="49" spans="1:10">
      <c r="A49" s="2"/>
      <c r="E49" t="e">
        <f>VLOOKUP(TablaMarimba[[#This Row],[Equipo]],Catalogos!$I$4:$J$34,2,FALSE)</f>
        <v>#N/A</v>
      </c>
      <c r="F49" s="3"/>
      <c r="G49" s="3"/>
      <c r="H49" s="3">
        <f t="shared" si="2"/>
        <v>-3075</v>
      </c>
      <c r="I49" s="4">
        <v>28.3</v>
      </c>
      <c r="J49" s="4">
        <f t="shared" si="3"/>
        <v>0</v>
      </c>
    </row>
    <row r="50" spans="1:10">
      <c r="A50" s="2"/>
      <c r="E50" t="e">
        <f>VLOOKUP(TablaMarimba[[#This Row],[Equipo]],Catalogos!$I$4:$J$34,2,FALSE)</f>
        <v>#N/A</v>
      </c>
      <c r="F50" s="3"/>
      <c r="G50" s="3"/>
      <c r="H50" s="3">
        <f t="shared" si="2"/>
        <v>-3075</v>
      </c>
      <c r="I50" s="4">
        <v>28.3</v>
      </c>
      <c r="J50" s="4">
        <f t="shared" si="3"/>
        <v>0</v>
      </c>
    </row>
    <row r="51" spans="1:10">
      <c r="A51" s="2"/>
      <c r="E51" t="e">
        <f>VLOOKUP(TablaMarimba[[#This Row],[Equipo]],Catalogos!$I$4:$J$34,2,FALSE)</f>
        <v>#N/A</v>
      </c>
      <c r="F51" s="3"/>
      <c r="G51" s="3"/>
      <c r="H51" s="3">
        <f t="shared" si="2"/>
        <v>-3075</v>
      </c>
      <c r="I51" s="4">
        <v>28.3</v>
      </c>
      <c r="J51" s="4">
        <f t="shared" si="3"/>
        <v>0</v>
      </c>
    </row>
    <row r="52" spans="1:10">
      <c r="A52" s="2"/>
      <c r="E52" t="e">
        <f>VLOOKUP(TablaMarimba[[#This Row],[Equipo]],Catalogos!$I$4:$J$34,2,FALSE)</f>
        <v>#N/A</v>
      </c>
      <c r="F52" s="3"/>
      <c r="G52" s="3"/>
      <c r="H52" s="3">
        <f t="shared" si="2"/>
        <v>-3075</v>
      </c>
      <c r="I52" s="4">
        <v>28.3</v>
      </c>
      <c r="J52" s="4">
        <f t="shared" si="3"/>
        <v>0</v>
      </c>
    </row>
    <row r="53" spans="1:10">
      <c r="A53" s="2"/>
      <c r="E53" t="e">
        <f>VLOOKUP(TablaMarimba[[#This Row],[Equipo]],Catalogos!$I$4:$J$34,2,FALSE)</f>
        <v>#N/A</v>
      </c>
      <c r="F53" s="3"/>
      <c r="G53" s="3"/>
      <c r="H53" s="3">
        <f t="shared" si="2"/>
        <v>-3075</v>
      </c>
      <c r="I53" s="4">
        <v>28.3</v>
      </c>
      <c r="J53" s="4">
        <f t="shared" si="3"/>
        <v>0</v>
      </c>
    </row>
    <row r="54" spans="1:10">
      <c r="A54" s="2"/>
      <c r="E54" t="e">
        <f>VLOOKUP(TablaMarimba[[#This Row],[Equipo]],Catalogos!$I$4:$J$34,2,FALSE)</f>
        <v>#N/A</v>
      </c>
      <c r="F54" s="3"/>
      <c r="G54" s="3"/>
      <c r="H54" s="3">
        <f t="shared" si="2"/>
        <v>-3075</v>
      </c>
      <c r="I54" s="4">
        <v>28.3</v>
      </c>
      <c r="J54" s="4">
        <f t="shared" si="3"/>
        <v>0</v>
      </c>
    </row>
    <row r="55" spans="1:10">
      <c r="A55" s="2"/>
      <c r="E55" t="e">
        <f>VLOOKUP(TablaMarimba[[#This Row],[Equipo]],Catalogos!$I$4:$J$34,2,FALSE)</f>
        <v>#N/A</v>
      </c>
      <c r="F55" s="3"/>
      <c r="G55" s="3"/>
      <c r="H55" s="3">
        <f t="shared" si="2"/>
        <v>-3075</v>
      </c>
      <c r="I55" s="4">
        <v>28.3</v>
      </c>
      <c r="J55" s="4">
        <f t="shared" si="3"/>
        <v>0</v>
      </c>
    </row>
    <row r="56" spans="1:10">
      <c r="A56" s="2"/>
      <c r="E56" t="e">
        <f>VLOOKUP(TablaMarimba[[#This Row],[Equipo]],Catalogos!$I$4:$J$34,2,FALSE)</f>
        <v>#N/A</v>
      </c>
      <c r="F56" s="3"/>
      <c r="G56" s="3"/>
      <c r="H56" s="3">
        <f t="shared" si="2"/>
        <v>-3075</v>
      </c>
      <c r="I56" s="4">
        <v>28.3</v>
      </c>
      <c r="J56" s="4">
        <f t="shared" si="3"/>
        <v>0</v>
      </c>
    </row>
    <row r="57" spans="1:10">
      <c r="A57" s="2"/>
      <c r="E57" t="e">
        <f>VLOOKUP(TablaMarimba[[#This Row],[Equipo]],Catalogos!$I$4:$J$34,2,FALSE)</f>
        <v>#N/A</v>
      </c>
      <c r="F57" s="3"/>
      <c r="G57" s="3"/>
      <c r="H57" s="3">
        <f t="shared" si="2"/>
        <v>-3075</v>
      </c>
      <c r="I57" s="4">
        <v>28.3</v>
      </c>
      <c r="J57" s="4">
        <f t="shared" si="3"/>
        <v>0</v>
      </c>
    </row>
    <row r="58" spans="1:10">
      <c r="A58" s="2"/>
      <c r="E58" t="e">
        <f>VLOOKUP(TablaMarimba[[#This Row],[Equipo]],Catalogos!$I$4:$J$34,2,FALSE)</f>
        <v>#N/A</v>
      </c>
      <c r="F58" s="3"/>
      <c r="G58" s="3"/>
      <c r="H58" s="3">
        <f t="shared" si="2"/>
        <v>-3075</v>
      </c>
      <c r="I58" s="4">
        <v>28.3</v>
      </c>
      <c r="J58" s="4">
        <f t="shared" si="3"/>
        <v>0</v>
      </c>
    </row>
    <row r="59" spans="1:10">
      <c r="A59" s="2"/>
      <c r="E59" t="e">
        <f>VLOOKUP(TablaMarimba[[#This Row],[Equipo]],Catalogos!$I$4:$J$34,2,FALSE)</f>
        <v>#N/A</v>
      </c>
      <c r="F59" s="3"/>
      <c r="G59" s="3"/>
      <c r="H59" s="3">
        <f t="shared" si="2"/>
        <v>-3075</v>
      </c>
      <c r="I59" s="4">
        <v>28.3</v>
      </c>
      <c r="J59" s="4">
        <f t="shared" si="3"/>
        <v>0</v>
      </c>
    </row>
    <row r="60" spans="1:10">
      <c r="A60" s="2"/>
      <c r="E60" t="e">
        <f>VLOOKUP(TablaMarimba[[#This Row],[Equipo]],Catalogos!$I$4:$J$34,2,FALSE)</f>
        <v>#N/A</v>
      </c>
      <c r="F60" s="3"/>
      <c r="G60" s="3"/>
      <c r="H60" s="3">
        <f t="shared" si="2"/>
        <v>-3075</v>
      </c>
      <c r="I60" s="4">
        <v>28.3</v>
      </c>
      <c r="J60" s="4">
        <f t="shared" si="3"/>
        <v>0</v>
      </c>
    </row>
    <row r="61" spans="1:10">
      <c r="A61" s="2"/>
      <c r="E61" t="e">
        <f>VLOOKUP(TablaMarimba[[#This Row],[Equipo]],Catalogos!$I$4:$J$34,2,FALSE)</f>
        <v>#N/A</v>
      </c>
      <c r="F61" s="3"/>
      <c r="G61" s="3"/>
      <c r="H61" s="3">
        <f t="shared" si="2"/>
        <v>-3075</v>
      </c>
      <c r="I61" s="4">
        <v>28.3</v>
      </c>
      <c r="J61" s="4">
        <f t="shared" si="3"/>
        <v>0</v>
      </c>
    </row>
    <row r="62" spans="1:10">
      <c r="A62" s="2"/>
      <c r="E62" t="e">
        <f>VLOOKUP(TablaMarimba[[#This Row],[Equipo]],Catalogos!$I$4:$J$34,2,FALSE)</f>
        <v>#N/A</v>
      </c>
      <c r="F62" s="3"/>
      <c r="G62" s="3"/>
      <c r="H62" s="3">
        <f t="shared" si="2"/>
        <v>-3075</v>
      </c>
      <c r="I62" s="4">
        <v>28.3</v>
      </c>
      <c r="J62" s="4">
        <f t="shared" si="3"/>
        <v>0</v>
      </c>
    </row>
    <row r="63" spans="1:10">
      <c r="A63" s="2"/>
      <c r="E63" t="e">
        <f>VLOOKUP(TablaMarimba[[#This Row],[Equipo]],Catalogos!$I$4:$J$34,2,FALSE)</f>
        <v>#N/A</v>
      </c>
      <c r="F63" s="3"/>
      <c r="G63" s="3"/>
      <c r="H63" s="3">
        <f t="shared" si="2"/>
        <v>-3075</v>
      </c>
      <c r="I63" s="4">
        <v>28.3</v>
      </c>
      <c r="J63" s="4">
        <f t="shared" si="3"/>
        <v>0</v>
      </c>
    </row>
    <row r="64" spans="1:10">
      <c r="A64" s="2"/>
      <c r="E64" t="e">
        <f>VLOOKUP(TablaMarimba[[#This Row],[Equipo]],Catalogos!$I$4:$J$34,2,FALSE)</f>
        <v>#N/A</v>
      </c>
      <c r="F64" s="3"/>
      <c r="G64" s="3"/>
      <c r="H64" s="3">
        <f t="shared" si="2"/>
        <v>-3075</v>
      </c>
      <c r="I64" s="4">
        <v>28.3</v>
      </c>
      <c r="J64" s="4">
        <f t="shared" si="3"/>
        <v>0</v>
      </c>
    </row>
    <row r="65" spans="1:10">
      <c r="A65" s="2"/>
      <c r="E65" t="e">
        <f>VLOOKUP(TablaMarimba[[#This Row],[Equipo]],Catalogos!$I$4:$J$34,2,FALSE)</f>
        <v>#N/A</v>
      </c>
      <c r="F65" s="3"/>
      <c r="G65" s="3"/>
      <c r="H65" s="3">
        <f t="shared" si="2"/>
        <v>-3075</v>
      </c>
      <c r="I65" s="4">
        <v>28.3</v>
      </c>
      <c r="J65" s="4">
        <f t="shared" si="3"/>
        <v>0</v>
      </c>
    </row>
    <row r="66" spans="1:10">
      <c r="A66" s="2"/>
      <c r="E66" t="e">
        <f>VLOOKUP(TablaMarimba[[#This Row],[Equipo]],Catalogos!$I$4:$J$34,2,FALSE)</f>
        <v>#N/A</v>
      </c>
      <c r="F66" s="3"/>
      <c r="G66" s="3"/>
      <c r="H66" s="3">
        <f t="shared" si="2"/>
        <v>-3075</v>
      </c>
      <c r="I66" s="4">
        <v>28.3</v>
      </c>
      <c r="J66" s="4">
        <f t="shared" si="3"/>
        <v>0</v>
      </c>
    </row>
    <row r="67" spans="1:10">
      <c r="A67" s="2"/>
      <c r="E67" t="e">
        <f>VLOOKUP(TablaMarimba[[#This Row],[Equipo]],Catalogos!$I$4:$J$34,2,FALSE)</f>
        <v>#N/A</v>
      </c>
      <c r="F67" s="3"/>
      <c r="G67" s="3"/>
      <c r="H67" s="3">
        <f t="shared" si="2"/>
        <v>-3075</v>
      </c>
      <c r="I67" s="4">
        <v>28.3</v>
      </c>
      <c r="J67" s="4">
        <f t="shared" si="3"/>
        <v>0</v>
      </c>
    </row>
    <row r="68" spans="1:10">
      <c r="A68" s="2"/>
      <c r="E68" t="e">
        <f>VLOOKUP(TablaMarimba[[#This Row],[Equipo]],Catalogos!$I$4:$J$34,2,FALSE)</f>
        <v>#N/A</v>
      </c>
      <c r="F68" s="3"/>
      <c r="G68" s="3"/>
      <c r="H68" s="3">
        <f t="shared" si="2"/>
        <v>-3075</v>
      </c>
      <c r="I68" s="4">
        <v>28.3</v>
      </c>
      <c r="J68" s="4">
        <f t="shared" si="3"/>
        <v>0</v>
      </c>
    </row>
    <row r="69" spans="1:10">
      <c r="A69" s="2"/>
      <c r="E69" t="e">
        <f>VLOOKUP(TablaMarimba[[#This Row],[Equipo]],Catalogos!$I$4:$J$34,2,FALSE)</f>
        <v>#N/A</v>
      </c>
      <c r="F69" s="3"/>
      <c r="G69" s="3"/>
      <c r="H69" s="3">
        <f t="shared" ref="H69:H100" si="4">IF(ROW()=5,F69-G69,H68+F69-G69)</f>
        <v>-3075</v>
      </c>
      <c r="I69" s="4">
        <v>28.3</v>
      </c>
      <c r="J69" s="4">
        <f t="shared" ref="J69:J100" si="5">IFERROR((F69+G69)*I69,0)</f>
        <v>0</v>
      </c>
    </row>
    <row r="70" spans="1:10">
      <c r="A70" s="2"/>
      <c r="E70" t="e">
        <f>VLOOKUP(TablaMarimba[[#This Row],[Equipo]],Catalogos!$I$4:$J$34,2,FALSE)</f>
        <v>#N/A</v>
      </c>
      <c r="F70" s="3"/>
      <c r="G70" s="3"/>
      <c r="H70" s="3">
        <f t="shared" si="4"/>
        <v>-3075</v>
      </c>
      <c r="I70" s="4">
        <v>28.3</v>
      </c>
      <c r="J70" s="4">
        <f t="shared" si="5"/>
        <v>0</v>
      </c>
    </row>
    <row r="71" spans="1:10">
      <c r="A71" s="2"/>
      <c r="E71" t="e">
        <f>VLOOKUP(TablaMarimba[[#This Row],[Equipo]],Catalogos!$I$4:$J$34,2,FALSE)</f>
        <v>#N/A</v>
      </c>
      <c r="F71" s="3"/>
      <c r="G71" s="3"/>
      <c r="H71" s="3">
        <f t="shared" si="4"/>
        <v>-3075</v>
      </c>
      <c r="I71" s="4">
        <v>28.3</v>
      </c>
      <c r="J71" s="4">
        <f t="shared" si="5"/>
        <v>0</v>
      </c>
    </row>
    <row r="72" spans="1:10">
      <c r="A72" s="2"/>
      <c r="E72" t="e">
        <f>VLOOKUP(TablaMarimba[[#This Row],[Equipo]],Catalogos!$I$4:$J$34,2,FALSE)</f>
        <v>#N/A</v>
      </c>
      <c r="F72" s="3"/>
      <c r="G72" s="3"/>
      <c r="H72" s="3">
        <f t="shared" si="4"/>
        <v>-3075</v>
      </c>
      <c r="I72" s="4">
        <v>28.3</v>
      </c>
      <c r="J72" s="4">
        <f t="shared" si="5"/>
        <v>0</v>
      </c>
    </row>
    <row r="73" spans="1:10">
      <c r="A73" s="2"/>
      <c r="E73" t="e">
        <f>VLOOKUP(TablaMarimba[[#This Row],[Equipo]],Catalogos!$I$4:$J$34,2,FALSE)</f>
        <v>#N/A</v>
      </c>
      <c r="F73" s="3"/>
      <c r="G73" s="3"/>
      <c r="H73" s="3">
        <f t="shared" si="4"/>
        <v>-3075</v>
      </c>
      <c r="I73" s="4">
        <v>28.3</v>
      </c>
      <c r="J73" s="4">
        <f t="shared" si="5"/>
        <v>0</v>
      </c>
    </row>
    <row r="74" spans="1:10">
      <c r="A74" s="2"/>
      <c r="E74" t="e">
        <f>VLOOKUP(TablaMarimba[[#This Row],[Equipo]],Catalogos!$I$4:$J$34,2,FALSE)</f>
        <v>#N/A</v>
      </c>
      <c r="F74" s="3"/>
      <c r="G74" s="3"/>
      <c r="H74" s="3">
        <f t="shared" si="4"/>
        <v>-3075</v>
      </c>
      <c r="I74" s="4">
        <v>28.3</v>
      </c>
      <c r="J74" s="4">
        <f t="shared" si="5"/>
        <v>0</v>
      </c>
    </row>
    <row r="75" spans="1:10">
      <c r="A75" s="2"/>
      <c r="E75" t="e">
        <f>VLOOKUP(TablaMarimba[[#This Row],[Equipo]],Catalogos!$I$4:$J$34,2,FALSE)</f>
        <v>#N/A</v>
      </c>
      <c r="F75" s="3"/>
      <c r="G75" s="3"/>
      <c r="H75" s="3">
        <f t="shared" si="4"/>
        <v>-3075</v>
      </c>
      <c r="I75" s="4">
        <v>28.3</v>
      </c>
      <c r="J75" s="4">
        <f t="shared" si="5"/>
        <v>0</v>
      </c>
    </row>
    <row r="76" spans="1:10">
      <c r="A76" s="2"/>
      <c r="E76" t="e">
        <f>VLOOKUP(TablaMarimba[[#This Row],[Equipo]],Catalogos!$I$4:$J$34,2,FALSE)</f>
        <v>#N/A</v>
      </c>
      <c r="F76" s="3"/>
      <c r="G76" s="3"/>
      <c r="H76" s="3">
        <f t="shared" si="4"/>
        <v>-3075</v>
      </c>
      <c r="I76" s="4">
        <v>28.3</v>
      </c>
      <c r="J76" s="4">
        <f t="shared" si="5"/>
        <v>0</v>
      </c>
    </row>
    <row r="77" spans="1:10">
      <c r="A77" s="2"/>
      <c r="E77" t="e">
        <f>VLOOKUP(TablaMarimba[[#This Row],[Equipo]],Catalogos!$I$4:$J$34,2,FALSE)</f>
        <v>#N/A</v>
      </c>
      <c r="F77" s="3"/>
      <c r="G77" s="3"/>
      <c r="H77" s="3">
        <f t="shared" si="4"/>
        <v>-3075</v>
      </c>
      <c r="I77" s="4">
        <v>28.3</v>
      </c>
      <c r="J77" s="4">
        <f t="shared" si="5"/>
        <v>0</v>
      </c>
    </row>
    <row r="78" spans="1:10">
      <c r="A78" s="2"/>
      <c r="E78" t="e">
        <f>VLOOKUP(TablaMarimba[[#This Row],[Equipo]],Catalogos!$I$4:$J$34,2,FALSE)</f>
        <v>#N/A</v>
      </c>
      <c r="F78" s="3"/>
      <c r="G78" s="3"/>
      <c r="H78" s="3">
        <f t="shared" si="4"/>
        <v>-3075</v>
      </c>
      <c r="I78" s="4">
        <v>28.3</v>
      </c>
      <c r="J78" s="4">
        <f t="shared" si="5"/>
        <v>0</v>
      </c>
    </row>
    <row r="79" spans="1:10">
      <c r="A79" s="2"/>
      <c r="E79" t="e">
        <f>VLOOKUP(TablaMarimba[[#This Row],[Equipo]],Catalogos!$I$4:$J$34,2,FALSE)</f>
        <v>#N/A</v>
      </c>
      <c r="F79" s="3"/>
      <c r="G79" s="3"/>
      <c r="H79" s="3">
        <f t="shared" si="4"/>
        <v>-3075</v>
      </c>
      <c r="I79" s="4">
        <v>28.3</v>
      </c>
      <c r="J79" s="4">
        <f t="shared" si="5"/>
        <v>0</v>
      </c>
    </row>
    <row r="80" spans="1:10">
      <c r="A80" s="2"/>
      <c r="E80" t="e">
        <f>VLOOKUP(TablaMarimba[[#This Row],[Equipo]],Catalogos!$I$4:$J$34,2,FALSE)</f>
        <v>#N/A</v>
      </c>
      <c r="F80" s="3"/>
      <c r="G80" s="3"/>
      <c r="H80" s="3">
        <f t="shared" si="4"/>
        <v>-3075</v>
      </c>
      <c r="I80" s="4">
        <v>28.3</v>
      </c>
      <c r="J80" s="4">
        <f t="shared" si="5"/>
        <v>0</v>
      </c>
    </row>
    <row r="81" spans="1:10">
      <c r="A81" s="2"/>
      <c r="E81" t="e">
        <f>VLOOKUP(TablaMarimba[[#This Row],[Equipo]],Catalogos!$I$4:$J$34,2,FALSE)</f>
        <v>#N/A</v>
      </c>
      <c r="F81" s="3"/>
      <c r="G81" s="3"/>
      <c r="H81" s="3">
        <f t="shared" si="4"/>
        <v>-3075</v>
      </c>
      <c r="I81" s="4">
        <v>28.3</v>
      </c>
      <c r="J81" s="4">
        <f t="shared" si="5"/>
        <v>0</v>
      </c>
    </row>
    <row r="82" spans="1:10">
      <c r="A82" s="2"/>
      <c r="E82" t="e">
        <f>VLOOKUP(TablaMarimba[[#This Row],[Equipo]],Catalogos!$I$4:$J$34,2,FALSE)</f>
        <v>#N/A</v>
      </c>
      <c r="F82" s="3"/>
      <c r="G82" s="3"/>
      <c r="H82" s="3">
        <f t="shared" si="4"/>
        <v>-3075</v>
      </c>
      <c r="I82" s="4">
        <v>28.3</v>
      </c>
      <c r="J82" s="4">
        <f t="shared" si="5"/>
        <v>0</v>
      </c>
    </row>
    <row r="83" spans="1:10">
      <c r="A83" s="2"/>
      <c r="E83" t="e">
        <f>VLOOKUP(TablaMarimba[[#This Row],[Equipo]],Catalogos!$I$4:$J$34,2,FALSE)</f>
        <v>#N/A</v>
      </c>
      <c r="F83" s="3"/>
      <c r="G83" s="3"/>
      <c r="H83" s="3">
        <f t="shared" si="4"/>
        <v>-3075</v>
      </c>
      <c r="I83" s="4">
        <v>28.3</v>
      </c>
      <c r="J83" s="4">
        <f t="shared" si="5"/>
        <v>0</v>
      </c>
    </row>
    <row r="84" spans="1:10">
      <c r="A84" s="2"/>
      <c r="E84" t="e">
        <f>VLOOKUP(TablaMarimba[[#This Row],[Equipo]],Catalogos!$I$4:$J$34,2,FALSE)</f>
        <v>#N/A</v>
      </c>
      <c r="F84" s="3"/>
      <c r="G84" s="3"/>
      <c r="H84" s="3">
        <f t="shared" si="4"/>
        <v>-3075</v>
      </c>
      <c r="I84" s="4">
        <v>28.3</v>
      </c>
      <c r="J84" s="4">
        <f t="shared" si="5"/>
        <v>0</v>
      </c>
    </row>
    <row r="85" spans="1:10">
      <c r="A85" s="2"/>
      <c r="E85" t="e">
        <f>VLOOKUP(TablaMarimba[[#This Row],[Equipo]],Catalogos!$I$4:$J$34,2,FALSE)</f>
        <v>#N/A</v>
      </c>
      <c r="F85" s="3"/>
      <c r="G85" s="3"/>
      <c r="H85" s="3">
        <f t="shared" si="4"/>
        <v>-3075</v>
      </c>
      <c r="I85" s="4">
        <v>28.3</v>
      </c>
      <c r="J85" s="4">
        <f t="shared" si="5"/>
        <v>0</v>
      </c>
    </row>
    <row r="86" spans="1:10">
      <c r="A86" s="2"/>
      <c r="E86" t="e">
        <f>VLOOKUP(TablaMarimba[[#This Row],[Equipo]],Catalogos!$I$4:$J$34,2,FALSE)</f>
        <v>#N/A</v>
      </c>
      <c r="F86" s="3"/>
      <c r="G86" s="3"/>
      <c r="H86" s="3">
        <f t="shared" si="4"/>
        <v>-3075</v>
      </c>
      <c r="I86" s="4">
        <v>28.3</v>
      </c>
      <c r="J86" s="4">
        <f t="shared" si="5"/>
        <v>0</v>
      </c>
    </row>
    <row r="87" spans="1:10">
      <c r="A87" s="2"/>
      <c r="E87" t="e">
        <f>VLOOKUP(TablaMarimba[[#This Row],[Equipo]],Catalogos!$I$4:$J$34,2,FALSE)</f>
        <v>#N/A</v>
      </c>
      <c r="F87" s="3"/>
      <c r="G87" s="3"/>
      <c r="H87" s="3">
        <f t="shared" si="4"/>
        <v>-3075</v>
      </c>
      <c r="I87" s="4">
        <v>28.3</v>
      </c>
      <c r="J87" s="4">
        <f t="shared" si="5"/>
        <v>0</v>
      </c>
    </row>
    <row r="88" spans="1:10">
      <c r="A88" s="2"/>
      <c r="E88" t="e">
        <f>VLOOKUP(TablaMarimba[[#This Row],[Equipo]],Catalogos!$I$4:$J$34,2,FALSE)</f>
        <v>#N/A</v>
      </c>
      <c r="F88" s="3"/>
      <c r="G88" s="3"/>
      <c r="H88" s="3">
        <f t="shared" si="4"/>
        <v>-3075</v>
      </c>
      <c r="I88" s="4">
        <v>28.3</v>
      </c>
      <c r="J88" s="4">
        <f t="shared" si="5"/>
        <v>0</v>
      </c>
    </row>
    <row r="89" spans="1:10">
      <c r="A89" s="2"/>
      <c r="E89" t="e">
        <f>VLOOKUP(TablaMarimba[[#This Row],[Equipo]],Catalogos!$I$4:$J$34,2,FALSE)</f>
        <v>#N/A</v>
      </c>
      <c r="F89" s="3"/>
      <c r="G89" s="3"/>
      <c r="H89" s="3">
        <f t="shared" si="4"/>
        <v>-3075</v>
      </c>
      <c r="I89" s="4">
        <v>28.3</v>
      </c>
      <c r="J89" s="4">
        <f t="shared" si="5"/>
        <v>0</v>
      </c>
    </row>
    <row r="90" spans="1:10">
      <c r="A90" s="2"/>
      <c r="E90" t="e">
        <f>VLOOKUP(TablaMarimba[[#This Row],[Equipo]],Catalogos!$I$4:$J$34,2,FALSE)</f>
        <v>#N/A</v>
      </c>
      <c r="F90" s="3"/>
      <c r="G90" s="3"/>
      <c r="H90" s="3">
        <f t="shared" si="4"/>
        <v>-3075</v>
      </c>
      <c r="I90" s="4">
        <v>28.3</v>
      </c>
      <c r="J90" s="4">
        <f t="shared" si="5"/>
        <v>0</v>
      </c>
    </row>
    <row r="91" spans="1:10">
      <c r="A91" s="2"/>
      <c r="E91" t="e">
        <f>VLOOKUP(TablaMarimba[[#This Row],[Equipo]],Catalogos!$I$4:$J$34,2,FALSE)</f>
        <v>#N/A</v>
      </c>
      <c r="F91" s="3"/>
      <c r="G91" s="3"/>
      <c r="H91" s="3">
        <f t="shared" si="4"/>
        <v>-3075</v>
      </c>
      <c r="I91" s="4">
        <v>28.3</v>
      </c>
      <c r="J91" s="4">
        <f t="shared" si="5"/>
        <v>0</v>
      </c>
    </row>
    <row r="92" spans="1:10">
      <c r="A92" s="2"/>
      <c r="E92" t="e">
        <f>VLOOKUP(TablaMarimba[[#This Row],[Equipo]],Catalogos!$I$4:$J$34,2,FALSE)</f>
        <v>#N/A</v>
      </c>
      <c r="F92" s="3"/>
      <c r="G92" s="3"/>
      <c r="H92" s="3">
        <f t="shared" si="4"/>
        <v>-3075</v>
      </c>
      <c r="I92" s="4">
        <v>28.3</v>
      </c>
      <c r="J92" s="4">
        <f t="shared" si="5"/>
        <v>0</v>
      </c>
    </row>
    <row r="93" spans="1:10">
      <c r="A93" s="2"/>
      <c r="E93" t="e">
        <f>VLOOKUP(TablaMarimba[[#This Row],[Equipo]],Catalogos!$I$4:$J$34,2,FALSE)</f>
        <v>#N/A</v>
      </c>
      <c r="F93" s="3"/>
      <c r="G93" s="3"/>
      <c r="H93" s="3">
        <f t="shared" si="4"/>
        <v>-3075</v>
      </c>
      <c r="I93" s="4">
        <v>28.3</v>
      </c>
      <c r="J93" s="4">
        <f t="shared" si="5"/>
        <v>0</v>
      </c>
    </row>
    <row r="94" spans="1:10">
      <c r="A94" s="2"/>
      <c r="E94" t="e">
        <f>VLOOKUP(TablaMarimba[[#This Row],[Equipo]],Catalogos!$I$4:$J$34,2,FALSE)</f>
        <v>#N/A</v>
      </c>
      <c r="F94" s="3"/>
      <c r="G94" s="3"/>
      <c r="H94" s="3">
        <f t="shared" si="4"/>
        <v>-3075</v>
      </c>
      <c r="I94" s="4">
        <v>28.3</v>
      </c>
      <c r="J94" s="4">
        <f t="shared" si="5"/>
        <v>0</v>
      </c>
    </row>
    <row r="95" spans="1:10">
      <c r="A95" s="2"/>
      <c r="E95" t="e">
        <f>VLOOKUP(TablaMarimba[[#This Row],[Equipo]],Catalogos!$I$4:$J$34,2,FALSE)</f>
        <v>#N/A</v>
      </c>
      <c r="F95" s="3"/>
      <c r="G95" s="3"/>
      <c r="H95" s="3">
        <f t="shared" si="4"/>
        <v>-3075</v>
      </c>
      <c r="I95" s="4">
        <v>28.3</v>
      </c>
      <c r="J95" s="4">
        <f t="shared" si="5"/>
        <v>0</v>
      </c>
    </row>
    <row r="96" spans="1:10">
      <c r="A96" s="2"/>
      <c r="E96" t="e">
        <f>VLOOKUP(TablaMarimba[[#This Row],[Equipo]],Catalogos!$I$4:$J$34,2,FALSE)</f>
        <v>#N/A</v>
      </c>
      <c r="F96" s="3"/>
      <c r="G96" s="3"/>
      <c r="H96" s="3">
        <f t="shared" si="4"/>
        <v>-3075</v>
      </c>
      <c r="I96" s="4">
        <v>28.3</v>
      </c>
      <c r="J96" s="4">
        <f t="shared" si="5"/>
        <v>0</v>
      </c>
    </row>
    <row r="97" spans="1:10">
      <c r="A97" s="2"/>
      <c r="E97" t="e">
        <f>VLOOKUP(TablaMarimba[[#This Row],[Equipo]],Catalogos!$I$4:$J$34,2,FALSE)</f>
        <v>#N/A</v>
      </c>
      <c r="F97" s="3"/>
      <c r="G97" s="3"/>
      <c r="H97" s="3">
        <f t="shared" si="4"/>
        <v>-3075</v>
      </c>
      <c r="I97" s="4">
        <v>28.3</v>
      </c>
      <c r="J97" s="4">
        <f t="shared" si="5"/>
        <v>0</v>
      </c>
    </row>
    <row r="98" spans="1:10">
      <c r="A98" s="2"/>
      <c r="E98" t="e">
        <f>VLOOKUP(TablaMarimba[[#This Row],[Equipo]],Catalogos!$I$4:$J$34,2,FALSE)</f>
        <v>#N/A</v>
      </c>
      <c r="F98" s="3"/>
      <c r="G98" s="3"/>
      <c r="H98" s="3">
        <f t="shared" si="4"/>
        <v>-3075</v>
      </c>
      <c r="I98" s="4">
        <v>28.3</v>
      </c>
      <c r="J98" s="4">
        <f t="shared" si="5"/>
        <v>0</v>
      </c>
    </row>
    <row r="99" spans="1:10">
      <c r="A99" s="2"/>
      <c r="E99" t="e">
        <f>VLOOKUP(TablaMarimba[[#This Row],[Equipo]],Catalogos!$I$4:$J$34,2,FALSE)</f>
        <v>#N/A</v>
      </c>
      <c r="F99" s="3"/>
      <c r="G99" s="3"/>
      <c r="H99" s="3">
        <f t="shared" si="4"/>
        <v>-3075</v>
      </c>
      <c r="I99" s="4">
        <v>28.3</v>
      </c>
      <c r="J99" s="4">
        <f t="shared" si="5"/>
        <v>0</v>
      </c>
    </row>
    <row r="100" spans="1:10">
      <c r="A100" s="2"/>
      <c r="E100" t="e">
        <f>VLOOKUP(TablaMarimba[[#This Row],[Equipo]],Catalogos!$I$4:$J$34,2,FALSE)</f>
        <v>#N/A</v>
      </c>
      <c r="F100" s="3"/>
      <c r="G100" s="3"/>
      <c r="H100" s="3">
        <f t="shared" si="4"/>
        <v>-3075</v>
      </c>
      <c r="I100" s="4">
        <v>28.3</v>
      </c>
      <c r="J100" s="4">
        <f t="shared" si="5"/>
        <v>0</v>
      </c>
    </row>
    <row r="101" spans="1:10">
      <c r="A101" s="2"/>
      <c r="E101" t="e">
        <f>VLOOKUP(TablaMarimba[[#This Row],[Equipo]],Catalogos!$I$4:$J$34,2,FALSE)</f>
        <v>#N/A</v>
      </c>
      <c r="F101" s="3"/>
      <c r="G101" s="3"/>
      <c r="H101" s="3">
        <f t="shared" ref="H101:H132" si="6">IF(ROW()=5,F101-G101,H100+F101-G101)</f>
        <v>-3075</v>
      </c>
      <c r="I101" s="4">
        <v>28.3</v>
      </c>
      <c r="J101" s="4">
        <f t="shared" ref="J101:J132" si="7">IFERROR((F101+G101)*I101,0)</f>
        <v>0</v>
      </c>
    </row>
    <row r="102" spans="1:10">
      <c r="A102" s="2"/>
      <c r="E102" t="e">
        <f>VLOOKUP(TablaMarimba[[#This Row],[Equipo]],Catalogos!$I$4:$J$34,2,FALSE)</f>
        <v>#N/A</v>
      </c>
      <c r="F102" s="3"/>
      <c r="G102" s="3"/>
      <c r="H102" s="3">
        <f t="shared" si="6"/>
        <v>-3075</v>
      </c>
      <c r="I102" s="4">
        <v>28.3</v>
      </c>
      <c r="J102" s="4">
        <f t="shared" si="7"/>
        <v>0</v>
      </c>
    </row>
    <row r="103" spans="1:10">
      <c r="A103" s="2"/>
      <c r="E103" t="e">
        <f>VLOOKUP(TablaMarimba[[#This Row],[Equipo]],Catalogos!$I$4:$J$34,2,FALSE)</f>
        <v>#N/A</v>
      </c>
      <c r="F103" s="3"/>
      <c r="G103" s="3"/>
      <c r="H103" s="3">
        <f t="shared" si="6"/>
        <v>-3075</v>
      </c>
      <c r="I103" s="4">
        <v>28.3</v>
      </c>
      <c r="J103" s="4">
        <f t="shared" si="7"/>
        <v>0</v>
      </c>
    </row>
    <row r="104" spans="1:10">
      <c r="A104" s="2"/>
      <c r="E104" t="e">
        <f>VLOOKUP(TablaMarimba[[#This Row],[Equipo]],Catalogos!$I$4:$J$34,2,FALSE)</f>
        <v>#N/A</v>
      </c>
      <c r="F104" s="3"/>
      <c r="G104" s="3"/>
      <c r="H104" s="3">
        <f t="shared" si="6"/>
        <v>-3075</v>
      </c>
      <c r="I104" s="4">
        <v>28.3</v>
      </c>
      <c r="J104" s="4">
        <f t="shared" si="7"/>
        <v>0</v>
      </c>
    </row>
    <row r="105" spans="1:10">
      <c r="A105" s="2"/>
      <c r="E105" t="e">
        <f>VLOOKUP(TablaMarimba[[#This Row],[Equipo]],Catalogos!$I$4:$J$34,2,FALSE)</f>
        <v>#N/A</v>
      </c>
      <c r="F105" s="3"/>
      <c r="G105" s="3"/>
      <c r="H105" s="3">
        <f t="shared" si="6"/>
        <v>-3075</v>
      </c>
      <c r="I105" s="4">
        <v>28.3</v>
      </c>
      <c r="J105" s="4">
        <f t="shared" si="7"/>
        <v>0</v>
      </c>
    </row>
    <row r="106" spans="1:10">
      <c r="A106" s="2"/>
      <c r="E106" t="e">
        <f>VLOOKUP(TablaMarimba[[#This Row],[Equipo]],Catalogos!$I$4:$J$34,2,FALSE)</f>
        <v>#N/A</v>
      </c>
      <c r="F106" s="3"/>
      <c r="G106" s="3"/>
      <c r="H106" s="3">
        <f t="shared" si="6"/>
        <v>-3075</v>
      </c>
      <c r="I106" s="4">
        <v>28.3</v>
      </c>
      <c r="J106" s="4">
        <f t="shared" si="7"/>
        <v>0</v>
      </c>
    </row>
    <row r="107" spans="1:10">
      <c r="A107" s="2"/>
      <c r="E107" t="e">
        <f>VLOOKUP(TablaMarimba[[#This Row],[Equipo]],Catalogos!$I$4:$J$34,2,FALSE)</f>
        <v>#N/A</v>
      </c>
      <c r="F107" s="3"/>
      <c r="G107" s="3"/>
      <c r="H107" s="3">
        <f t="shared" si="6"/>
        <v>-3075</v>
      </c>
      <c r="I107" s="4">
        <v>28.3</v>
      </c>
      <c r="J107" s="4">
        <f t="shared" si="7"/>
        <v>0</v>
      </c>
    </row>
    <row r="108" spans="1:10">
      <c r="A108" s="2"/>
      <c r="E108" t="e">
        <f>VLOOKUP(TablaMarimba[[#This Row],[Equipo]],Catalogos!$I$4:$J$34,2,FALSE)</f>
        <v>#N/A</v>
      </c>
      <c r="F108" s="3"/>
      <c r="G108" s="3"/>
      <c r="H108" s="3">
        <f t="shared" si="6"/>
        <v>-3075</v>
      </c>
      <c r="I108" s="4">
        <v>28.3</v>
      </c>
      <c r="J108" s="4">
        <f t="shared" si="7"/>
        <v>0</v>
      </c>
    </row>
    <row r="109" spans="1:10">
      <c r="A109" s="2"/>
      <c r="E109" t="e">
        <f>VLOOKUP(TablaMarimba[[#This Row],[Equipo]],Catalogos!$I$4:$J$34,2,FALSE)</f>
        <v>#N/A</v>
      </c>
      <c r="F109" s="3"/>
      <c r="G109" s="3"/>
      <c r="H109" s="3">
        <f t="shared" si="6"/>
        <v>-3075</v>
      </c>
      <c r="I109" s="4">
        <v>28.3</v>
      </c>
      <c r="J109" s="4">
        <f t="shared" si="7"/>
        <v>0</v>
      </c>
    </row>
    <row r="110" spans="1:10">
      <c r="A110" s="2"/>
      <c r="E110" t="e">
        <f>VLOOKUP(TablaMarimba[[#This Row],[Equipo]],Catalogos!$I$4:$J$34,2,FALSE)</f>
        <v>#N/A</v>
      </c>
      <c r="F110" s="3"/>
      <c r="G110" s="3"/>
      <c r="H110" s="3">
        <f t="shared" si="6"/>
        <v>-3075</v>
      </c>
      <c r="I110" s="4">
        <v>28.3</v>
      </c>
      <c r="J110" s="4">
        <f t="shared" si="7"/>
        <v>0</v>
      </c>
    </row>
    <row r="111" spans="1:10">
      <c r="A111" s="2"/>
      <c r="E111" t="e">
        <f>VLOOKUP(TablaMarimba[[#This Row],[Equipo]],Catalogos!$I$4:$J$34,2,FALSE)</f>
        <v>#N/A</v>
      </c>
      <c r="F111" s="3"/>
      <c r="G111" s="3"/>
      <c r="H111" s="3">
        <f t="shared" si="6"/>
        <v>-3075</v>
      </c>
      <c r="I111" s="4">
        <v>28.3</v>
      </c>
      <c r="J111" s="4">
        <f t="shared" si="7"/>
        <v>0</v>
      </c>
    </row>
    <row r="112" spans="1:10">
      <c r="A112" s="2"/>
      <c r="E112" t="e">
        <f>VLOOKUP(TablaMarimba[[#This Row],[Equipo]],Catalogos!$I$4:$J$34,2,FALSE)</f>
        <v>#N/A</v>
      </c>
      <c r="F112" s="3"/>
      <c r="G112" s="3"/>
      <c r="H112" s="3">
        <f t="shared" si="6"/>
        <v>-3075</v>
      </c>
      <c r="I112" s="4">
        <v>28.3</v>
      </c>
      <c r="J112" s="4">
        <f t="shared" si="7"/>
        <v>0</v>
      </c>
    </row>
    <row r="113" spans="1:10">
      <c r="A113" s="2"/>
      <c r="E113" t="e">
        <f>VLOOKUP(TablaMarimba[[#This Row],[Equipo]],Catalogos!$I$4:$J$34,2,FALSE)</f>
        <v>#N/A</v>
      </c>
      <c r="F113" s="3"/>
      <c r="G113" s="3"/>
      <c r="H113" s="3">
        <f t="shared" si="6"/>
        <v>-3075</v>
      </c>
      <c r="I113" s="4">
        <v>28.3</v>
      </c>
      <c r="J113" s="4">
        <f t="shared" si="7"/>
        <v>0</v>
      </c>
    </row>
    <row r="114" spans="1:10">
      <c r="A114" s="2"/>
      <c r="E114" t="e">
        <f>VLOOKUP(TablaMarimba[[#This Row],[Equipo]],Catalogos!$I$4:$J$34,2,FALSE)</f>
        <v>#N/A</v>
      </c>
      <c r="F114" s="3"/>
      <c r="G114" s="3"/>
      <c r="H114" s="3">
        <f t="shared" si="6"/>
        <v>-3075</v>
      </c>
      <c r="I114" s="4">
        <v>28.3</v>
      </c>
      <c r="J114" s="4">
        <f t="shared" si="7"/>
        <v>0</v>
      </c>
    </row>
    <row r="115" spans="1:10">
      <c r="A115" s="2"/>
      <c r="E115" t="e">
        <f>VLOOKUP(TablaMarimba[[#This Row],[Equipo]],Catalogos!$I$4:$J$34,2,FALSE)</f>
        <v>#N/A</v>
      </c>
      <c r="F115" s="3"/>
      <c r="G115" s="3"/>
      <c r="H115" s="3">
        <f t="shared" si="6"/>
        <v>-3075</v>
      </c>
      <c r="I115" s="4">
        <v>28.3</v>
      </c>
      <c r="J115" s="4">
        <f t="shared" si="7"/>
        <v>0</v>
      </c>
    </row>
    <row r="116" spans="1:10">
      <c r="A116" s="2"/>
      <c r="E116" t="e">
        <f>VLOOKUP(TablaMarimba[[#This Row],[Equipo]],Catalogos!$I$4:$J$34,2,FALSE)</f>
        <v>#N/A</v>
      </c>
      <c r="F116" s="3"/>
      <c r="G116" s="3"/>
      <c r="H116" s="3">
        <f t="shared" si="6"/>
        <v>-3075</v>
      </c>
      <c r="I116" s="4">
        <v>28.3</v>
      </c>
      <c r="J116" s="4">
        <f t="shared" si="7"/>
        <v>0</v>
      </c>
    </row>
    <row r="117" spans="1:10">
      <c r="A117" s="2"/>
      <c r="E117" t="e">
        <f>VLOOKUP(TablaMarimba[[#This Row],[Equipo]],Catalogos!$I$4:$J$34,2,FALSE)</f>
        <v>#N/A</v>
      </c>
      <c r="F117" s="3"/>
      <c r="G117" s="3"/>
      <c r="H117" s="3">
        <f t="shared" si="6"/>
        <v>-3075</v>
      </c>
      <c r="I117" s="4">
        <v>28.3</v>
      </c>
      <c r="J117" s="4">
        <f t="shared" si="7"/>
        <v>0</v>
      </c>
    </row>
    <row r="118" spans="1:10">
      <c r="A118" s="2"/>
      <c r="E118" t="e">
        <f>VLOOKUP(TablaMarimba[[#This Row],[Equipo]],Catalogos!$I$4:$J$34,2,FALSE)</f>
        <v>#N/A</v>
      </c>
      <c r="F118" s="3"/>
      <c r="G118" s="3"/>
      <c r="H118" s="3">
        <f t="shared" si="6"/>
        <v>-3075</v>
      </c>
      <c r="I118" s="4">
        <v>28.3</v>
      </c>
      <c r="J118" s="4">
        <f t="shared" si="7"/>
        <v>0</v>
      </c>
    </row>
    <row r="119" spans="1:10">
      <c r="A119" s="2"/>
      <c r="E119" t="e">
        <f>VLOOKUP(TablaMarimba[[#This Row],[Equipo]],Catalogos!$I$4:$J$34,2,FALSE)</f>
        <v>#N/A</v>
      </c>
      <c r="F119" s="3"/>
      <c r="G119" s="3"/>
      <c r="H119" s="3">
        <f t="shared" si="6"/>
        <v>-3075</v>
      </c>
      <c r="I119" s="4">
        <v>28.3</v>
      </c>
      <c r="J119" s="4">
        <f t="shared" si="7"/>
        <v>0</v>
      </c>
    </row>
    <row r="120" spans="1:10">
      <c r="A120" s="2"/>
      <c r="E120" t="e">
        <f>VLOOKUP(TablaMarimba[[#This Row],[Equipo]],Catalogos!$I$4:$J$34,2,FALSE)</f>
        <v>#N/A</v>
      </c>
      <c r="F120" s="3"/>
      <c r="G120" s="3"/>
      <c r="H120" s="3">
        <f t="shared" si="6"/>
        <v>-3075</v>
      </c>
      <c r="I120" s="4">
        <v>28.3</v>
      </c>
      <c r="J120" s="4">
        <f t="shared" si="7"/>
        <v>0</v>
      </c>
    </row>
    <row r="121" spans="1:10">
      <c r="A121" s="2"/>
      <c r="E121" t="e">
        <f>VLOOKUP(TablaMarimba[[#This Row],[Equipo]],Catalogos!$I$4:$J$34,2,FALSE)</f>
        <v>#N/A</v>
      </c>
      <c r="F121" s="3"/>
      <c r="G121" s="3"/>
      <c r="H121" s="3">
        <f t="shared" si="6"/>
        <v>-3075</v>
      </c>
      <c r="I121" s="4">
        <v>28.3</v>
      </c>
      <c r="J121" s="4">
        <f t="shared" si="7"/>
        <v>0</v>
      </c>
    </row>
    <row r="122" spans="1:10">
      <c r="A122" s="2"/>
      <c r="E122" t="e">
        <f>VLOOKUP(TablaMarimba[[#This Row],[Equipo]],Catalogos!$I$4:$J$34,2,FALSE)</f>
        <v>#N/A</v>
      </c>
      <c r="F122" s="3"/>
      <c r="G122" s="3"/>
      <c r="H122" s="3">
        <f t="shared" si="6"/>
        <v>-3075</v>
      </c>
      <c r="I122" s="4">
        <v>28.3</v>
      </c>
      <c r="J122" s="4">
        <f t="shared" si="7"/>
        <v>0</v>
      </c>
    </row>
    <row r="123" spans="1:10">
      <c r="A123" s="2"/>
      <c r="E123" t="e">
        <f>VLOOKUP(TablaMarimba[[#This Row],[Equipo]],Catalogos!$I$4:$J$34,2,FALSE)</f>
        <v>#N/A</v>
      </c>
      <c r="F123" s="3"/>
      <c r="G123" s="3"/>
      <c r="H123" s="3">
        <f t="shared" si="6"/>
        <v>-3075</v>
      </c>
      <c r="I123" s="4">
        <v>28.3</v>
      </c>
      <c r="J123" s="4">
        <f t="shared" si="7"/>
        <v>0</v>
      </c>
    </row>
    <row r="124" spans="1:10">
      <c r="A124" s="2"/>
      <c r="E124" t="e">
        <f>VLOOKUP(TablaMarimba[[#This Row],[Equipo]],Catalogos!$I$4:$J$34,2,FALSE)</f>
        <v>#N/A</v>
      </c>
      <c r="F124" s="3"/>
      <c r="G124" s="3"/>
      <c r="H124" s="3">
        <f t="shared" si="6"/>
        <v>-3075</v>
      </c>
      <c r="I124" s="4">
        <v>28.3</v>
      </c>
      <c r="J124" s="4">
        <f t="shared" si="7"/>
        <v>0</v>
      </c>
    </row>
    <row r="125" spans="1:10">
      <c r="A125" s="2"/>
      <c r="E125" t="e">
        <f>VLOOKUP(TablaMarimba[[#This Row],[Equipo]],Catalogos!$I$4:$J$34,2,FALSE)</f>
        <v>#N/A</v>
      </c>
      <c r="F125" s="3"/>
      <c r="G125" s="3"/>
      <c r="H125" s="3">
        <f t="shared" si="6"/>
        <v>-3075</v>
      </c>
      <c r="I125" s="4">
        <v>28.3</v>
      </c>
      <c r="J125" s="4">
        <f t="shared" si="7"/>
        <v>0</v>
      </c>
    </row>
    <row r="126" spans="1:10">
      <c r="A126" s="2"/>
      <c r="E126" t="e">
        <f>VLOOKUP(TablaMarimba[[#This Row],[Equipo]],Catalogos!$I$4:$J$34,2,FALSE)</f>
        <v>#N/A</v>
      </c>
      <c r="F126" s="3"/>
      <c r="G126" s="3"/>
      <c r="H126" s="3">
        <f t="shared" si="6"/>
        <v>-3075</v>
      </c>
      <c r="I126" s="4">
        <v>28.3</v>
      </c>
      <c r="J126" s="4">
        <f t="shared" si="7"/>
        <v>0</v>
      </c>
    </row>
    <row r="127" spans="1:10">
      <c r="A127" s="2"/>
      <c r="E127" t="e">
        <f>VLOOKUP(TablaMarimba[[#This Row],[Equipo]],Catalogos!$I$4:$J$34,2,FALSE)</f>
        <v>#N/A</v>
      </c>
      <c r="F127" s="3"/>
      <c r="G127" s="3"/>
      <c r="H127" s="3">
        <f t="shared" si="6"/>
        <v>-3075</v>
      </c>
      <c r="I127" s="4">
        <v>28.3</v>
      </c>
      <c r="J127" s="4">
        <f t="shared" si="7"/>
        <v>0</v>
      </c>
    </row>
    <row r="128" spans="1:10">
      <c r="A128" s="2"/>
      <c r="E128" t="e">
        <f>VLOOKUP(TablaMarimba[[#This Row],[Equipo]],Catalogos!$I$4:$J$34,2,FALSE)</f>
        <v>#N/A</v>
      </c>
      <c r="F128" s="3"/>
      <c r="G128" s="3"/>
      <c r="H128" s="3">
        <f t="shared" si="6"/>
        <v>-3075</v>
      </c>
      <c r="I128" s="4">
        <v>28.3</v>
      </c>
      <c r="J128" s="4">
        <f t="shared" si="7"/>
        <v>0</v>
      </c>
    </row>
    <row r="129" spans="1:10">
      <c r="A129" s="2"/>
      <c r="E129" t="e">
        <f>VLOOKUP(TablaMarimba[[#This Row],[Equipo]],Catalogos!$I$4:$J$34,2,FALSE)</f>
        <v>#N/A</v>
      </c>
      <c r="F129" s="3"/>
      <c r="G129" s="3"/>
      <c r="H129" s="3">
        <f t="shared" si="6"/>
        <v>-3075</v>
      </c>
      <c r="I129" s="4">
        <v>28.3</v>
      </c>
      <c r="J129" s="4">
        <f t="shared" si="7"/>
        <v>0</v>
      </c>
    </row>
    <row r="130" spans="1:10">
      <c r="A130" s="2"/>
      <c r="E130" t="e">
        <f>VLOOKUP(TablaMarimba[[#This Row],[Equipo]],Catalogos!$I$4:$J$34,2,FALSE)</f>
        <v>#N/A</v>
      </c>
      <c r="F130" s="3"/>
      <c r="G130" s="3"/>
      <c r="H130" s="3">
        <f t="shared" si="6"/>
        <v>-3075</v>
      </c>
      <c r="I130" s="4">
        <v>28.3</v>
      </c>
      <c r="J130" s="4">
        <f t="shared" si="7"/>
        <v>0</v>
      </c>
    </row>
    <row r="131" spans="1:10">
      <c r="A131" s="2"/>
      <c r="E131" t="e">
        <f>VLOOKUP(TablaMarimba[[#This Row],[Equipo]],Catalogos!$I$4:$J$34,2,FALSE)</f>
        <v>#N/A</v>
      </c>
      <c r="F131" s="3"/>
      <c r="G131" s="3"/>
      <c r="H131" s="3">
        <f t="shared" si="6"/>
        <v>-3075</v>
      </c>
      <c r="I131" s="4">
        <v>28.3</v>
      </c>
      <c r="J131" s="4">
        <f t="shared" si="7"/>
        <v>0</v>
      </c>
    </row>
    <row r="132" spans="1:10">
      <c r="A132" s="2"/>
      <c r="E132" t="e">
        <f>VLOOKUP(TablaMarimba[[#This Row],[Equipo]],Catalogos!$I$4:$J$34,2,FALSE)</f>
        <v>#N/A</v>
      </c>
      <c r="F132" s="3"/>
      <c r="G132" s="3"/>
      <c r="H132" s="3">
        <f t="shared" si="6"/>
        <v>-3075</v>
      </c>
      <c r="I132" s="4">
        <v>28.3</v>
      </c>
      <c r="J132" s="4">
        <f t="shared" si="7"/>
        <v>0</v>
      </c>
    </row>
    <row r="133" spans="1:10">
      <c r="A133" s="2"/>
      <c r="E133" t="e">
        <f>VLOOKUP(TablaMarimba[[#This Row],[Equipo]],Catalogos!$I$4:$J$34,2,FALSE)</f>
        <v>#N/A</v>
      </c>
      <c r="F133" s="3"/>
      <c r="G133" s="3"/>
      <c r="H133" s="3">
        <f t="shared" ref="H133:H164" si="8">IF(ROW()=5,F133-G133,H132+F133-G133)</f>
        <v>-3075</v>
      </c>
      <c r="I133" s="4">
        <v>28.3</v>
      </c>
      <c r="J133" s="4">
        <f t="shared" ref="J133:J164" si="9">IFERROR((F133+G133)*I133,0)</f>
        <v>0</v>
      </c>
    </row>
    <row r="134" spans="1:10">
      <c r="A134" s="2"/>
      <c r="E134" t="e">
        <f>VLOOKUP(TablaMarimba[[#This Row],[Equipo]],Catalogos!$I$4:$J$34,2,FALSE)</f>
        <v>#N/A</v>
      </c>
      <c r="F134" s="3"/>
      <c r="G134" s="3"/>
      <c r="H134" s="3">
        <f t="shared" si="8"/>
        <v>-3075</v>
      </c>
      <c r="I134" s="4">
        <v>28.3</v>
      </c>
      <c r="J134" s="4">
        <f t="shared" si="9"/>
        <v>0</v>
      </c>
    </row>
    <row r="135" spans="1:10">
      <c r="A135" s="2"/>
      <c r="E135" t="e">
        <f>VLOOKUP(TablaMarimba[[#This Row],[Equipo]],Catalogos!$I$4:$J$34,2,FALSE)</f>
        <v>#N/A</v>
      </c>
      <c r="F135" s="3"/>
      <c r="G135" s="3"/>
      <c r="H135" s="3">
        <f t="shared" si="8"/>
        <v>-3075</v>
      </c>
      <c r="I135" s="4">
        <v>28.3</v>
      </c>
      <c r="J135" s="4">
        <f t="shared" si="9"/>
        <v>0</v>
      </c>
    </row>
    <row r="136" spans="1:10">
      <c r="A136" s="2"/>
      <c r="E136" t="e">
        <f>VLOOKUP(TablaMarimba[[#This Row],[Equipo]],Catalogos!$I$4:$J$34,2,FALSE)</f>
        <v>#N/A</v>
      </c>
      <c r="F136" s="3"/>
      <c r="G136" s="3"/>
      <c r="H136" s="3">
        <f t="shared" si="8"/>
        <v>-3075</v>
      </c>
      <c r="I136" s="4">
        <v>28.3</v>
      </c>
      <c r="J136" s="4">
        <f t="shared" si="9"/>
        <v>0</v>
      </c>
    </row>
    <row r="137" spans="1:10">
      <c r="A137" s="2"/>
      <c r="E137" t="e">
        <f>VLOOKUP(TablaMarimba[[#This Row],[Equipo]],Catalogos!$I$4:$J$34,2,FALSE)</f>
        <v>#N/A</v>
      </c>
      <c r="F137" s="3"/>
      <c r="G137" s="3"/>
      <c r="H137" s="3">
        <f t="shared" si="8"/>
        <v>-3075</v>
      </c>
      <c r="I137" s="4">
        <v>28.3</v>
      </c>
      <c r="J137" s="4">
        <f t="shared" si="9"/>
        <v>0</v>
      </c>
    </row>
    <row r="138" spans="1:10">
      <c r="A138" s="2"/>
      <c r="E138" t="e">
        <f>VLOOKUP(TablaMarimba[[#This Row],[Equipo]],Catalogos!$I$4:$J$34,2,FALSE)</f>
        <v>#N/A</v>
      </c>
      <c r="F138" s="3"/>
      <c r="G138" s="3"/>
      <c r="H138" s="3">
        <f t="shared" si="8"/>
        <v>-3075</v>
      </c>
      <c r="I138" s="4">
        <v>28.3</v>
      </c>
      <c r="J138" s="4">
        <f t="shared" si="9"/>
        <v>0</v>
      </c>
    </row>
    <row r="139" spans="1:10">
      <c r="A139" s="2"/>
      <c r="E139" t="e">
        <f>VLOOKUP(TablaMarimba[[#This Row],[Equipo]],Catalogos!$I$4:$J$34,2,FALSE)</f>
        <v>#N/A</v>
      </c>
      <c r="F139" s="3"/>
      <c r="G139" s="3"/>
      <c r="H139" s="3">
        <f t="shared" si="8"/>
        <v>-3075</v>
      </c>
      <c r="I139" s="4">
        <v>28.3</v>
      </c>
      <c r="J139" s="4">
        <f t="shared" si="9"/>
        <v>0</v>
      </c>
    </row>
    <row r="140" spans="1:10">
      <c r="A140" s="2"/>
      <c r="E140" t="e">
        <f>VLOOKUP(TablaMarimba[[#This Row],[Equipo]],Catalogos!$I$4:$J$34,2,FALSE)</f>
        <v>#N/A</v>
      </c>
      <c r="F140" s="3"/>
      <c r="G140" s="3"/>
      <c r="H140" s="3">
        <f t="shared" si="8"/>
        <v>-3075</v>
      </c>
      <c r="I140" s="4">
        <v>28.3</v>
      </c>
      <c r="J140" s="4">
        <f t="shared" si="9"/>
        <v>0</v>
      </c>
    </row>
    <row r="141" spans="1:10">
      <c r="A141" s="2"/>
      <c r="E141" t="e">
        <f>VLOOKUP(TablaMarimba[[#This Row],[Equipo]],Catalogos!$I$4:$J$34,2,FALSE)</f>
        <v>#N/A</v>
      </c>
      <c r="F141" s="3"/>
      <c r="G141" s="3"/>
      <c r="H141" s="3">
        <f t="shared" si="8"/>
        <v>-3075</v>
      </c>
      <c r="I141" s="4">
        <v>28.3</v>
      </c>
      <c r="J141" s="4">
        <f t="shared" si="9"/>
        <v>0</v>
      </c>
    </row>
    <row r="142" spans="1:10">
      <c r="A142" s="2"/>
      <c r="E142" t="e">
        <f>VLOOKUP(TablaMarimba[[#This Row],[Equipo]],Catalogos!$I$4:$J$34,2,FALSE)</f>
        <v>#N/A</v>
      </c>
      <c r="F142" s="3"/>
      <c r="G142" s="3"/>
      <c r="H142" s="3">
        <f t="shared" si="8"/>
        <v>-3075</v>
      </c>
      <c r="I142" s="4">
        <v>28.3</v>
      </c>
      <c r="J142" s="4">
        <f t="shared" si="9"/>
        <v>0</v>
      </c>
    </row>
    <row r="143" spans="1:10">
      <c r="A143" s="2"/>
      <c r="E143" t="e">
        <f>VLOOKUP(TablaMarimba[[#This Row],[Equipo]],Catalogos!$I$4:$J$34,2,FALSE)</f>
        <v>#N/A</v>
      </c>
      <c r="F143" s="3"/>
      <c r="G143" s="3"/>
      <c r="H143" s="3">
        <f t="shared" si="8"/>
        <v>-3075</v>
      </c>
      <c r="I143" s="4">
        <v>28.3</v>
      </c>
      <c r="J143" s="4">
        <f t="shared" si="9"/>
        <v>0</v>
      </c>
    </row>
    <row r="144" spans="1:10">
      <c r="A144" s="2"/>
      <c r="E144" t="e">
        <f>VLOOKUP(TablaMarimba[[#This Row],[Equipo]],Catalogos!$I$4:$J$34,2,FALSE)</f>
        <v>#N/A</v>
      </c>
      <c r="F144" s="3"/>
      <c r="G144" s="3"/>
      <c r="H144" s="3">
        <f t="shared" si="8"/>
        <v>-3075</v>
      </c>
      <c r="I144" s="4">
        <v>28.3</v>
      </c>
      <c r="J144" s="4">
        <f t="shared" si="9"/>
        <v>0</v>
      </c>
    </row>
    <row r="145" spans="1:10">
      <c r="A145" s="2"/>
      <c r="E145" t="e">
        <f>VLOOKUP(TablaMarimba[[#This Row],[Equipo]],Catalogos!$I$4:$J$34,2,FALSE)</f>
        <v>#N/A</v>
      </c>
      <c r="F145" s="3"/>
      <c r="G145" s="3"/>
      <c r="H145" s="3">
        <f t="shared" si="8"/>
        <v>-3075</v>
      </c>
      <c r="I145" s="4">
        <v>28.3</v>
      </c>
      <c r="J145" s="4">
        <f t="shared" si="9"/>
        <v>0</v>
      </c>
    </row>
    <row r="146" spans="1:10">
      <c r="A146" s="2"/>
      <c r="E146" t="e">
        <f>VLOOKUP(TablaMarimba[[#This Row],[Equipo]],Catalogos!$I$4:$J$34,2,FALSE)</f>
        <v>#N/A</v>
      </c>
      <c r="F146" s="3"/>
      <c r="G146" s="3"/>
      <c r="H146" s="3">
        <f t="shared" si="8"/>
        <v>-3075</v>
      </c>
      <c r="I146" s="4">
        <v>28.3</v>
      </c>
      <c r="J146" s="4">
        <f t="shared" si="9"/>
        <v>0</v>
      </c>
    </row>
    <row r="147" spans="1:10">
      <c r="A147" s="2"/>
      <c r="E147" t="e">
        <f>VLOOKUP(TablaMarimba[[#This Row],[Equipo]],Catalogos!$I$4:$J$34,2,FALSE)</f>
        <v>#N/A</v>
      </c>
      <c r="F147" s="3"/>
      <c r="G147" s="3"/>
      <c r="H147" s="3">
        <f t="shared" si="8"/>
        <v>-3075</v>
      </c>
      <c r="I147" s="4">
        <v>28.3</v>
      </c>
      <c r="J147" s="4">
        <f t="shared" si="9"/>
        <v>0</v>
      </c>
    </row>
    <row r="148" spans="1:10">
      <c r="A148" s="2"/>
      <c r="E148" t="e">
        <f>VLOOKUP(TablaMarimba[[#This Row],[Equipo]],Catalogos!$I$4:$J$34,2,FALSE)</f>
        <v>#N/A</v>
      </c>
      <c r="F148" s="3"/>
      <c r="G148" s="3"/>
      <c r="H148" s="3">
        <f t="shared" si="8"/>
        <v>-3075</v>
      </c>
      <c r="I148" s="4">
        <v>28.3</v>
      </c>
      <c r="J148" s="4">
        <f t="shared" si="9"/>
        <v>0</v>
      </c>
    </row>
    <row r="149" spans="1:10">
      <c r="A149" s="2"/>
      <c r="E149" t="e">
        <f>VLOOKUP(TablaMarimba[[#This Row],[Equipo]],Catalogos!$I$4:$J$34,2,FALSE)</f>
        <v>#N/A</v>
      </c>
      <c r="F149" s="3"/>
      <c r="G149" s="3"/>
      <c r="H149" s="3">
        <f t="shared" si="8"/>
        <v>-3075</v>
      </c>
      <c r="I149" s="4">
        <v>28.3</v>
      </c>
      <c r="J149" s="4">
        <f t="shared" si="9"/>
        <v>0</v>
      </c>
    </row>
    <row r="150" spans="1:10">
      <c r="A150" s="2"/>
      <c r="E150" t="e">
        <f>VLOOKUP(TablaMarimba[[#This Row],[Equipo]],Catalogos!$I$4:$J$34,2,FALSE)</f>
        <v>#N/A</v>
      </c>
      <c r="F150" s="3"/>
      <c r="G150" s="3"/>
      <c r="H150" s="3">
        <f t="shared" si="8"/>
        <v>-3075</v>
      </c>
      <c r="I150" s="4">
        <v>28.3</v>
      </c>
      <c r="J150" s="4">
        <f t="shared" si="9"/>
        <v>0</v>
      </c>
    </row>
    <row r="151" spans="1:10">
      <c r="A151" s="2"/>
      <c r="E151" t="e">
        <f>VLOOKUP(TablaMarimba[[#This Row],[Equipo]],Catalogos!$I$4:$J$34,2,FALSE)</f>
        <v>#N/A</v>
      </c>
      <c r="F151" s="3"/>
      <c r="G151" s="3"/>
      <c r="H151" s="3">
        <f t="shared" si="8"/>
        <v>-3075</v>
      </c>
      <c r="I151" s="4">
        <v>28.3</v>
      </c>
      <c r="J151" s="4">
        <f t="shared" si="9"/>
        <v>0</v>
      </c>
    </row>
    <row r="152" spans="1:10">
      <c r="A152" s="2"/>
      <c r="E152" t="e">
        <f>VLOOKUP(TablaMarimba[[#This Row],[Equipo]],Catalogos!$I$4:$J$34,2,FALSE)</f>
        <v>#N/A</v>
      </c>
      <c r="F152" s="3"/>
      <c r="G152" s="3"/>
      <c r="H152" s="3">
        <f t="shared" si="8"/>
        <v>-3075</v>
      </c>
      <c r="I152" s="4">
        <v>28.3</v>
      </c>
      <c r="J152" s="4">
        <f t="shared" si="9"/>
        <v>0</v>
      </c>
    </row>
    <row r="153" spans="1:10">
      <c r="A153" s="2"/>
      <c r="E153" t="e">
        <f>VLOOKUP(TablaMarimba[[#This Row],[Equipo]],Catalogos!$I$4:$J$34,2,FALSE)</f>
        <v>#N/A</v>
      </c>
      <c r="F153" s="3"/>
      <c r="G153" s="3"/>
      <c r="H153" s="3">
        <f t="shared" si="8"/>
        <v>-3075</v>
      </c>
      <c r="I153" s="4">
        <v>28.3</v>
      </c>
      <c r="J153" s="4">
        <f t="shared" si="9"/>
        <v>0</v>
      </c>
    </row>
    <row r="154" spans="1:10">
      <c r="A154" s="2"/>
      <c r="E154" t="e">
        <f>VLOOKUP(TablaMarimba[[#This Row],[Equipo]],Catalogos!$I$4:$J$34,2,FALSE)</f>
        <v>#N/A</v>
      </c>
      <c r="F154" s="3"/>
      <c r="G154" s="3"/>
      <c r="H154" s="3">
        <f t="shared" si="8"/>
        <v>-3075</v>
      </c>
      <c r="I154" s="4">
        <v>28.3</v>
      </c>
      <c r="J154" s="4">
        <f t="shared" si="9"/>
        <v>0</v>
      </c>
    </row>
    <row r="155" spans="1:10">
      <c r="A155" s="2"/>
      <c r="E155" t="e">
        <f>VLOOKUP(TablaMarimba[[#This Row],[Equipo]],Catalogos!$I$4:$J$34,2,FALSE)</f>
        <v>#N/A</v>
      </c>
      <c r="F155" s="3"/>
      <c r="G155" s="3"/>
      <c r="H155" s="3">
        <f t="shared" si="8"/>
        <v>-3075</v>
      </c>
      <c r="I155" s="4">
        <v>28.3</v>
      </c>
      <c r="J155" s="4">
        <f t="shared" si="9"/>
        <v>0</v>
      </c>
    </row>
    <row r="156" spans="1:10">
      <c r="A156" s="2"/>
      <c r="E156" t="e">
        <f>VLOOKUP(TablaMarimba[[#This Row],[Equipo]],Catalogos!$I$4:$J$34,2,FALSE)</f>
        <v>#N/A</v>
      </c>
      <c r="F156" s="3"/>
      <c r="G156" s="3"/>
      <c r="H156" s="3">
        <f t="shared" si="8"/>
        <v>-3075</v>
      </c>
      <c r="I156" s="4">
        <v>28.3</v>
      </c>
      <c r="J156" s="4">
        <f t="shared" si="9"/>
        <v>0</v>
      </c>
    </row>
    <row r="157" spans="1:10">
      <c r="A157" s="2"/>
      <c r="E157" t="e">
        <f>VLOOKUP(TablaMarimba[[#This Row],[Equipo]],Catalogos!$I$4:$J$34,2,FALSE)</f>
        <v>#N/A</v>
      </c>
      <c r="F157" s="3"/>
      <c r="G157" s="3"/>
      <c r="H157" s="3">
        <f t="shared" si="8"/>
        <v>-3075</v>
      </c>
      <c r="I157" s="4">
        <v>28.3</v>
      </c>
      <c r="J157" s="4">
        <f t="shared" si="9"/>
        <v>0</v>
      </c>
    </row>
    <row r="158" spans="1:10">
      <c r="A158" s="2"/>
      <c r="E158" t="e">
        <f>VLOOKUP(TablaMarimba[[#This Row],[Equipo]],Catalogos!$I$4:$J$34,2,FALSE)</f>
        <v>#N/A</v>
      </c>
      <c r="F158" s="3"/>
      <c r="G158" s="3"/>
      <c r="H158" s="3">
        <f t="shared" si="8"/>
        <v>-3075</v>
      </c>
      <c r="I158" s="4">
        <v>28.3</v>
      </c>
      <c r="J158" s="4">
        <f t="shared" si="9"/>
        <v>0</v>
      </c>
    </row>
    <row r="159" spans="1:10">
      <c r="A159" s="2"/>
      <c r="E159" t="e">
        <f>VLOOKUP(TablaMarimba[[#This Row],[Equipo]],Catalogos!$I$4:$J$34,2,FALSE)</f>
        <v>#N/A</v>
      </c>
      <c r="F159" s="3"/>
      <c r="G159" s="3"/>
      <c r="H159" s="3">
        <f t="shared" si="8"/>
        <v>-3075</v>
      </c>
      <c r="I159" s="4">
        <v>28.3</v>
      </c>
      <c r="J159" s="4">
        <f t="shared" si="9"/>
        <v>0</v>
      </c>
    </row>
    <row r="160" spans="1:10">
      <c r="A160" s="2"/>
      <c r="E160" t="e">
        <f>VLOOKUP(TablaMarimba[[#This Row],[Equipo]],Catalogos!$I$4:$J$34,2,FALSE)</f>
        <v>#N/A</v>
      </c>
      <c r="F160" s="3"/>
      <c r="G160" s="3"/>
      <c r="H160" s="3">
        <f t="shared" si="8"/>
        <v>-3075</v>
      </c>
      <c r="I160" s="4">
        <v>28.3</v>
      </c>
      <c r="J160" s="4">
        <f t="shared" si="9"/>
        <v>0</v>
      </c>
    </row>
    <row r="161" spans="1:10">
      <c r="A161" s="2"/>
      <c r="E161" t="e">
        <f>VLOOKUP(TablaMarimba[[#This Row],[Equipo]],Catalogos!$I$4:$J$34,2,FALSE)</f>
        <v>#N/A</v>
      </c>
      <c r="F161" s="3"/>
      <c r="G161" s="3"/>
      <c r="H161" s="3">
        <f t="shared" si="8"/>
        <v>-3075</v>
      </c>
      <c r="I161" s="4">
        <v>28.3</v>
      </c>
      <c r="J161" s="4">
        <f t="shared" si="9"/>
        <v>0</v>
      </c>
    </row>
    <row r="162" spans="1:10">
      <c r="A162" s="2"/>
      <c r="E162" t="e">
        <f>VLOOKUP(TablaMarimba[[#This Row],[Equipo]],Catalogos!$I$4:$J$34,2,FALSE)</f>
        <v>#N/A</v>
      </c>
      <c r="F162" s="3"/>
      <c r="G162" s="3"/>
      <c r="H162" s="3">
        <f t="shared" si="8"/>
        <v>-3075</v>
      </c>
      <c r="I162" s="4">
        <v>28.3</v>
      </c>
      <c r="J162" s="4">
        <f t="shared" si="9"/>
        <v>0</v>
      </c>
    </row>
    <row r="163" spans="1:10">
      <c r="A163" s="2"/>
      <c r="E163" t="e">
        <f>VLOOKUP(TablaMarimba[[#This Row],[Equipo]],Catalogos!$I$4:$J$34,2,FALSE)</f>
        <v>#N/A</v>
      </c>
      <c r="F163" s="3"/>
      <c r="G163" s="3"/>
      <c r="H163" s="3">
        <f t="shared" si="8"/>
        <v>-3075</v>
      </c>
      <c r="I163" s="4">
        <v>28.3</v>
      </c>
      <c r="J163" s="4">
        <f t="shared" si="9"/>
        <v>0</v>
      </c>
    </row>
    <row r="164" spans="1:10">
      <c r="A164" s="2"/>
      <c r="E164" t="e">
        <f>VLOOKUP(TablaMarimba[[#This Row],[Equipo]],Catalogos!$I$4:$J$34,2,FALSE)</f>
        <v>#N/A</v>
      </c>
      <c r="F164" s="3"/>
      <c r="G164" s="3"/>
      <c r="H164" s="3">
        <f t="shared" si="8"/>
        <v>-3075</v>
      </c>
      <c r="I164" s="4">
        <v>28.3</v>
      </c>
      <c r="J164" s="4">
        <f t="shared" si="9"/>
        <v>0</v>
      </c>
    </row>
    <row r="165" spans="1:10">
      <c r="A165" s="2"/>
      <c r="E165" t="e">
        <f>VLOOKUP(TablaMarimba[[#This Row],[Equipo]],Catalogos!$I$4:$J$34,2,FALSE)</f>
        <v>#N/A</v>
      </c>
      <c r="F165" s="3"/>
      <c r="G165" s="3"/>
      <c r="H165" s="3">
        <f t="shared" ref="H165:H196" si="10">IF(ROW()=5,F165-G165,H164+F165-G165)</f>
        <v>-3075</v>
      </c>
      <c r="I165" s="4">
        <v>28.3</v>
      </c>
      <c r="J165" s="4">
        <f t="shared" ref="J165:J196" si="11">IFERROR((F165+G165)*I165,0)</f>
        <v>0</v>
      </c>
    </row>
    <row r="166" spans="1:10">
      <c r="A166" s="2"/>
      <c r="E166" t="e">
        <f>VLOOKUP(TablaMarimba[[#This Row],[Equipo]],Catalogos!$I$4:$J$34,2,FALSE)</f>
        <v>#N/A</v>
      </c>
      <c r="F166" s="3"/>
      <c r="G166" s="3"/>
      <c r="H166" s="3">
        <f t="shared" si="10"/>
        <v>-3075</v>
      </c>
      <c r="I166" s="4">
        <v>28.3</v>
      </c>
      <c r="J166" s="4">
        <f t="shared" si="11"/>
        <v>0</v>
      </c>
    </row>
    <row r="167" spans="1:10">
      <c r="A167" s="2"/>
      <c r="E167" t="e">
        <f>VLOOKUP(TablaMarimba[[#This Row],[Equipo]],Catalogos!$I$4:$J$34,2,FALSE)</f>
        <v>#N/A</v>
      </c>
      <c r="F167" s="3"/>
      <c r="G167" s="3"/>
      <c r="H167" s="3">
        <f t="shared" si="10"/>
        <v>-3075</v>
      </c>
      <c r="I167" s="4">
        <v>28.3</v>
      </c>
      <c r="J167" s="4">
        <f t="shared" si="11"/>
        <v>0</v>
      </c>
    </row>
    <row r="168" spans="1:10">
      <c r="A168" s="2"/>
      <c r="E168" t="e">
        <f>VLOOKUP(TablaMarimba[[#This Row],[Equipo]],Catalogos!$I$4:$J$34,2,FALSE)</f>
        <v>#N/A</v>
      </c>
      <c r="F168" s="3"/>
      <c r="G168" s="3"/>
      <c r="H168" s="3">
        <f t="shared" si="10"/>
        <v>-3075</v>
      </c>
      <c r="I168" s="4">
        <v>28.3</v>
      </c>
      <c r="J168" s="4">
        <f t="shared" si="11"/>
        <v>0</v>
      </c>
    </row>
    <row r="169" spans="1:10">
      <c r="A169" s="2"/>
      <c r="E169" t="e">
        <f>VLOOKUP(TablaMarimba[[#This Row],[Equipo]],Catalogos!$I$4:$J$34,2,FALSE)</f>
        <v>#N/A</v>
      </c>
      <c r="F169" s="3"/>
      <c r="G169" s="3"/>
      <c r="H169" s="3">
        <f t="shared" si="10"/>
        <v>-3075</v>
      </c>
      <c r="I169" s="4">
        <v>28.3</v>
      </c>
      <c r="J169" s="4">
        <f t="shared" si="11"/>
        <v>0</v>
      </c>
    </row>
    <row r="170" spans="1:10">
      <c r="A170" s="2"/>
      <c r="E170" t="e">
        <f>VLOOKUP(TablaMarimba[[#This Row],[Equipo]],Catalogos!$I$4:$J$34,2,FALSE)</f>
        <v>#N/A</v>
      </c>
      <c r="F170" s="3"/>
      <c r="G170" s="3"/>
      <c r="H170" s="3">
        <f t="shared" si="10"/>
        <v>-3075</v>
      </c>
      <c r="I170" s="4">
        <v>28.3</v>
      </c>
      <c r="J170" s="4">
        <f t="shared" si="11"/>
        <v>0</v>
      </c>
    </row>
    <row r="171" spans="1:10">
      <c r="A171" s="2"/>
      <c r="E171" t="e">
        <f>VLOOKUP(TablaMarimba[[#This Row],[Equipo]],Catalogos!$I$4:$J$34,2,FALSE)</f>
        <v>#N/A</v>
      </c>
      <c r="F171" s="3"/>
      <c r="G171" s="3"/>
      <c r="H171" s="3">
        <f t="shared" si="10"/>
        <v>-3075</v>
      </c>
      <c r="I171" s="4">
        <v>28.3</v>
      </c>
      <c r="J171" s="4">
        <f t="shared" si="11"/>
        <v>0</v>
      </c>
    </row>
    <row r="172" spans="1:10">
      <c r="A172" s="2"/>
      <c r="E172" t="e">
        <f>VLOOKUP(TablaMarimba[[#This Row],[Equipo]],Catalogos!$I$4:$J$34,2,FALSE)</f>
        <v>#N/A</v>
      </c>
      <c r="F172" s="3"/>
      <c r="G172" s="3"/>
      <c r="H172" s="3">
        <f t="shared" si="10"/>
        <v>-3075</v>
      </c>
      <c r="I172" s="4">
        <v>28.3</v>
      </c>
      <c r="J172" s="4">
        <f t="shared" si="11"/>
        <v>0</v>
      </c>
    </row>
    <row r="173" spans="1:10">
      <c r="A173" s="2"/>
      <c r="E173" t="e">
        <f>VLOOKUP(TablaMarimba[[#This Row],[Equipo]],Catalogos!$I$4:$J$34,2,FALSE)</f>
        <v>#N/A</v>
      </c>
      <c r="F173" s="3"/>
      <c r="G173" s="3"/>
      <c r="H173" s="3">
        <f t="shared" si="10"/>
        <v>-3075</v>
      </c>
      <c r="I173" s="4">
        <v>28.3</v>
      </c>
      <c r="J173" s="4">
        <f t="shared" si="11"/>
        <v>0</v>
      </c>
    </row>
    <row r="174" spans="1:10">
      <c r="A174" s="2"/>
      <c r="E174" t="e">
        <f>VLOOKUP(TablaMarimba[[#This Row],[Equipo]],Catalogos!$I$4:$J$34,2,FALSE)</f>
        <v>#N/A</v>
      </c>
      <c r="F174" s="3"/>
      <c r="G174" s="3"/>
      <c r="H174" s="3">
        <f t="shared" si="10"/>
        <v>-3075</v>
      </c>
      <c r="I174" s="4">
        <v>28.3</v>
      </c>
      <c r="J174" s="4">
        <f t="shared" si="11"/>
        <v>0</v>
      </c>
    </row>
    <row r="175" spans="1:10">
      <c r="A175" s="2"/>
      <c r="E175" t="e">
        <f>VLOOKUP(TablaMarimba[[#This Row],[Equipo]],Catalogos!$I$4:$J$34,2,FALSE)</f>
        <v>#N/A</v>
      </c>
      <c r="F175" s="3"/>
      <c r="G175" s="3"/>
      <c r="H175" s="3">
        <f t="shared" si="10"/>
        <v>-3075</v>
      </c>
      <c r="I175" s="4">
        <v>28.3</v>
      </c>
      <c r="J175" s="4">
        <f t="shared" si="11"/>
        <v>0</v>
      </c>
    </row>
    <row r="176" spans="1:10">
      <c r="A176" s="2"/>
      <c r="E176" t="e">
        <f>VLOOKUP(TablaMarimba[[#This Row],[Equipo]],Catalogos!$I$4:$J$34,2,FALSE)</f>
        <v>#N/A</v>
      </c>
      <c r="F176" s="3"/>
      <c r="G176" s="3"/>
      <c r="H176" s="3">
        <f t="shared" si="10"/>
        <v>-3075</v>
      </c>
      <c r="I176" s="4">
        <v>28.3</v>
      </c>
      <c r="J176" s="4">
        <f t="shared" si="11"/>
        <v>0</v>
      </c>
    </row>
    <row r="177" spans="1:10">
      <c r="A177" s="2"/>
      <c r="E177" t="e">
        <f>VLOOKUP(TablaMarimba[[#This Row],[Equipo]],Catalogos!$I$4:$J$34,2,FALSE)</f>
        <v>#N/A</v>
      </c>
      <c r="F177" s="3"/>
      <c r="G177" s="3"/>
      <c r="H177" s="3">
        <f t="shared" si="10"/>
        <v>-3075</v>
      </c>
      <c r="I177" s="4">
        <v>28.3</v>
      </c>
      <c r="J177" s="4">
        <f t="shared" si="11"/>
        <v>0</v>
      </c>
    </row>
    <row r="178" spans="1:10">
      <c r="A178" s="2"/>
      <c r="E178" t="e">
        <f>VLOOKUP(TablaMarimba[[#This Row],[Equipo]],Catalogos!$I$4:$J$34,2,FALSE)</f>
        <v>#N/A</v>
      </c>
      <c r="F178" s="3"/>
      <c r="G178" s="3"/>
      <c r="H178" s="3">
        <f t="shared" si="10"/>
        <v>-3075</v>
      </c>
      <c r="I178" s="4">
        <v>28.3</v>
      </c>
      <c r="J178" s="4">
        <f t="shared" si="11"/>
        <v>0</v>
      </c>
    </row>
    <row r="179" spans="1:10">
      <c r="A179" s="2"/>
      <c r="E179" t="e">
        <f>VLOOKUP(TablaMarimba[[#This Row],[Equipo]],Catalogos!$I$4:$J$34,2,FALSE)</f>
        <v>#N/A</v>
      </c>
      <c r="F179" s="3"/>
      <c r="G179" s="3"/>
      <c r="H179" s="3">
        <f t="shared" si="10"/>
        <v>-3075</v>
      </c>
      <c r="I179" s="4">
        <v>28.3</v>
      </c>
      <c r="J179" s="4">
        <f t="shared" si="11"/>
        <v>0</v>
      </c>
    </row>
    <row r="180" spans="1:10">
      <c r="A180" s="2"/>
      <c r="E180" t="e">
        <f>VLOOKUP(TablaMarimba[[#This Row],[Equipo]],Catalogos!$I$4:$J$34,2,FALSE)</f>
        <v>#N/A</v>
      </c>
      <c r="F180" s="3"/>
      <c r="G180" s="3"/>
      <c r="H180" s="3">
        <f t="shared" si="10"/>
        <v>-3075</v>
      </c>
      <c r="I180" s="4">
        <v>28.3</v>
      </c>
      <c r="J180" s="4">
        <f t="shared" si="11"/>
        <v>0</v>
      </c>
    </row>
    <row r="181" spans="1:10">
      <c r="A181" s="2"/>
      <c r="E181" t="e">
        <f>VLOOKUP(TablaMarimba[[#This Row],[Equipo]],Catalogos!$I$4:$J$34,2,FALSE)</f>
        <v>#N/A</v>
      </c>
      <c r="F181" s="3"/>
      <c r="G181" s="3"/>
      <c r="H181" s="3">
        <f t="shared" si="10"/>
        <v>-3075</v>
      </c>
      <c r="I181" s="4">
        <v>28.3</v>
      </c>
      <c r="J181" s="4">
        <f t="shared" si="11"/>
        <v>0</v>
      </c>
    </row>
    <row r="182" spans="1:10">
      <c r="A182" s="2"/>
      <c r="E182" t="e">
        <f>VLOOKUP(TablaMarimba[[#This Row],[Equipo]],Catalogos!$I$4:$J$34,2,FALSE)</f>
        <v>#N/A</v>
      </c>
      <c r="F182" s="3"/>
      <c r="G182" s="3"/>
      <c r="H182" s="3">
        <f t="shared" si="10"/>
        <v>-3075</v>
      </c>
      <c r="I182" s="4">
        <v>28.3</v>
      </c>
      <c r="J182" s="4">
        <f t="shared" si="11"/>
        <v>0</v>
      </c>
    </row>
    <row r="183" spans="1:10">
      <c r="A183" s="2"/>
      <c r="E183" t="e">
        <f>VLOOKUP(TablaMarimba[[#This Row],[Equipo]],Catalogos!$I$4:$J$34,2,FALSE)</f>
        <v>#N/A</v>
      </c>
      <c r="F183" s="3"/>
      <c r="G183" s="3"/>
      <c r="H183" s="3">
        <f t="shared" si="10"/>
        <v>-3075</v>
      </c>
      <c r="I183" s="4">
        <v>28.3</v>
      </c>
      <c r="J183" s="4">
        <f t="shared" si="11"/>
        <v>0</v>
      </c>
    </row>
    <row r="184" spans="1:10">
      <c r="A184" s="2"/>
      <c r="E184" t="e">
        <f>VLOOKUP(TablaMarimba[[#This Row],[Equipo]],Catalogos!$I$4:$J$34,2,FALSE)</f>
        <v>#N/A</v>
      </c>
      <c r="F184" s="3"/>
      <c r="G184" s="3"/>
      <c r="H184" s="3">
        <f t="shared" si="10"/>
        <v>-3075</v>
      </c>
      <c r="I184" s="4">
        <v>28.3</v>
      </c>
      <c r="J184" s="4">
        <f t="shared" si="11"/>
        <v>0</v>
      </c>
    </row>
    <row r="185" spans="1:10">
      <c r="A185" s="2"/>
      <c r="E185" t="e">
        <f>VLOOKUP(TablaMarimba[[#This Row],[Equipo]],Catalogos!$I$4:$J$34,2,FALSE)</f>
        <v>#N/A</v>
      </c>
      <c r="F185" s="3"/>
      <c r="G185" s="3"/>
      <c r="H185" s="3">
        <f t="shared" si="10"/>
        <v>-3075</v>
      </c>
      <c r="I185" s="4">
        <v>28.3</v>
      </c>
      <c r="J185" s="4">
        <f t="shared" si="11"/>
        <v>0</v>
      </c>
    </row>
    <row r="186" spans="1:10">
      <c r="A186" s="2"/>
      <c r="E186" t="e">
        <f>VLOOKUP(TablaMarimba[[#This Row],[Equipo]],Catalogos!$I$4:$J$34,2,FALSE)</f>
        <v>#N/A</v>
      </c>
      <c r="F186" s="3"/>
      <c r="G186" s="3"/>
      <c r="H186" s="3">
        <f t="shared" si="10"/>
        <v>-3075</v>
      </c>
      <c r="I186" s="4">
        <v>28.3</v>
      </c>
      <c r="J186" s="4">
        <f t="shared" si="11"/>
        <v>0</v>
      </c>
    </row>
    <row r="187" spans="1:10">
      <c r="A187" s="2"/>
      <c r="E187" t="e">
        <f>VLOOKUP(TablaMarimba[[#This Row],[Equipo]],Catalogos!$I$4:$J$34,2,FALSE)</f>
        <v>#N/A</v>
      </c>
      <c r="F187" s="3"/>
      <c r="G187" s="3"/>
      <c r="H187" s="3">
        <f t="shared" si="10"/>
        <v>-3075</v>
      </c>
      <c r="I187" s="4">
        <v>28.3</v>
      </c>
      <c r="J187" s="4">
        <f t="shared" si="11"/>
        <v>0</v>
      </c>
    </row>
    <row r="188" spans="1:10">
      <c r="A188" s="2"/>
      <c r="E188" t="e">
        <f>VLOOKUP(TablaMarimba[[#This Row],[Equipo]],Catalogos!$I$4:$J$34,2,FALSE)</f>
        <v>#N/A</v>
      </c>
      <c r="F188" s="3"/>
      <c r="G188" s="3"/>
      <c r="H188" s="3">
        <f t="shared" si="10"/>
        <v>-3075</v>
      </c>
      <c r="I188" s="4">
        <v>28.3</v>
      </c>
      <c r="J188" s="4">
        <f t="shared" si="11"/>
        <v>0</v>
      </c>
    </row>
    <row r="189" spans="1:10">
      <c r="A189" s="2"/>
      <c r="E189" t="e">
        <f>VLOOKUP(TablaMarimba[[#This Row],[Equipo]],Catalogos!$I$4:$J$34,2,FALSE)</f>
        <v>#N/A</v>
      </c>
      <c r="F189" s="3"/>
      <c r="G189" s="3"/>
      <c r="H189" s="3">
        <f t="shared" si="10"/>
        <v>-3075</v>
      </c>
      <c r="I189" s="4">
        <v>28.3</v>
      </c>
      <c r="J189" s="4">
        <f t="shared" si="11"/>
        <v>0</v>
      </c>
    </row>
    <row r="190" spans="1:10">
      <c r="A190" s="2"/>
      <c r="E190" t="e">
        <f>VLOOKUP(TablaMarimba[[#This Row],[Equipo]],Catalogos!$I$4:$J$34,2,FALSE)</f>
        <v>#N/A</v>
      </c>
      <c r="F190" s="3"/>
      <c r="G190" s="3"/>
      <c r="H190" s="3">
        <f t="shared" si="10"/>
        <v>-3075</v>
      </c>
      <c r="I190" s="4">
        <v>28.3</v>
      </c>
      <c r="J190" s="4">
        <f t="shared" si="11"/>
        <v>0</v>
      </c>
    </row>
    <row r="191" spans="1:10">
      <c r="A191" s="2"/>
      <c r="E191" t="e">
        <f>VLOOKUP(TablaMarimba[[#This Row],[Equipo]],Catalogos!$I$4:$J$34,2,FALSE)</f>
        <v>#N/A</v>
      </c>
      <c r="F191" s="3"/>
      <c r="G191" s="3"/>
      <c r="H191" s="3">
        <f t="shared" si="10"/>
        <v>-3075</v>
      </c>
      <c r="I191" s="4">
        <v>28.3</v>
      </c>
      <c r="J191" s="4">
        <f t="shared" si="11"/>
        <v>0</v>
      </c>
    </row>
    <row r="192" spans="1:10">
      <c r="A192" s="2"/>
      <c r="E192" t="e">
        <f>VLOOKUP(TablaMarimba[[#This Row],[Equipo]],Catalogos!$I$4:$J$34,2,FALSE)</f>
        <v>#N/A</v>
      </c>
      <c r="F192" s="3"/>
      <c r="G192" s="3"/>
      <c r="H192" s="3">
        <f t="shared" si="10"/>
        <v>-3075</v>
      </c>
      <c r="I192" s="4">
        <v>28.3</v>
      </c>
      <c r="J192" s="4">
        <f t="shared" si="11"/>
        <v>0</v>
      </c>
    </row>
    <row r="193" spans="1:10">
      <c r="A193" s="2"/>
      <c r="E193" t="e">
        <f>VLOOKUP(TablaMarimba[[#This Row],[Equipo]],Catalogos!$I$4:$J$34,2,FALSE)</f>
        <v>#N/A</v>
      </c>
      <c r="F193" s="3"/>
      <c r="G193" s="3"/>
      <c r="H193" s="3">
        <f t="shared" si="10"/>
        <v>-3075</v>
      </c>
      <c r="I193" s="4">
        <v>28.3</v>
      </c>
      <c r="J193" s="4">
        <f t="shared" si="11"/>
        <v>0</v>
      </c>
    </row>
    <row r="194" spans="1:10">
      <c r="A194" s="2"/>
      <c r="E194" t="e">
        <f>VLOOKUP(TablaMarimba[[#This Row],[Equipo]],Catalogos!$I$4:$J$34,2,FALSE)</f>
        <v>#N/A</v>
      </c>
      <c r="F194" s="3"/>
      <c r="G194" s="3"/>
      <c r="H194" s="3">
        <f t="shared" si="10"/>
        <v>-3075</v>
      </c>
      <c r="I194" s="4">
        <v>28.3</v>
      </c>
      <c r="J194" s="4">
        <f t="shared" si="11"/>
        <v>0</v>
      </c>
    </row>
    <row r="195" spans="1:10">
      <c r="A195" s="2"/>
      <c r="E195" t="e">
        <f>VLOOKUP(TablaMarimba[[#This Row],[Equipo]],Catalogos!$I$4:$J$34,2,FALSE)</f>
        <v>#N/A</v>
      </c>
      <c r="F195" s="3"/>
      <c r="G195" s="3"/>
      <c r="H195" s="3">
        <f t="shared" si="10"/>
        <v>-3075</v>
      </c>
      <c r="I195" s="4">
        <v>28.3</v>
      </c>
      <c r="J195" s="4">
        <f t="shared" si="11"/>
        <v>0</v>
      </c>
    </row>
    <row r="196" spans="1:10">
      <c r="A196" s="2"/>
      <c r="E196" t="e">
        <f>VLOOKUP(TablaMarimba[[#This Row],[Equipo]],Catalogos!$I$4:$J$34,2,FALSE)</f>
        <v>#N/A</v>
      </c>
      <c r="F196" s="3"/>
      <c r="G196" s="3"/>
      <c r="H196" s="3">
        <f t="shared" si="10"/>
        <v>-3075</v>
      </c>
      <c r="I196" s="4">
        <v>28.3</v>
      </c>
      <c r="J196" s="4">
        <f t="shared" si="11"/>
        <v>0</v>
      </c>
    </row>
    <row r="197" spans="1:10">
      <c r="A197" s="2"/>
      <c r="E197" t="e">
        <f>VLOOKUP(TablaMarimba[[#This Row],[Equipo]],Catalogos!$I$4:$J$34,2,FALSE)</f>
        <v>#N/A</v>
      </c>
      <c r="F197" s="3"/>
      <c r="G197" s="3"/>
      <c r="H197" s="3">
        <f t="shared" ref="H197:H204" si="12">IF(ROW()=5,F197-G197,H196+F197-G197)</f>
        <v>-3075</v>
      </c>
      <c r="I197" s="4">
        <v>28.3</v>
      </c>
      <c r="J197" s="4">
        <f t="shared" ref="J197:J204" si="13">IFERROR((F197+G197)*I197,0)</f>
        <v>0</v>
      </c>
    </row>
    <row r="198" spans="1:10">
      <c r="A198" s="2"/>
      <c r="E198" t="e">
        <f>VLOOKUP(TablaMarimba[[#This Row],[Equipo]],Catalogos!$I$4:$J$34,2,FALSE)</f>
        <v>#N/A</v>
      </c>
      <c r="F198" s="3"/>
      <c r="G198" s="3"/>
      <c r="H198" s="3">
        <f t="shared" si="12"/>
        <v>-3075</v>
      </c>
      <c r="I198" s="4">
        <v>28.3</v>
      </c>
      <c r="J198" s="4">
        <f t="shared" si="13"/>
        <v>0</v>
      </c>
    </row>
    <row r="199" spans="1:10">
      <c r="A199" s="2"/>
      <c r="E199" t="e">
        <f>VLOOKUP(TablaMarimba[[#This Row],[Equipo]],Catalogos!$I$4:$J$34,2,FALSE)</f>
        <v>#N/A</v>
      </c>
      <c r="F199" s="3"/>
      <c r="G199" s="3"/>
      <c r="H199" s="3">
        <f t="shared" si="12"/>
        <v>-3075</v>
      </c>
      <c r="I199" s="4">
        <v>28.3</v>
      </c>
      <c r="J199" s="4">
        <f t="shared" si="13"/>
        <v>0</v>
      </c>
    </row>
    <row r="200" spans="1:10">
      <c r="A200" s="2"/>
      <c r="E200" t="e">
        <f>VLOOKUP(TablaMarimba[[#This Row],[Equipo]],Catalogos!$I$4:$J$34,2,FALSE)</f>
        <v>#N/A</v>
      </c>
      <c r="F200" s="3"/>
      <c r="G200" s="3"/>
      <c r="H200" s="3">
        <f t="shared" si="12"/>
        <v>-3075</v>
      </c>
      <c r="I200" s="4">
        <v>28.3</v>
      </c>
      <c r="J200" s="4">
        <f t="shared" si="13"/>
        <v>0</v>
      </c>
    </row>
    <row r="201" spans="1:10">
      <c r="A201" s="2"/>
      <c r="E201" t="e">
        <f>VLOOKUP(TablaMarimba[[#This Row],[Equipo]],Catalogos!$I$4:$J$34,2,FALSE)</f>
        <v>#N/A</v>
      </c>
      <c r="F201" s="3"/>
      <c r="G201" s="3"/>
      <c r="H201" s="3">
        <f t="shared" si="12"/>
        <v>-3075</v>
      </c>
      <c r="I201" s="4">
        <v>28.3</v>
      </c>
      <c r="J201" s="4">
        <f t="shared" si="13"/>
        <v>0</v>
      </c>
    </row>
    <row r="202" spans="1:10">
      <c r="A202" s="2"/>
      <c r="E202" t="e">
        <f>VLOOKUP(TablaMarimba[[#This Row],[Equipo]],Catalogos!$I$4:$J$34,2,FALSE)</f>
        <v>#N/A</v>
      </c>
      <c r="F202" s="3"/>
      <c r="G202" s="3"/>
      <c r="H202" s="3">
        <f t="shared" si="12"/>
        <v>-3075</v>
      </c>
      <c r="I202" s="4">
        <v>28.3</v>
      </c>
      <c r="J202" s="4">
        <f t="shared" si="13"/>
        <v>0</v>
      </c>
    </row>
    <row r="203" spans="1:10">
      <c r="A203" s="2"/>
      <c r="E203" t="e">
        <f>VLOOKUP(TablaMarimba[[#This Row],[Equipo]],Catalogos!$I$4:$J$34,2,FALSE)</f>
        <v>#N/A</v>
      </c>
      <c r="F203" s="3"/>
      <c r="G203" s="3"/>
      <c r="H203" s="3">
        <f t="shared" si="12"/>
        <v>-3075</v>
      </c>
      <c r="I203" s="4">
        <v>28.3</v>
      </c>
      <c r="J203" s="4">
        <f t="shared" si="13"/>
        <v>0</v>
      </c>
    </row>
    <row r="204" spans="1:10">
      <c r="A204" s="2"/>
      <c r="E204" t="e">
        <f>VLOOKUP(TablaMarimba[[#This Row],[Equipo]],Catalogos!$I$4:$J$34,2,FALSE)</f>
        <v>#N/A</v>
      </c>
      <c r="F204" s="3"/>
      <c r="G204" s="3"/>
      <c r="H204" s="3">
        <f t="shared" si="12"/>
        <v>-3075</v>
      </c>
      <c r="I204" s="4">
        <v>28.3</v>
      </c>
      <c r="J204" s="4">
        <f t="shared" si="13"/>
        <v>0</v>
      </c>
    </row>
  </sheetData>
  <mergeCells count="1">
    <mergeCell ref="A1:L1"/>
  </mergeCells>
  <dataValidations count="2">
    <dataValidation type="list" sqref="B5:B204" xr:uid="{00000000-0002-0000-0200-000000000000}">
      <formula1>"Entrada desde Pegaso,Salida a Obra,Ajuste"</formula1>
    </dataValidation>
    <dataValidation sqref="E5:E204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Catalogos!$B$4:$B$7</xm:f>
          </x14:formula1>
          <xm:sqref>C5:C204</xm:sqref>
        </x14:dataValidation>
        <x14:dataValidation type="list" allowBlank="1" showInputMessage="1" showErrorMessage="1" xr:uid="{3E6D9B6D-EF91-479C-AFA6-53D2BE2844F1}">
          <x14:formula1>
            <xm:f>Catalogos!$I$4:$I$34</xm:f>
          </x14:formula1>
          <xm:sqref>D5:D204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dimension ref="A1:K306"/>
  <sheetViews>
    <sheetView topLeftCell="A51" workbookViewId="0">
      <selection activeCell="A4" sqref="A4:K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s="406" t="s">
        <v>75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</row>
    <row r="2" spans="1:11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1" ht="27.6">
      <c r="A4" s="1" t="s">
        <v>86</v>
      </c>
      <c r="B4" s="1" t="s">
        <v>0</v>
      </c>
      <c r="C4" s="1" t="s">
        <v>85</v>
      </c>
      <c r="D4" s="1" t="s">
        <v>27</v>
      </c>
      <c r="E4" s="1" t="s">
        <v>28</v>
      </c>
      <c r="F4" s="1" t="s">
        <v>78</v>
      </c>
      <c r="G4" s="1" t="s">
        <v>17</v>
      </c>
      <c r="H4" s="1" t="s">
        <v>18</v>
      </c>
      <c r="I4" s="1" t="s">
        <v>119</v>
      </c>
      <c r="J4" s="1" t="s">
        <v>36</v>
      </c>
      <c r="K4" s="1" t="s">
        <v>19</v>
      </c>
    </row>
    <row r="5" spans="1:11">
      <c r="A5" s="2">
        <v>46180</v>
      </c>
      <c r="B5" t="s">
        <v>1</v>
      </c>
      <c r="C5" s="2">
        <v>46181</v>
      </c>
      <c r="D5" t="s">
        <v>76</v>
      </c>
      <c r="E5" t="str">
        <f>VLOOKUP(TablaObra5[[#This Row],[Equipo]],Catalogos!$I$3:$J$34,2,FALSE)</f>
        <v>VG-01</v>
      </c>
      <c r="F5" s="3">
        <v>200</v>
      </c>
      <c r="G5" s="4">
        <v>28.3</v>
      </c>
      <c r="H5" s="4">
        <f t="shared" ref="H5:H70" si="0">IFERROR(F5*G5,0)</f>
        <v>5660</v>
      </c>
      <c r="I5" t="str">
        <f>VLOOKUP(TablaObra5[[#This Row],[Obra]],Catalogos!$B$3:$C$8,2,FALSE)</f>
        <v>Samuel Ortega</v>
      </c>
    </row>
    <row r="6" spans="1:11">
      <c r="A6" s="2">
        <v>46180</v>
      </c>
      <c r="B6" t="s">
        <v>1</v>
      </c>
      <c r="C6" s="2">
        <v>46181</v>
      </c>
      <c r="D6" t="s">
        <v>80</v>
      </c>
      <c r="E6" t="str">
        <f>VLOOKUP(TablaObra5[[#This Row],[Equipo]],Catalogos!$I$3:$J$34,2,FALSE)</f>
        <v>PR-01</v>
      </c>
      <c r="F6" s="3">
        <v>300</v>
      </c>
      <c r="G6" s="4">
        <v>28.3</v>
      </c>
      <c r="H6" s="4">
        <f t="shared" si="0"/>
        <v>8490</v>
      </c>
      <c r="I6" t="str">
        <f>VLOOKUP(TablaObra5[[#This Row],[Obra]],Catalogos!$B$3:$C$8,2,FALSE)</f>
        <v>Samuel Ortega</v>
      </c>
    </row>
    <row r="7" spans="1:11">
      <c r="A7" s="2">
        <v>46180</v>
      </c>
      <c r="B7" t="s">
        <v>1</v>
      </c>
      <c r="C7" s="2">
        <v>46181</v>
      </c>
      <c r="D7" t="s">
        <v>60</v>
      </c>
      <c r="E7" t="str">
        <f>VLOOKUP(TablaObra5[[#This Row],[Equipo]],Catalogos!$I$3:$J$34,2,FALSE)</f>
        <v>RT-01</v>
      </c>
      <c r="F7" s="3">
        <v>30</v>
      </c>
      <c r="G7" s="4">
        <v>28.3</v>
      </c>
      <c r="H7" s="4">
        <f t="shared" si="0"/>
        <v>849</v>
      </c>
      <c r="I7" t="str">
        <f>VLOOKUP(TablaObra5[[#This Row],[Obra]],Catalogos!$B$3:$C$8,2,FALSE)</f>
        <v>Samuel Ortega</v>
      </c>
    </row>
    <row r="8" spans="1:11">
      <c r="A8" s="2">
        <v>46180</v>
      </c>
      <c r="B8" t="s">
        <v>1</v>
      </c>
      <c r="C8" s="2">
        <v>46181</v>
      </c>
      <c r="D8" t="s">
        <v>81</v>
      </c>
      <c r="E8" t="str">
        <f>VLOOKUP(TablaObra5[[#This Row],[Equipo]],Catalogos!$I$3:$J$34,2,FALSE)</f>
        <v>BR-01</v>
      </c>
      <c r="F8" s="3">
        <v>20</v>
      </c>
      <c r="G8" s="4">
        <v>28.3</v>
      </c>
      <c r="H8" s="4">
        <f t="shared" si="0"/>
        <v>566</v>
      </c>
      <c r="I8" t="str">
        <f>VLOOKUP(TablaObra5[[#This Row],[Obra]],Catalogos!$B$3:$C$8,2,FALSE)</f>
        <v>Samuel Ortega</v>
      </c>
    </row>
    <row r="9" spans="1:11">
      <c r="A9" s="2">
        <v>46180</v>
      </c>
      <c r="B9" t="s">
        <v>1</v>
      </c>
      <c r="C9" s="2">
        <v>46181</v>
      </c>
      <c r="D9" t="s">
        <v>97</v>
      </c>
      <c r="E9" t="str">
        <f>VLOOKUP(TablaObra5[[#This Row],[Equipo]],Catalogos!$I$3:$J$34,2,FALSE)</f>
        <v>NM-01</v>
      </c>
      <c r="F9" s="3">
        <v>30</v>
      </c>
      <c r="G9" s="4">
        <v>28.3</v>
      </c>
      <c r="H9" s="4">
        <f t="shared" si="0"/>
        <v>849</v>
      </c>
      <c r="I9" t="str">
        <f>VLOOKUP(TablaObra5[[#This Row],[Obra]],Catalogos!$B$3:$C$8,2,FALSE)</f>
        <v>Samuel Ortega</v>
      </c>
    </row>
    <row r="10" spans="1:11">
      <c r="A10" s="2">
        <v>46180</v>
      </c>
      <c r="B10" t="s">
        <v>1</v>
      </c>
      <c r="C10" s="2">
        <v>46181</v>
      </c>
      <c r="D10" t="s">
        <v>51</v>
      </c>
      <c r="E10" t="str">
        <f>VLOOKUP(TablaObra5[[#This Row],[Equipo]],Catalogos!$I$3:$J$34,2,FALSE)</f>
        <v>CP-01</v>
      </c>
      <c r="F10" s="3">
        <v>30</v>
      </c>
      <c r="G10" s="4">
        <v>28.3</v>
      </c>
      <c r="H10" s="4">
        <f t="shared" si="0"/>
        <v>849</v>
      </c>
      <c r="I10" t="str">
        <f>VLOOKUP(TablaObra5[[#This Row],[Obra]],Catalogos!$B$3:$C$8,2,FALSE)</f>
        <v>Samuel Ortega</v>
      </c>
    </row>
    <row r="11" spans="1:11">
      <c r="A11" s="2">
        <v>46180</v>
      </c>
      <c r="B11" t="s">
        <v>1</v>
      </c>
      <c r="C11" s="2">
        <v>46181</v>
      </c>
      <c r="D11" t="s">
        <v>114</v>
      </c>
      <c r="E11" t="str">
        <f>VLOOKUP(TablaObra5[[#This Row],[Equipo]],Catalogos!$I$3:$J$34,2,FALSE)</f>
        <v>LP-01</v>
      </c>
      <c r="F11" s="3">
        <v>30</v>
      </c>
      <c r="G11" s="4">
        <v>28.3</v>
      </c>
      <c r="H11" s="4">
        <f t="shared" si="0"/>
        <v>849</v>
      </c>
      <c r="I11" t="str">
        <f>VLOOKUP(TablaObra5[[#This Row],[Obra]],Catalogos!$B$3:$C$8,2,FALSE)</f>
        <v>Samuel Ortega</v>
      </c>
    </row>
    <row r="12" spans="1:11">
      <c r="A12" s="2">
        <v>46180</v>
      </c>
      <c r="B12" t="s">
        <v>2</v>
      </c>
      <c r="C12" s="2">
        <v>46181</v>
      </c>
      <c r="D12" t="s">
        <v>60</v>
      </c>
      <c r="E12" t="str">
        <f>VLOOKUP(TablaObra5[[#This Row],[Equipo]],Catalogos!$I$3:$J$34,2,FALSE)</f>
        <v>RT-01</v>
      </c>
      <c r="F12" s="3">
        <v>50</v>
      </c>
      <c r="G12" s="4">
        <v>28.3</v>
      </c>
      <c r="H12" s="4">
        <f t="shared" si="0"/>
        <v>1415</v>
      </c>
      <c r="I12" t="str">
        <f>VLOOKUP(TablaObra5[[#This Row],[Obra]],Catalogos!$B$3:$C$8,2,FALSE)</f>
        <v>Apolinar</v>
      </c>
    </row>
    <row r="13" spans="1:11">
      <c r="A13" s="2">
        <v>46180</v>
      </c>
      <c r="B13" t="s">
        <v>2</v>
      </c>
      <c r="C13" s="2">
        <v>46181</v>
      </c>
      <c r="D13" t="s">
        <v>97</v>
      </c>
      <c r="E13" t="str">
        <f>VLOOKUP(TablaObra5[[#This Row],[Equipo]],Catalogos!$I$3:$J$34,2,FALSE)</f>
        <v>NM-01</v>
      </c>
      <c r="F13" s="3">
        <v>50</v>
      </c>
      <c r="G13" s="4">
        <v>28.3</v>
      </c>
      <c r="H13" s="4">
        <f t="shared" si="0"/>
        <v>1415</v>
      </c>
      <c r="I13" t="str">
        <f>VLOOKUP(TablaObra5[[#This Row],[Obra]],Catalogos!$B$3:$C$8,2,FALSE)</f>
        <v>Apolinar</v>
      </c>
    </row>
    <row r="14" spans="1:11">
      <c r="A14" s="2">
        <v>46180</v>
      </c>
      <c r="B14" t="s">
        <v>2</v>
      </c>
      <c r="C14" s="2">
        <v>46181</v>
      </c>
      <c r="D14" t="s">
        <v>65</v>
      </c>
      <c r="E14" t="str">
        <f>VLOOKUP(TablaObra5[[#This Row],[Equipo]],Catalogos!$I$3:$J$34,2,FALSE)</f>
        <v>PT-01</v>
      </c>
      <c r="F14" s="3">
        <v>60</v>
      </c>
      <c r="G14" s="4">
        <v>28.3</v>
      </c>
      <c r="H14" s="4">
        <f t="shared" si="0"/>
        <v>1698</v>
      </c>
      <c r="I14" t="str">
        <f>VLOOKUP(TablaObra5[[#This Row],[Obra]],Catalogos!$B$3:$C$8,2,FALSE)</f>
        <v>Apolinar</v>
      </c>
    </row>
    <row r="15" spans="1:11">
      <c r="A15" s="2">
        <v>46181</v>
      </c>
      <c r="B15" t="s">
        <v>126</v>
      </c>
      <c r="C15" s="2"/>
      <c r="D15" t="s">
        <v>60</v>
      </c>
      <c r="E15" t="str">
        <f>VLOOKUP(TablaObra5[[#This Row],[Equipo]],Catalogos!$I$3:$J$34,2,FALSE)</f>
        <v>RT-01</v>
      </c>
      <c r="F15" s="3">
        <v>100</v>
      </c>
      <c r="G15" s="4">
        <v>28.3</v>
      </c>
      <c r="H15" s="4">
        <f>IFERROR(F15*G15,0)</f>
        <v>2830</v>
      </c>
      <c r="I15" t="str">
        <f>VLOOKUP(TablaObra5[[#This Row],[Obra]],Catalogos!$B$3:$C$8,2,FALSE)</f>
        <v>Diego Carreola</v>
      </c>
    </row>
    <row r="16" spans="1:11">
      <c r="A16" s="2">
        <v>46181</v>
      </c>
      <c r="B16" t="s">
        <v>3</v>
      </c>
      <c r="C16" s="2">
        <v>46181</v>
      </c>
      <c r="D16" t="s">
        <v>87</v>
      </c>
      <c r="E16" t="str">
        <f>VLOOKUP(TablaObra5[[#This Row],[Equipo]],Catalogos!$I$3:$J$34,2,FALSE)</f>
        <v>PR-02</v>
      </c>
      <c r="F16" s="3">
        <v>250</v>
      </c>
      <c r="G16" s="4">
        <v>28.3</v>
      </c>
      <c r="H16" s="4">
        <f t="shared" si="0"/>
        <v>7075</v>
      </c>
      <c r="I16" t="str">
        <f>VLOOKUP(TablaObra5[[#This Row],[Obra]],Catalogos!$B$3:$C$8,2,FALSE)</f>
        <v>Francisco Javier</v>
      </c>
    </row>
    <row r="17" spans="1:9">
      <c r="A17" s="2">
        <v>46181</v>
      </c>
      <c r="B17" t="s">
        <v>3</v>
      </c>
      <c r="C17" s="2">
        <v>46181</v>
      </c>
      <c r="D17" t="s">
        <v>89</v>
      </c>
      <c r="E17" t="str">
        <f>VLOOKUP(TablaObra5[[#This Row],[Equipo]],Catalogos!$I$3:$J$34,2,FALSE)</f>
        <v>PR-03</v>
      </c>
      <c r="F17" s="3">
        <v>150</v>
      </c>
      <c r="G17" s="4">
        <v>28.3</v>
      </c>
      <c r="H17" s="4">
        <f t="shared" si="0"/>
        <v>4245</v>
      </c>
      <c r="I17" t="str">
        <f>VLOOKUP(TablaObra5[[#This Row],[Obra]],Catalogos!$B$3:$C$8,2,FALSE)</f>
        <v>Francisco Javier</v>
      </c>
    </row>
    <row r="18" spans="1:9">
      <c r="A18" s="2">
        <v>46181</v>
      </c>
      <c r="B18" t="s">
        <v>3</v>
      </c>
      <c r="C18" s="2">
        <v>46181</v>
      </c>
      <c r="D18" t="s">
        <v>91</v>
      </c>
      <c r="E18" t="str">
        <f>VLOOKUP(TablaObra5[[#This Row],[Equipo]],Catalogos!$I$3:$J$34,2,FALSE)</f>
        <v>BR-02</v>
      </c>
      <c r="F18" s="3">
        <v>40</v>
      </c>
      <c r="G18" s="4">
        <v>28.3</v>
      </c>
      <c r="H18" s="4">
        <f t="shared" si="0"/>
        <v>1132</v>
      </c>
      <c r="I18" t="str">
        <f>VLOOKUP(TablaObra5[[#This Row],[Obra]],Catalogos!$B$3:$C$8,2,FALSE)</f>
        <v>Francisco Javier</v>
      </c>
    </row>
    <row r="19" spans="1:9">
      <c r="A19" s="2">
        <v>46181</v>
      </c>
      <c r="B19" t="s">
        <v>3</v>
      </c>
      <c r="C19" s="2">
        <v>46181</v>
      </c>
      <c r="D19" t="s">
        <v>93</v>
      </c>
      <c r="E19" t="str">
        <f>VLOOKUP(TablaObra5[[#This Row],[Equipo]],Catalogos!$I$3:$J$34,2,FALSE)</f>
        <v>RT-02</v>
      </c>
      <c r="F19" s="3">
        <v>60</v>
      </c>
      <c r="G19" s="4">
        <v>28.3</v>
      </c>
      <c r="H19" s="4">
        <f t="shared" si="0"/>
        <v>1698</v>
      </c>
      <c r="I19" t="str">
        <f>VLOOKUP(TablaObra5[[#This Row],[Obra]],Catalogos!$B$3:$C$8,2,FALSE)</f>
        <v>Francisco Javier</v>
      </c>
    </row>
    <row r="20" spans="1:9">
      <c r="A20" s="2">
        <v>46181</v>
      </c>
      <c r="B20" t="s">
        <v>3</v>
      </c>
      <c r="C20" s="2">
        <v>46181</v>
      </c>
      <c r="D20" t="s">
        <v>95</v>
      </c>
      <c r="E20" t="str">
        <f>VLOOKUP(TablaObra5[[#This Row],[Equipo]],Catalogos!$I$3:$J$34,2,FALSE)</f>
        <v>BG-01</v>
      </c>
      <c r="F20" s="3">
        <v>100</v>
      </c>
      <c r="G20" s="4">
        <v>28.3</v>
      </c>
      <c r="H20" s="4">
        <f t="shared" si="0"/>
        <v>2830</v>
      </c>
      <c r="I20" t="str">
        <f>VLOOKUP(TablaObra5[[#This Row],[Obra]],Catalogos!$B$3:$C$8,2,FALSE)</f>
        <v>Francisco Javier</v>
      </c>
    </row>
    <row r="21" spans="1:9">
      <c r="A21" s="2">
        <v>46181</v>
      </c>
      <c r="B21" t="s">
        <v>3</v>
      </c>
      <c r="C21" s="2">
        <v>46181</v>
      </c>
      <c r="D21" t="s">
        <v>98</v>
      </c>
      <c r="E21" t="str">
        <f>VLOOKUP(TablaObra5[[#This Row],[Equipo]],Catalogos!$I$3:$J$34,2,FALSE)</f>
        <v>VG-02</v>
      </c>
      <c r="F21" s="3">
        <v>100</v>
      </c>
      <c r="G21" s="4">
        <v>28.3</v>
      </c>
      <c r="H21" s="4">
        <f t="shared" si="0"/>
        <v>2830</v>
      </c>
      <c r="I21" t="str">
        <f>VLOOKUP(TablaObra5[[#This Row],[Obra]],Catalogos!$B$3:$C$8,2,FALSE)</f>
        <v>Francisco Javier</v>
      </c>
    </row>
    <row r="22" spans="1:9">
      <c r="A22" s="2">
        <v>46181</v>
      </c>
      <c r="B22" t="s">
        <v>3</v>
      </c>
      <c r="C22" s="2">
        <v>46181</v>
      </c>
      <c r="D22" t="s">
        <v>114</v>
      </c>
      <c r="E22" t="str">
        <f>VLOOKUP(TablaObra5[[#This Row],[Equipo]],Catalogos!$I$3:$J$34,2,FALSE)</f>
        <v>LP-01</v>
      </c>
      <c r="F22" s="3">
        <v>20</v>
      </c>
      <c r="G22" s="4">
        <v>28.3</v>
      </c>
      <c r="H22" s="4">
        <f t="shared" si="0"/>
        <v>566</v>
      </c>
      <c r="I22" t="str">
        <f>VLOOKUP(TablaObra5[[#This Row],[Obra]],Catalogos!$B$3:$C$8,2,FALSE)</f>
        <v>Francisco Javier</v>
      </c>
    </row>
    <row r="23" spans="1:9">
      <c r="A23" s="2">
        <v>46181</v>
      </c>
      <c r="B23" t="s">
        <v>3</v>
      </c>
      <c r="C23" s="2">
        <v>46181</v>
      </c>
      <c r="D23" t="s">
        <v>100</v>
      </c>
      <c r="E23" t="str">
        <f>VLOOKUP(TablaObra5[[#This Row],[Equipo]],Catalogos!$I$3:$J$34,2,FALSE)</f>
        <v>TD-01</v>
      </c>
      <c r="F23" s="3">
        <v>50</v>
      </c>
      <c r="G23" s="4">
        <v>28.3</v>
      </c>
      <c r="H23" s="4">
        <f t="shared" si="0"/>
        <v>1415</v>
      </c>
      <c r="I23" t="str">
        <f>VLOOKUP(TablaObra5[[#This Row],[Obra]],Catalogos!$B$3:$C$8,2,FALSE)</f>
        <v>Francisco Javier</v>
      </c>
    </row>
    <row r="24" spans="1:9">
      <c r="A24" s="2">
        <v>46181</v>
      </c>
      <c r="B24" t="s">
        <v>3</v>
      </c>
      <c r="C24" s="2">
        <v>46181</v>
      </c>
      <c r="D24" t="s">
        <v>102</v>
      </c>
      <c r="E24" t="str">
        <f>VLOOKUP(TablaObra5[[#This Row],[Equipo]],Catalogos!$I$3:$J$34,2,FALSE)</f>
        <v>NM-02</v>
      </c>
      <c r="F24" s="3">
        <v>50</v>
      </c>
      <c r="G24" s="4">
        <v>28.3</v>
      </c>
      <c r="H24" s="4">
        <f t="shared" si="0"/>
        <v>1415</v>
      </c>
      <c r="I24" t="str">
        <f>VLOOKUP(TablaObra5[[#This Row],[Obra]],Catalogos!$B$3:$C$8,2,FALSE)</f>
        <v>Francisco Javier</v>
      </c>
    </row>
    <row r="25" spans="1:9">
      <c r="A25" s="2">
        <v>46181</v>
      </c>
      <c r="B25" t="s">
        <v>3</v>
      </c>
      <c r="C25" s="2">
        <v>46181</v>
      </c>
      <c r="D25" t="s">
        <v>104</v>
      </c>
      <c r="E25" t="str">
        <f>VLOOKUP(TablaObra5[[#This Row],[Equipo]],Catalogos!$I$3:$J$34,2,FALSE)</f>
        <v>PT-02</v>
      </c>
      <c r="F25" s="3">
        <v>50</v>
      </c>
      <c r="G25" s="4">
        <v>28.3</v>
      </c>
      <c r="H25" s="4">
        <f t="shared" si="0"/>
        <v>1415</v>
      </c>
      <c r="I25" t="str">
        <f>VLOOKUP(TablaObra5[[#This Row],[Obra]],Catalogos!$B$3:$C$8,2,FALSE)</f>
        <v>Francisco Javier</v>
      </c>
    </row>
    <row r="26" spans="1:9">
      <c r="A26" s="2">
        <v>46181</v>
      </c>
      <c r="B26" t="s">
        <v>3</v>
      </c>
      <c r="C26" s="2">
        <v>46181</v>
      </c>
      <c r="D26" t="s">
        <v>106</v>
      </c>
      <c r="E26" t="str">
        <f>VLOOKUP(TablaObra5[[#This Row],[Equipo]],Catalogos!$I$3:$J$34,2,FALSE)</f>
        <v>CI-01</v>
      </c>
      <c r="F26" s="3">
        <v>20</v>
      </c>
      <c r="G26" s="4">
        <v>28.3</v>
      </c>
      <c r="H26" s="4">
        <f t="shared" si="0"/>
        <v>566</v>
      </c>
      <c r="I26" t="str">
        <f>VLOOKUP(TablaObra5[[#This Row],[Obra]],Catalogos!$B$3:$C$8,2,FALSE)</f>
        <v>Francisco Javier</v>
      </c>
    </row>
    <row r="27" spans="1:9">
      <c r="A27" s="2">
        <v>46181</v>
      </c>
      <c r="B27" t="s">
        <v>3</v>
      </c>
      <c r="C27" s="2">
        <v>46181</v>
      </c>
      <c r="D27" t="s">
        <v>108</v>
      </c>
      <c r="E27" t="str">
        <f>VLOOKUP(TablaObra5[[#This Row],[Equipo]],Catalogos!$I$3:$J$34,2,FALSE)</f>
        <v>MX-01</v>
      </c>
      <c r="F27" s="3">
        <v>50</v>
      </c>
      <c r="G27" s="4">
        <v>28.3</v>
      </c>
      <c r="H27" s="4">
        <f t="shared" si="0"/>
        <v>1415</v>
      </c>
      <c r="I27" t="str">
        <f>VLOOKUP(TablaObra5[[#This Row],[Obra]],Catalogos!$B$3:$C$8,2,FALSE)</f>
        <v>Francisco Javier</v>
      </c>
    </row>
    <row r="28" spans="1:9">
      <c r="A28" s="2">
        <v>46181</v>
      </c>
      <c r="B28" t="s">
        <v>3</v>
      </c>
      <c r="C28" s="2">
        <v>46181</v>
      </c>
      <c r="D28" t="s">
        <v>110</v>
      </c>
      <c r="E28" t="str">
        <f>VLOOKUP(TablaObra5[[#This Row],[Equipo]],Catalogos!$I$3:$J$34,2,FALSE)</f>
        <v>CPR-01</v>
      </c>
      <c r="F28" s="3">
        <v>40</v>
      </c>
      <c r="G28" s="4">
        <v>28.3</v>
      </c>
      <c r="H28" s="4">
        <f t="shared" si="0"/>
        <v>1132</v>
      </c>
      <c r="I28" t="str">
        <f>VLOOKUP(TablaObra5[[#This Row],[Obra]],Catalogos!$B$3:$C$8,2,FALSE)</f>
        <v>Francisco Javier</v>
      </c>
    </row>
    <row r="29" spans="1:9">
      <c r="A29" s="2">
        <v>46181</v>
      </c>
      <c r="B29" t="s">
        <v>3</v>
      </c>
      <c r="C29" s="2">
        <v>46181</v>
      </c>
      <c r="D29" t="s">
        <v>112</v>
      </c>
      <c r="E29" t="str">
        <f>VLOOKUP(TablaObra5[[#This Row],[Equipo]],Catalogos!$I$3:$J$34,2,FALSE)</f>
        <v>RS-01</v>
      </c>
      <c r="F29" s="3">
        <v>10</v>
      </c>
      <c r="G29" s="4">
        <v>28.3</v>
      </c>
      <c r="H29" s="4">
        <f t="shared" si="0"/>
        <v>283</v>
      </c>
      <c r="I29" t="str">
        <f>VLOOKUP(TablaObra5[[#This Row],[Obra]],Catalogos!$B$3:$C$8,2,FALSE)</f>
        <v>Francisco Javier</v>
      </c>
    </row>
    <row r="30" spans="1:9">
      <c r="A30" s="2">
        <v>46182</v>
      </c>
      <c r="B30" t="s">
        <v>3</v>
      </c>
      <c r="C30" s="2">
        <v>46182</v>
      </c>
      <c r="D30" t="s">
        <v>87</v>
      </c>
      <c r="E30" t="str">
        <f>VLOOKUP(TablaObra5[[#This Row],[Equipo]],Catalogos!$I$3:$J$34,2,FALSE)</f>
        <v>PR-02</v>
      </c>
      <c r="F30" s="3">
        <v>250</v>
      </c>
      <c r="G30" s="4">
        <v>28.3</v>
      </c>
      <c r="H30" s="4">
        <f t="shared" si="0"/>
        <v>7075</v>
      </c>
      <c r="I30" t="str">
        <f>VLOOKUP(TablaObra5[[#This Row],[Obra]],Catalogos!$B$3:$C$8,2,FALSE)</f>
        <v>Francisco Javier</v>
      </c>
    </row>
    <row r="31" spans="1:9">
      <c r="A31" s="2">
        <v>46182</v>
      </c>
      <c r="B31" t="s">
        <v>3</v>
      </c>
      <c r="C31" s="2">
        <v>46182</v>
      </c>
      <c r="D31" t="s">
        <v>91</v>
      </c>
      <c r="E31" t="str">
        <f>VLOOKUP(TablaObra5[[#This Row],[Equipo]],Catalogos!$I$3:$J$34,2,FALSE)</f>
        <v>BR-02</v>
      </c>
      <c r="F31" s="3">
        <v>40</v>
      </c>
      <c r="G31" s="4">
        <v>28.3</v>
      </c>
      <c r="H31" s="4">
        <f t="shared" si="0"/>
        <v>1132</v>
      </c>
      <c r="I31" t="str">
        <f>VLOOKUP(TablaObra5[[#This Row],[Obra]],Catalogos!$B$3:$C$8,2,FALSE)</f>
        <v>Francisco Javier</v>
      </c>
    </row>
    <row r="32" spans="1:9">
      <c r="A32" s="2">
        <v>46182</v>
      </c>
      <c r="B32" t="s">
        <v>3</v>
      </c>
      <c r="C32" s="2">
        <v>46182</v>
      </c>
      <c r="D32" t="s">
        <v>93</v>
      </c>
      <c r="E32" t="str">
        <f>VLOOKUP(TablaObra5[[#This Row],[Equipo]],Catalogos!$I$3:$J$34,2,FALSE)</f>
        <v>RT-02</v>
      </c>
      <c r="F32" s="3">
        <v>60</v>
      </c>
      <c r="G32" s="4">
        <v>28.3</v>
      </c>
      <c r="H32" s="4">
        <f t="shared" si="0"/>
        <v>1698</v>
      </c>
      <c r="I32" t="str">
        <f>VLOOKUP(TablaObra5[[#This Row],[Obra]],Catalogos!$B$3:$C$8,2,FALSE)</f>
        <v>Francisco Javier</v>
      </c>
    </row>
    <row r="33" spans="1:11">
      <c r="A33" s="2">
        <v>46182</v>
      </c>
      <c r="B33" t="s">
        <v>3</v>
      </c>
      <c r="C33" s="2">
        <v>46182</v>
      </c>
      <c r="D33" t="s">
        <v>95</v>
      </c>
      <c r="E33" t="str">
        <f>VLOOKUP(TablaObra5[[#This Row],[Equipo]],Catalogos!$I$3:$J$34,2,FALSE)</f>
        <v>BG-01</v>
      </c>
      <c r="F33" s="3">
        <v>100</v>
      </c>
      <c r="G33" s="4">
        <v>28.3</v>
      </c>
      <c r="H33" s="4">
        <f t="shared" si="0"/>
        <v>2830</v>
      </c>
      <c r="I33" t="str">
        <f>VLOOKUP(TablaObra5[[#This Row],[Obra]],Catalogos!$B$3:$C$8,2,FALSE)</f>
        <v>Francisco Javier</v>
      </c>
    </row>
    <row r="34" spans="1:11">
      <c r="A34" s="2">
        <v>46182</v>
      </c>
      <c r="B34" t="s">
        <v>3</v>
      </c>
      <c r="C34" s="2">
        <v>46182</v>
      </c>
      <c r="D34" t="s">
        <v>98</v>
      </c>
      <c r="E34" t="str">
        <f>VLOOKUP(TablaObra5[[#This Row],[Equipo]],Catalogos!$I$3:$J$34,2,FALSE)</f>
        <v>VG-02</v>
      </c>
      <c r="F34" s="3">
        <v>100</v>
      </c>
      <c r="G34" s="4">
        <v>28.3</v>
      </c>
      <c r="H34" s="4">
        <f t="shared" si="0"/>
        <v>2830</v>
      </c>
      <c r="I34" t="str">
        <f>VLOOKUP(TablaObra5[[#This Row],[Obra]],Catalogos!$B$3:$C$8,2,FALSE)</f>
        <v>Francisco Javier</v>
      </c>
    </row>
    <row r="35" spans="1:11">
      <c r="A35" s="2">
        <v>46182</v>
      </c>
      <c r="B35" t="s">
        <v>3</v>
      </c>
      <c r="C35" s="2">
        <v>46182</v>
      </c>
      <c r="D35" t="s">
        <v>114</v>
      </c>
      <c r="E35" t="str">
        <f>VLOOKUP(TablaObra5[[#This Row],[Equipo]],Catalogos!$I$3:$J$34,2,FALSE)</f>
        <v>LP-01</v>
      </c>
      <c r="F35" s="3">
        <v>20</v>
      </c>
      <c r="G35" s="4">
        <v>28.3</v>
      </c>
      <c r="H35" s="4">
        <f t="shared" si="0"/>
        <v>566</v>
      </c>
      <c r="I35" t="str">
        <f>VLOOKUP(TablaObra5[[#This Row],[Obra]],Catalogos!$B$3:$C$8,2,FALSE)</f>
        <v>Francisco Javier</v>
      </c>
    </row>
    <row r="36" spans="1:11">
      <c r="A36" s="2">
        <v>46182</v>
      </c>
      <c r="B36" t="s">
        <v>3</v>
      </c>
      <c r="C36" s="2">
        <v>46182</v>
      </c>
      <c r="D36" t="s">
        <v>100</v>
      </c>
      <c r="E36" t="str">
        <f>VLOOKUP(TablaObra5[[#This Row],[Equipo]],Catalogos!$I$3:$J$34,2,FALSE)</f>
        <v>TD-01</v>
      </c>
      <c r="F36" s="3">
        <v>50</v>
      </c>
      <c r="G36" s="4">
        <v>28.3</v>
      </c>
      <c r="H36" s="4">
        <f t="shared" si="0"/>
        <v>1415</v>
      </c>
      <c r="I36" t="str">
        <f>VLOOKUP(TablaObra5[[#This Row],[Obra]],Catalogos!$B$3:$C$8,2,FALSE)</f>
        <v>Francisco Javier</v>
      </c>
    </row>
    <row r="37" spans="1:11">
      <c r="A37" s="2">
        <v>46182</v>
      </c>
      <c r="B37" t="s">
        <v>3</v>
      </c>
      <c r="C37" s="2">
        <v>46182</v>
      </c>
      <c r="D37" t="s">
        <v>102</v>
      </c>
      <c r="E37" t="str">
        <f>VLOOKUP(TablaObra5[[#This Row],[Equipo]],Catalogos!$I$3:$J$34,2,FALSE)</f>
        <v>NM-02</v>
      </c>
      <c r="F37" s="3">
        <v>50</v>
      </c>
      <c r="G37" s="4">
        <v>28.3</v>
      </c>
      <c r="H37" s="4">
        <f t="shared" si="0"/>
        <v>1415</v>
      </c>
      <c r="I37" t="str">
        <f>VLOOKUP(TablaObra5[[#This Row],[Obra]],Catalogos!$B$3:$C$8,2,FALSE)</f>
        <v>Francisco Javier</v>
      </c>
    </row>
    <row r="38" spans="1:11">
      <c r="A38" s="2">
        <v>46182</v>
      </c>
      <c r="B38" t="s">
        <v>3</v>
      </c>
      <c r="C38" s="2">
        <v>46182</v>
      </c>
      <c r="D38" t="s">
        <v>104</v>
      </c>
      <c r="E38" t="str">
        <f>VLOOKUP(TablaObra5[[#This Row],[Equipo]],Catalogos!$I$3:$J$34,2,FALSE)</f>
        <v>PT-02</v>
      </c>
      <c r="F38" s="3">
        <v>50</v>
      </c>
      <c r="G38" s="4">
        <v>28.3</v>
      </c>
      <c r="H38" s="4">
        <f t="shared" si="0"/>
        <v>1415</v>
      </c>
      <c r="I38" t="str">
        <f>VLOOKUP(TablaObra5[[#This Row],[Obra]],Catalogos!$B$3:$C$8,2,FALSE)</f>
        <v>Francisco Javier</v>
      </c>
    </row>
    <row r="39" spans="1:11">
      <c r="A39" s="2">
        <v>46182</v>
      </c>
      <c r="B39" t="s">
        <v>3</v>
      </c>
      <c r="C39" s="2">
        <v>46182</v>
      </c>
      <c r="D39" t="s">
        <v>108</v>
      </c>
      <c r="E39" t="str">
        <f>VLOOKUP(TablaObra5[[#This Row],[Equipo]],Catalogos!$I$3:$J$34,2,FALSE)</f>
        <v>MX-01</v>
      </c>
      <c r="F39" s="3">
        <v>40</v>
      </c>
      <c r="G39" s="4">
        <v>28.3</v>
      </c>
      <c r="H39" s="4">
        <f t="shared" si="0"/>
        <v>1132</v>
      </c>
      <c r="I39" t="str">
        <f>VLOOKUP(TablaObra5[[#This Row],[Obra]],Catalogos!$B$3:$C$8,2,FALSE)</f>
        <v>Francisco Javier</v>
      </c>
    </row>
    <row r="40" spans="1:11">
      <c r="A40" s="2">
        <v>46182</v>
      </c>
      <c r="B40" t="s">
        <v>3</v>
      </c>
      <c r="C40" s="2">
        <v>46182</v>
      </c>
      <c r="D40" t="s">
        <v>110</v>
      </c>
      <c r="E40" t="str">
        <f>VLOOKUP(TablaObra5[[#This Row],[Equipo]],Catalogos!$I$3:$J$34,2,FALSE)</f>
        <v>CPR-01</v>
      </c>
      <c r="F40" s="3">
        <v>30</v>
      </c>
      <c r="G40" s="4">
        <v>28.3</v>
      </c>
      <c r="H40" s="4">
        <f t="shared" si="0"/>
        <v>849</v>
      </c>
      <c r="I40" t="str">
        <f>VLOOKUP(TablaObra5[[#This Row],[Obra]],Catalogos!$B$3:$C$8,2,FALSE)</f>
        <v>Francisco Javier</v>
      </c>
    </row>
    <row r="41" spans="1:11">
      <c r="A41" s="2">
        <v>46182</v>
      </c>
      <c r="B41" t="s">
        <v>2</v>
      </c>
      <c r="C41" s="2">
        <v>46182</v>
      </c>
      <c r="D41" t="s">
        <v>60</v>
      </c>
      <c r="E41" t="str">
        <f>VLOOKUP(TablaObra5[[#This Row],[Equipo]],Catalogos!$I$3:$J$34,2,FALSE)</f>
        <v>RT-01</v>
      </c>
      <c r="F41" s="3">
        <v>50</v>
      </c>
      <c r="G41" s="4">
        <v>28.3</v>
      </c>
      <c r="H41" s="4">
        <f t="shared" si="0"/>
        <v>1415</v>
      </c>
      <c r="I41" t="str">
        <f>VLOOKUP(TablaObra5[[#This Row],[Obra]],Catalogos!$B$3:$C$8,2,FALSE)</f>
        <v>Apolinar</v>
      </c>
      <c r="K41" t="s">
        <v>118</v>
      </c>
    </row>
    <row r="42" spans="1:11">
      <c r="A42" s="2">
        <v>46182</v>
      </c>
      <c r="B42" t="s">
        <v>2</v>
      </c>
      <c r="C42" s="2">
        <v>46182</v>
      </c>
      <c r="D42" t="s">
        <v>97</v>
      </c>
      <c r="E42" t="str">
        <f>VLOOKUP(TablaObra5[[#This Row],[Equipo]],Catalogos!$I$3:$J$34,2,FALSE)</f>
        <v>NM-01</v>
      </c>
      <c r="F42" s="3">
        <v>50</v>
      </c>
      <c r="G42" s="4">
        <v>28.3</v>
      </c>
      <c r="H42" s="4">
        <f t="shared" si="0"/>
        <v>1415</v>
      </c>
      <c r="I42" t="str">
        <f>VLOOKUP(TablaObra5[[#This Row],[Obra]],Catalogos!$B$3:$C$8,2,FALSE)</f>
        <v>Apolinar</v>
      </c>
    </row>
    <row r="43" spans="1:11">
      <c r="A43" s="2">
        <v>46182</v>
      </c>
      <c r="B43" t="s">
        <v>2</v>
      </c>
      <c r="C43" s="2">
        <v>46182</v>
      </c>
      <c r="D43" t="s">
        <v>65</v>
      </c>
      <c r="E43" t="str">
        <f>VLOOKUP(TablaObra5[[#This Row],[Equipo]],Catalogos!$I$3:$J$34,2,FALSE)</f>
        <v>PT-01</v>
      </c>
      <c r="F43" s="3">
        <v>60</v>
      </c>
      <c r="G43" s="4">
        <v>28.3</v>
      </c>
      <c r="H43" s="4">
        <f t="shared" si="0"/>
        <v>1698</v>
      </c>
      <c r="I43" t="str">
        <f>VLOOKUP(TablaObra5[[#This Row],[Obra]],Catalogos!$B$3:$C$8,2,FALSE)</f>
        <v>Apolinar</v>
      </c>
    </row>
    <row r="44" spans="1:11">
      <c r="A44" s="2">
        <v>46182</v>
      </c>
      <c r="B44" t="s">
        <v>2</v>
      </c>
      <c r="C44" s="2">
        <v>46182</v>
      </c>
      <c r="D44" t="s">
        <v>116</v>
      </c>
      <c r="E44" t="str">
        <f>VLOOKUP(TablaObra5[[#This Row],[Equipo]],Catalogos!$I$3:$J$34,2,FALSE)</f>
        <v>DR-01</v>
      </c>
      <c r="F44" s="3">
        <v>50</v>
      </c>
      <c r="G44" s="4">
        <v>28.3</v>
      </c>
      <c r="H44" s="4">
        <f t="shared" si="0"/>
        <v>1415</v>
      </c>
      <c r="I44" t="str">
        <f>VLOOKUP(TablaObra5[[#This Row],[Obra]],Catalogos!$B$3:$C$8,2,FALSE)</f>
        <v>Apolinar</v>
      </c>
    </row>
    <row r="45" spans="1:11">
      <c r="A45" s="2">
        <v>46182</v>
      </c>
      <c r="B45" t="s">
        <v>126</v>
      </c>
      <c r="C45" s="2"/>
      <c r="D45" t="s">
        <v>60</v>
      </c>
      <c r="E45" t="str">
        <f>VLOOKUP(TablaObra5[[#This Row],[Equipo]],Catalogos!$I$3:$J$34,2,FALSE)</f>
        <v>RT-01</v>
      </c>
      <c r="F45" s="3">
        <v>100</v>
      </c>
      <c r="G45" s="4">
        <v>28.3</v>
      </c>
      <c r="H45" s="4">
        <f>IFERROR(F45*G45,0)</f>
        <v>2830</v>
      </c>
      <c r="I45" t="str">
        <f>VLOOKUP(TablaObra5[[#This Row],[Obra]],Catalogos!$B$3:$C$8,2,FALSE)</f>
        <v>Diego Carreola</v>
      </c>
    </row>
    <row r="46" spans="1:11">
      <c r="A46" s="2">
        <v>46183</v>
      </c>
      <c r="B46" t="s">
        <v>1</v>
      </c>
      <c r="C46" s="2">
        <v>46183</v>
      </c>
      <c r="D46" t="s">
        <v>80</v>
      </c>
      <c r="E46" t="str">
        <f>VLOOKUP(TablaObra5[[#This Row],[Equipo]],Catalogos!$I$3:$J$34,2,FALSE)</f>
        <v>PR-01</v>
      </c>
      <c r="F46" s="3">
        <v>250</v>
      </c>
      <c r="G46" s="4">
        <v>28.3</v>
      </c>
      <c r="H46" s="4">
        <f t="shared" si="0"/>
        <v>7075</v>
      </c>
      <c r="I46" t="str">
        <f>VLOOKUP(TablaObra5[[#This Row],[Obra]],Catalogos!$B$3:$C$8,2,FALSE)</f>
        <v>Samuel Ortega</v>
      </c>
    </row>
    <row r="47" spans="1:11">
      <c r="A47" s="2">
        <v>46183</v>
      </c>
      <c r="B47" t="s">
        <v>1</v>
      </c>
      <c r="C47" s="2">
        <v>46183</v>
      </c>
      <c r="D47" t="s">
        <v>60</v>
      </c>
      <c r="E47" t="str">
        <f>VLOOKUP(TablaObra5[[#This Row],[Equipo]],Catalogos!$I$3:$J$34,2,FALSE)</f>
        <v>RT-01</v>
      </c>
      <c r="F47" s="3">
        <v>30</v>
      </c>
      <c r="G47" s="4">
        <v>28.3</v>
      </c>
      <c r="H47" s="4">
        <f t="shared" si="0"/>
        <v>849</v>
      </c>
      <c r="I47" t="str">
        <f>VLOOKUP(TablaObra5[[#This Row],[Obra]],Catalogos!$B$3:$C$8,2,FALSE)</f>
        <v>Samuel Ortega</v>
      </c>
    </row>
    <row r="48" spans="1:11">
      <c r="A48" s="2">
        <v>46183</v>
      </c>
      <c r="B48" t="s">
        <v>1</v>
      </c>
      <c r="C48" s="2">
        <v>46183</v>
      </c>
      <c r="D48" t="s">
        <v>81</v>
      </c>
      <c r="E48" t="str">
        <f>VLOOKUP(TablaObra5[[#This Row],[Equipo]],Catalogos!$I$3:$J$34,2,FALSE)</f>
        <v>BR-01</v>
      </c>
      <c r="F48" s="3">
        <v>20</v>
      </c>
      <c r="G48" s="4">
        <v>28.3</v>
      </c>
      <c r="H48" s="4">
        <f t="shared" si="0"/>
        <v>566</v>
      </c>
      <c r="I48" t="str">
        <f>VLOOKUP(TablaObra5[[#This Row],[Obra]],Catalogos!$B$3:$C$8,2,FALSE)</f>
        <v>Samuel Ortega</v>
      </c>
    </row>
    <row r="49" spans="1:11">
      <c r="A49" s="2">
        <v>46183</v>
      </c>
      <c r="B49" t="s">
        <v>1</v>
      </c>
      <c r="C49" s="2">
        <v>46183</v>
      </c>
      <c r="D49" t="s">
        <v>108</v>
      </c>
      <c r="E49" t="str">
        <f>VLOOKUP(TablaObra5[[#This Row],[Equipo]],Catalogos!$I$3:$J$34,2,FALSE)</f>
        <v>MX-01</v>
      </c>
      <c r="F49" s="3">
        <v>20</v>
      </c>
      <c r="G49" s="4">
        <v>28.3</v>
      </c>
      <c r="H49" s="4">
        <f t="shared" si="0"/>
        <v>566</v>
      </c>
      <c r="I49" t="str">
        <f>VLOOKUP(TablaObra5[[#This Row],[Obra]],Catalogos!$B$3:$C$8,2,FALSE)</f>
        <v>Samuel Ortega</v>
      </c>
    </row>
    <row r="50" spans="1:11">
      <c r="A50" s="2">
        <v>46184</v>
      </c>
      <c r="B50" t="s">
        <v>2</v>
      </c>
      <c r="C50" s="2">
        <v>46184</v>
      </c>
      <c r="D50" t="s">
        <v>65</v>
      </c>
      <c r="E50" t="str">
        <f>VLOOKUP(TablaObra5[[#This Row],[Equipo]],Catalogos!$I$3:$J$34,2,FALSE)</f>
        <v>PT-01</v>
      </c>
      <c r="F50" s="3">
        <v>80</v>
      </c>
      <c r="G50" s="4">
        <v>28.3</v>
      </c>
      <c r="H50" s="4">
        <f t="shared" si="0"/>
        <v>2264</v>
      </c>
      <c r="I50" t="str">
        <f>VLOOKUP(TablaObra5[[#This Row],[Obra]],Catalogos!$B$3:$C$8,2,FALSE)</f>
        <v>Apolinar</v>
      </c>
    </row>
    <row r="51" spans="1:11">
      <c r="A51" s="2">
        <v>46184</v>
      </c>
      <c r="B51" t="s">
        <v>2</v>
      </c>
      <c r="C51" s="2">
        <v>46184</v>
      </c>
      <c r="D51" t="s">
        <v>106</v>
      </c>
      <c r="E51" t="str">
        <f>VLOOKUP(TablaObra5[[#This Row],[Equipo]],Catalogos!$I$3:$J$34,2,FALSE)</f>
        <v>CI-01</v>
      </c>
      <c r="F51" s="3">
        <v>80</v>
      </c>
      <c r="G51" s="4">
        <v>28.3</v>
      </c>
      <c r="H51" s="4">
        <f t="shared" si="0"/>
        <v>2264</v>
      </c>
      <c r="I51" t="str">
        <f>VLOOKUP(TablaObra5[[#This Row],[Obra]],Catalogos!$B$3:$C$8,2,FALSE)</f>
        <v>Apolinar</v>
      </c>
    </row>
    <row r="52" spans="1:11">
      <c r="A52" s="2">
        <v>46184</v>
      </c>
      <c r="B52" t="s">
        <v>2</v>
      </c>
      <c r="C52" s="2">
        <v>46184</v>
      </c>
      <c r="D52" t="s">
        <v>60</v>
      </c>
      <c r="E52" t="str">
        <f>VLOOKUP(TablaObra5[[#This Row],[Equipo]],Catalogos!$I$3:$J$34,2,FALSE)</f>
        <v>RT-01</v>
      </c>
      <c r="F52" s="3">
        <v>70</v>
      </c>
      <c r="G52" s="4">
        <v>28.3</v>
      </c>
      <c r="H52" s="4">
        <f t="shared" si="0"/>
        <v>1981</v>
      </c>
      <c r="I52" t="str">
        <f>VLOOKUP(TablaObra5[[#This Row],[Obra]],Catalogos!$B$3:$C$8,2,FALSE)</f>
        <v>Apolinar</v>
      </c>
    </row>
    <row r="53" spans="1:11">
      <c r="A53" s="2">
        <v>46184</v>
      </c>
      <c r="B53" t="s">
        <v>2</v>
      </c>
      <c r="C53" s="2">
        <v>46184</v>
      </c>
      <c r="D53" t="s">
        <v>116</v>
      </c>
      <c r="E53" t="str">
        <f>VLOOKUP(TablaObra5[[#This Row],[Equipo]],Catalogos!$I$3:$J$34,2,FALSE)</f>
        <v>DR-01</v>
      </c>
      <c r="F53" s="3">
        <v>40</v>
      </c>
      <c r="G53" s="4">
        <v>28.3</v>
      </c>
      <c r="H53" s="4">
        <f t="shared" si="0"/>
        <v>1132</v>
      </c>
      <c r="I53" t="str">
        <f>VLOOKUP(TablaObra5[[#This Row],[Obra]],Catalogos!$B$3:$C$8,2,FALSE)</f>
        <v>Apolinar</v>
      </c>
    </row>
    <row r="54" spans="1:11">
      <c r="A54" s="2">
        <v>46184</v>
      </c>
      <c r="B54" t="s">
        <v>2</v>
      </c>
      <c r="C54" s="2">
        <v>46184</v>
      </c>
      <c r="D54" t="s">
        <v>76</v>
      </c>
      <c r="E54" t="str">
        <f>VLOOKUP(TablaObra5[[#This Row],[Equipo]],Catalogos!$I$3:$J$34,2,FALSE)</f>
        <v>VG-01</v>
      </c>
      <c r="F54" s="3">
        <v>150</v>
      </c>
      <c r="G54" s="4">
        <v>28.3</v>
      </c>
      <c r="H54" s="4">
        <f t="shared" si="0"/>
        <v>4245</v>
      </c>
      <c r="I54" t="str">
        <f>VLOOKUP(TablaObra5[[#This Row],[Obra]],Catalogos!$B$3:$C$8,2,FALSE)</f>
        <v>Apolinar</v>
      </c>
    </row>
    <row r="55" spans="1:11">
      <c r="A55" s="2">
        <v>46184</v>
      </c>
      <c r="B55" t="s">
        <v>2</v>
      </c>
      <c r="C55" s="2">
        <v>46184</v>
      </c>
      <c r="D55" t="s">
        <v>114</v>
      </c>
      <c r="E55" t="str">
        <f>VLOOKUP(TablaObra5[[#This Row],[Equipo]],Catalogos!$I$3:$J$34,2,FALSE)</f>
        <v>LP-01</v>
      </c>
      <c r="F55" s="3">
        <v>30</v>
      </c>
      <c r="G55" s="4">
        <v>28.3</v>
      </c>
      <c r="H55" s="4">
        <f t="shared" si="0"/>
        <v>849</v>
      </c>
      <c r="I55" t="str">
        <f>VLOOKUP(TablaObra5[[#This Row],[Obra]],Catalogos!$B$3:$C$8,2,FALSE)</f>
        <v>Apolinar</v>
      </c>
    </row>
    <row r="56" spans="1:11">
      <c r="A56" s="2">
        <v>46184</v>
      </c>
      <c r="B56" t="s">
        <v>2</v>
      </c>
      <c r="C56" s="2">
        <v>46184</v>
      </c>
      <c r="D56" t="s">
        <v>112</v>
      </c>
      <c r="E56" t="str">
        <f>VLOOKUP(TablaObra5[[#This Row],[Equipo]],Catalogos!$I$3:$J$34,2,FALSE)</f>
        <v>RS-01</v>
      </c>
      <c r="F56" s="3">
        <v>10</v>
      </c>
      <c r="G56" s="4">
        <v>28.3</v>
      </c>
      <c r="H56" s="4">
        <f t="shared" si="0"/>
        <v>283</v>
      </c>
      <c r="I56" t="str">
        <f>VLOOKUP(TablaObra5[[#This Row],[Obra]],Catalogos!$B$3:$C$8,2,FALSE)</f>
        <v>Apolinar</v>
      </c>
    </row>
    <row r="57" spans="1:11">
      <c r="A57" s="2">
        <v>46184</v>
      </c>
      <c r="B57" t="s">
        <v>126</v>
      </c>
      <c r="C57" s="2"/>
      <c r="D57" t="s">
        <v>60</v>
      </c>
      <c r="E57" t="str">
        <f>VLOOKUP(TablaObra5[[#This Row],[Equipo]],Catalogos!$I$3:$J$34,2,FALSE)</f>
        <v>RT-01</v>
      </c>
      <c r="F57" s="3">
        <v>50</v>
      </c>
      <c r="G57" s="4">
        <v>28.3</v>
      </c>
      <c r="H57" s="4">
        <f t="shared" si="0"/>
        <v>1415</v>
      </c>
      <c r="I57" t="str">
        <f>VLOOKUP(TablaObra5[[#This Row],[Obra]],Catalogos!$B$3:$C$8,2,FALSE)</f>
        <v>Diego Carreola</v>
      </c>
      <c r="K57" t="s">
        <v>124</v>
      </c>
    </row>
    <row r="58" spans="1:11">
      <c r="A58" s="2">
        <v>46184</v>
      </c>
      <c r="B58" t="s">
        <v>126</v>
      </c>
      <c r="D58" t="s">
        <v>61</v>
      </c>
      <c r="E58" t="str">
        <f>VLOOKUP(TablaObra5[[#This Row],[Equipo]],Catalogos!$I$3:$J$34,2,FALSE)</f>
        <v>OT-01</v>
      </c>
      <c r="F58" s="3">
        <v>10</v>
      </c>
      <c r="G58" s="4">
        <v>28.3</v>
      </c>
      <c r="H58" s="4">
        <f t="shared" si="0"/>
        <v>283</v>
      </c>
      <c r="I58" t="str">
        <f>VLOOKUP(TablaObra5[[#This Row],[Obra]],Catalogos!$B$3:$C$8,2,FALSE)</f>
        <v>Diego Carreola</v>
      </c>
      <c r="K58" t="s">
        <v>124</v>
      </c>
    </row>
    <row r="59" spans="1:11">
      <c r="A59" s="2">
        <v>46184</v>
      </c>
      <c r="B59" t="s">
        <v>126</v>
      </c>
      <c r="D59" t="s">
        <v>114</v>
      </c>
      <c r="E59" t="str">
        <f>VLOOKUP(TablaObra5[[#This Row],[Equipo]],Catalogos!$I$3:$J$34,2,FALSE)</f>
        <v>LP-01</v>
      </c>
      <c r="F59" s="3">
        <v>10</v>
      </c>
      <c r="G59" s="4">
        <v>28.3</v>
      </c>
      <c r="H59" s="4">
        <f t="shared" si="0"/>
        <v>283</v>
      </c>
      <c r="I59" t="str">
        <f>VLOOKUP(TablaObra5[[#This Row],[Obra]],Catalogos!$B$3:$C$8,2,FALSE)</f>
        <v>Diego Carreola</v>
      </c>
      <c r="K59" t="s">
        <v>124</v>
      </c>
    </row>
    <row r="60" spans="1:11">
      <c r="A60" s="2">
        <v>46185</v>
      </c>
      <c r="B60" t="s">
        <v>1</v>
      </c>
      <c r="C60" s="2">
        <v>46185</v>
      </c>
      <c r="D60" t="s">
        <v>80</v>
      </c>
      <c r="E60" t="str">
        <f>VLOOKUP(TablaObra5[[#This Row],[Equipo]],Catalogos!$I$3:$J$34,2,FALSE)</f>
        <v>PR-01</v>
      </c>
      <c r="F60" s="3">
        <v>250</v>
      </c>
      <c r="G60" s="4">
        <v>28.3</v>
      </c>
      <c r="H60" s="4">
        <f t="shared" si="0"/>
        <v>7075</v>
      </c>
      <c r="I60" t="str">
        <f>VLOOKUP(TablaObra5[[#This Row],[Obra]],Catalogos!$B$3:$C$8,2,FALSE)</f>
        <v>Samuel Ortega</v>
      </c>
    </row>
    <row r="61" spans="1:11">
      <c r="A61" s="2">
        <v>46185</v>
      </c>
      <c r="B61" t="s">
        <v>1</v>
      </c>
      <c r="C61" s="2">
        <v>46185</v>
      </c>
      <c r="D61" t="s">
        <v>76</v>
      </c>
      <c r="E61" t="str">
        <f>VLOOKUP(TablaObra5[[#This Row],[Equipo]],Catalogos!$I$3:$J$34,2,FALSE)</f>
        <v>VG-01</v>
      </c>
      <c r="F61" s="3">
        <v>150</v>
      </c>
      <c r="G61" s="4">
        <v>28.3</v>
      </c>
      <c r="H61" s="4">
        <f t="shared" si="0"/>
        <v>4245</v>
      </c>
      <c r="I61" t="str">
        <f>VLOOKUP(TablaObra5[[#This Row],[Obra]],Catalogos!$B$3:$C$8,2,FALSE)</f>
        <v>Samuel Ortega</v>
      </c>
    </row>
    <row r="62" spans="1:11">
      <c r="A62" s="2">
        <v>46185</v>
      </c>
      <c r="B62" t="s">
        <v>1</v>
      </c>
      <c r="C62" s="2">
        <v>46185</v>
      </c>
      <c r="D62" t="s">
        <v>51</v>
      </c>
      <c r="E62" t="str">
        <f>VLOOKUP(TablaObra5[[#This Row],[Equipo]],Catalogos!$I$3:$J$34,2,FALSE)</f>
        <v>CP-01</v>
      </c>
      <c r="F62" s="3">
        <v>40</v>
      </c>
      <c r="G62" s="4">
        <v>28.3</v>
      </c>
      <c r="H62" s="4">
        <f t="shared" si="0"/>
        <v>1132</v>
      </c>
      <c r="I62" t="str">
        <f>VLOOKUP(TablaObra5[[#This Row],[Obra]],Catalogos!$B$3:$C$8,2,FALSE)</f>
        <v>Samuel Ortega</v>
      </c>
    </row>
    <row r="63" spans="1:11">
      <c r="A63" s="2">
        <v>46185</v>
      </c>
      <c r="B63" t="s">
        <v>1</v>
      </c>
      <c r="C63" s="2">
        <v>46185</v>
      </c>
      <c r="D63" t="s">
        <v>97</v>
      </c>
      <c r="E63" t="str">
        <f>VLOOKUP(TablaObra5[[#This Row],[Equipo]],Catalogos!$I$3:$J$34,2,FALSE)</f>
        <v>NM-01</v>
      </c>
      <c r="F63" s="3">
        <v>30</v>
      </c>
      <c r="G63" s="4">
        <v>28.3</v>
      </c>
      <c r="H63" s="4">
        <f t="shared" si="0"/>
        <v>849</v>
      </c>
      <c r="I63" t="str">
        <f>VLOOKUP(TablaObra5[[#This Row],[Obra]],Catalogos!$B$3:$C$8,2,FALSE)</f>
        <v>Samuel Ortega</v>
      </c>
    </row>
    <row r="64" spans="1:11">
      <c r="A64" s="2">
        <v>46185</v>
      </c>
      <c r="B64" t="s">
        <v>1</v>
      </c>
      <c r="C64" s="2">
        <v>46185</v>
      </c>
      <c r="D64" t="s">
        <v>60</v>
      </c>
      <c r="E64" t="str">
        <f>VLOOKUP(TablaObra5[[#This Row],[Equipo]],Catalogos!$I$3:$J$34,2,FALSE)</f>
        <v>RT-01</v>
      </c>
      <c r="F64" s="3">
        <v>30</v>
      </c>
      <c r="G64" s="4">
        <v>28.3</v>
      </c>
      <c r="H64" s="4">
        <f t="shared" si="0"/>
        <v>849</v>
      </c>
      <c r="I64" t="str">
        <f>VLOOKUP(TablaObra5[[#This Row],[Obra]],Catalogos!$B$3:$C$8,2,FALSE)</f>
        <v>Samuel Ortega</v>
      </c>
    </row>
    <row r="65" spans="1:9">
      <c r="A65" s="2">
        <v>46185</v>
      </c>
      <c r="B65" t="s">
        <v>1</v>
      </c>
      <c r="C65" s="2">
        <v>46185</v>
      </c>
      <c r="D65" t="s">
        <v>81</v>
      </c>
      <c r="E65" t="str">
        <f>VLOOKUP(TablaObra5[[#This Row],[Equipo]],Catalogos!$I$3:$J$34,2,FALSE)</f>
        <v>BR-01</v>
      </c>
      <c r="F65" s="3">
        <v>20</v>
      </c>
      <c r="G65" s="4">
        <v>28.3</v>
      </c>
      <c r="H65" s="4">
        <f t="shared" si="0"/>
        <v>566</v>
      </c>
      <c r="I65" t="str">
        <f>VLOOKUP(TablaObra5[[#This Row],[Obra]],Catalogos!$B$3:$C$8,2,FALSE)</f>
        <v>Samuel Ortega</v>
      </c>
    </row>
    <row r="66" spans="1:9">
      <c r="A66" s="2">
        <v>46185</v>
      </c>
      <c r="B66" t="s">
        <v>1</v>
      </c>
      <c r="C66" s="2">
        <v>46185</v>
      </c>
      <c r="D66" t="s">
        <v>108</v>
      </c>
      <c r="E66" t="str">
        <f>VLOOKUP(TablaObra5[[#This Row],[Equipo]],Catalogos!$I$3:$J$34,2,FALSE)</f>
        <v>MX-01</v>
      </c>
      <c r="F66" s="3">
        <v>20</v>
      </c>
      <c r="G66" s="4">
        <v>28.3</v>
      </c>
      <c r="H66" s="4">
        <f t="shared" si="0"/>
        <v>566</v>
      </c>
      <c r="I66" t="str">
        <f>VLOOKUP(TablaObra5[[#This Row],[Obra]],Catalogos!$B$3:$C$8,2,FALSE)</f>
        <v>Samuel Ortega</v>
      </c>
    </row>
    <row r="67" spans="1:9">
      <c r="A67" s="2">
        <v>46185</v>
      </c>
      <c r="B67" t="s">
        <v>3</v>
      </c>
      <c r="C67" s="2">
        <v>46185</v>
      </c>
      <c r="D67" t="s">
        <v>87</v>
      </c>
      <c r="E67" t="str">
        <f>VLOOKUP(TablaObra5[[#This Row],[Equipo]],Catalogos!$I$3:$J$34,2,FALSE)</f>
        <v>PR-02</v>
      </c>
      <c r="F67" s="3">
        <v>250</v>
      </c>
      <c r="G67" s="4">
        <v>28.3</v>
      </c>
      <c r="H67" s="4">
        <f t="shared" si="0"/>
        <v>7075</v>
      </c>
      <c r="I67" t="str">
        <f>VLOOKUP(TablaObra5[[#This Row],[Obra]],Catalogos!$B$3:$C$8,2,FALSE)</f>
        <v>Francisco Javier</v>
      </c>
    </row>
    <row r="68" spans="1:9">
      <c r="A68" s="2">
        <v>46185</v>
      </c>
      <c r="B68" t="s">
        <v>3</v>
      </c>
      <c r="C68" s="2">
        <v>46185</v>
      </c>
      <c r="D68" t="s">
        <v>91</v>
      </c>
      <c r="E68" t="str">
        <f>VLOOKUP(TablaObra5[[#This Row],[Equipo]],Catalogos!$I$3:$J$34,2,FALSE)</f>
        <v>BR-02</v>
      </c>
      <c r="F68" s="3">
        <v>40</v>
      </c>
      <c r="G68" s="4">
        <v>28.3</v>
      </c>
      <c r="H68" s="4">
        <f t="shared" si="0"/>
        <v>1132</v>
      </c>
      <c r="I68" t="str">
        <f>VLOOKUP(TablaObra5[[#This Row],[Obra]],Catalogos!$B$3:$C$8,2,FALSE)</f>
        <v>Francisco Javier</v>
      </c>
    </row>
    <row r="69" spans="1:9">
      <c r="A69" s="2">
        <v>46185</v>
      </c>
      <c r="B69" t="s">
        <v>3</v>
      </c>
      <c r="C69" s="2">
        <v>46185</v>
      </c>
      <c r="D69" t="s">
        <v>93</v>
      </c>
      <c r="E69" t="str">
        <f>VLOOKUP(TablaObra5[[#This Row],[Equipo]],Catalogos!$I$3:$J$34,2,FALSE)</f>
        <v>RT-02</v>
      </c>
      <c r="F69" s="3">
        <v>60</v>
      </c>
      <c r="G69" s="4">
        <v>28.3</v>
      </c>
      <c r="H69" s="4">
        <f t="shared" si="0"/>
        <v>1698</v>
      </c>
      <c r="I69" t="str">
        <f>VLOOKUP(TablaObra5[[#This Row],[Obra]],Catalogos!$B$3:$C$8,2,FALSE)</f>
        <v>Francisco Javier</v>
      </c>
    </row>
    <row r="70" spans="1:9">
      <c r="A70" s="2">
        <v>46185</v>
      </c>
      <c r="B70" t="s">
        <v>3</v>
      </c>
      <c r="C70" s="2">
        <v>46185</v>
      </c>
      <c r="D70" t="s">
        <v>98</v>
      </c>
      <c r="E70" t="str">
        <f>VLOOKUP(TablaObra5[[#This Row],[Equipo]],Catalogos!$I$3:$J$34,2,FALSE)</f>
        <v>VG-02</v>
      </c>
      <c r="F70" s="3">
        <v>100</v>
      </c>
      <c r="G70" s="4">
        <v>28.3</v>
      </c>
      <c r="H70" s="4">
        <f t="shared" si="0"/>
        <v>2830</v>
      </c>
      <c r="I70" t="str">
        <f>VLOOKUP(TablaObra5[[#This Row],[Obra]],Catalogos!$B$3:$C$8,2,FALSE)</f>
        <v>Francisco Javier</v>
      </c>
    </row>
    <row r="71" spans="1:9">
      <c r="A71" s="2">
        <v>46185</v>
      </c>
      <c r="B71" t="s">
        <v>3</v>
      </c>
      <c r="C71" s="2">
        <v>46185</v>
      </c>
      <c r="D71" t="s">
        <v>114</v>
      </c>
      <c r="E71" t="str">
        <f>VLOOKUP(TablaObra5[[#This Row],[Equipo]],Catalogos!$I$3:$J$34,2,FALSE)</f>
        <v>LP-01</v>
      </c>
      <c r="F71" s="3">
        <v>20</v>
      </c>
      <c r="G71" s="4">
        <v>28.3</v>
      </c>
      <c r="H71" s="4">
        <f t="shared" ref="H71:H134" si="1">IFERROR(F71*G71,0)</f>
        <v>566</v>
      </c>
      <c r="I71" t="str">
        <f>VLOOKUP(TablaObra5[[#This Row],[Obra]],Catalogos!$B$3:$C$8,2,FALSE)</f>
        <v>Francisco Javier</v>
      </c>
    </row>
    <row r="72" spans="1:9">
      <c r="A72" s="2">
        <v>46185</v>
      </c>
      <c r="B72" t="s">
        <v>3</v>
      </c>
      <c r="C72" s="2">
        <v>46185</v>
      </c>
      <c r="D72" t="s">
        <v>100</v>
      </c>
      <c r="E72" t="str">
        <f>VLOOKUP(TablaObra5[[#This Row],[Equipo]],Catalogos!$I$3:$J$34,2,FALSE)</f>
        <v>TD-01</v>
      </c>
      <c r="F72" s="3">
        <v>50</v>
      </c>
      <c r="G72" s="4">
        <v>28.3</v>
      </c>
      <c r="H72" s="4">
        <f t="shared" si="1"/>
        <v>1415</v>
      </c>
      <c r="I72" t="str">
        <f>VLOOKUP(TablaObra5[[#This Row],[Obra]],Catalogos!$B$3:$C$8,2,FALSE)</f>
        <v>Francisco Javier</v>
      </c>
    </row>
    <row r="73" spans="1:9">
      <c r="A73" s="2">
        <v>46185</v>
      </c>
      <c r="B73" t="s">
        <v>3</v>
      </c>
      <c r="C73" s="2">
        <v>46185</v>
      </c>
      <c r="D73" t="s">
        <v>102</v>
      </c>
      <c r="E73" t="str">
        <f>VLOOKUP(TablaObra5[[#This Row],[Equipo]],Catalogos!$I$3:$J$34,2,FALSE)</f>
        <v>NM-02</v>
      </c>
      <c r="F73" s="3">
        <v>50</v>
      </c>
      <c r="G73" s="4">
        <v>28.3</v>
      </c>
      <c r="H73" s="4">
        <f t="shared" si="1"/>
        <v>1415</v>
      </c>
      <c r="I73" t="str">
        <f>VLOOKUP(TablaObra5[[#This Row],[Obra]],Catalogos!$B$3:$C$8,2,FALSE)</f>
        <v>Francisco Javier</v>
      </c>
    </row>
    <row r="74" spans="1:9">
      <c r="A74" s="2">
        <v>46185</v>
      </c>
      <c r="B74" t="s">
        <v>3</v>
      </c>
      <c r="C74" s="2">
        <v>46185</v>
      </c>
      <c r="D74" t="s">
        <v>104</v>
      </c>
      <c r="E74" t="str">
        <f>VLOOKUP(TablaObra5[[#This Row],[Equipo]],Catalogos!$I$3:$J$34,2,FALSE)</f>
        <v>PT-02</v>
      </c>
      <c r="F74" s="3">
        <v>50</v>
      </c>
      <c r="G74" s="4">
        <v>28.3</v>
      </c>
      <c r="H74" s="4">
        <f t="shared" si="1"/>
        <v>1415</v>
      </c>
      <c r="I74" t="str">
        <f>VLOOKUP(TablaObra5[[#This Row],[Obra]],Catalogos!$B$3:$C$8,2,FALSE)</f>
        <v>Francisco Javier</v>
      </c>
    </row>
    <row r="75" spans="1:9">
      <c r="A75" s="2"/>
      <c r="E75" t="e">
        <f>VLOOKUP(TablaObra5[[#This Row],[Equipo]],Catalogos!$I$3:$J$34,2,FALSE)</f>
        <v>#N/A</v>
      </c>
      <c r="F75" s="3"/>
      <c r="G75" s="4">
        <v>28.3</v>
      </c>
      <c r="H75" s="4">
        <f t="shared" si="1"/>
        <v>0</v>
      </c>
      <c r="I75" t="e">
        <f>VLOOKUP(TablaObra5[[#This Row],[Obra]],Catalogos!$B$3:$C$8,2,FALSE)</f>
        <v>#N/A</v>
      </c>
    </row>
    <row r="76" spans="1:9">
      <c r="A76" s="2"/>
      <c r="E76" t="e">
        <f>VLOOKUP(TablaObra5[[#This Row],[Equipo]],Catalogos!$I$3:$J$34,2,FALSE)</f>
        <v>#N/A</v>
      </c>
      <c r="F76" s="3"/>
      <c r="G76" s="4">
        <v>28.3</v>
      </c>
      <c r="H76" s="4">
        <f t="shared" si="1"/>
        <v>0</v>
      </c>
      <c r="I76" t="e">
        <f>VLOOKUP(TablaObra5[[#This Row],[Obra]],Catalogos!$B$3:$C$8,2,FALSE)</f>
        <v>#N/A</v>
      </c>
    </row>
    <row r="77" spans="1:9">
      <c r="A77" s="2"/>
      <c r="E77" t="e">
        <f>VLOOKUP(TablaObra5[[#This Row],[Equipo]],Catalogos!$I$3:$J$34,2,FALSE)</f>
        <v>#N/A</v>
      </c>
      <c r="F77" s="3"/>
      <c r="G77" s="4">
        <v>28.3</v>
      </c>
      <c r="H77" s="4">
        <f t="shared" si="1"/>
        <v>0</v>
      </c>
      <c r="I77" t="e">
        <f>VLOOKUP(TablaObra5[[#This Row],[Obra]],Catalogos!$B$3:$C$8,2,FALSE)</f>
        <v>#N/A</v>
      </c>
    </row>
    <row r="78" spans="1:9">
      <c r="A78" s="2"/>
      <c r="E78" t="e">
        <f>VLOOKUP(TablaObra5[[#This Row],[Equipo]],Catalogos!$I$3:$J$34,2,FALSE)</f>
        <v>#N/A</v>
      </c>
      <c r="F78" s="3"/>
      <c r="G78" s="4">
        <v>28.3</v>
      </c>
      <c r="H78" s="4">
        <f t="shared" si="1"/>
        <v>0</v>
      </c>
      <c r="I78" t="e">
        <f>VLOOKUP(TablaObra5[[#This Row],[Obra]],Catalogos!$B$3:$C$8,2,FALSE)</f>
        <v>#N/A</v>
      </c>
    </row>
    <row r="79" spans="1:9">
      <c r="A79" s="2"/>
      <c r="E79" t="e">
        <f>VLOOKUP(TablaObra5[[#This Row],[Equipo]],Catalogos!$I$3:$J$34,2,FALSE)</f>
        <v>#N/A</v>
      </c>
      <c r="F79" s="3"/>
      <c r="G79" s="4">
        <v>28.3</v>
      </c>
      <c r="H79" s="4">
        <f t="shared" si="1"/>
        <v>0</v>
      </c>
      <c r="I79" t="e">
        <f>VLOOKUP(TablaObra5[[#This Row],[Obra]],Catalogos!$B$3:$C$8,2,FALSE)</f>
        <v>#N/A</v>
      </c>
    </row>
    <row r="80" spans="1:9">
      <c r="A80" s="2"/>
      <c r="E80" t="e">
        <f>VLOOKUP(TablaObra5[[#This Row],[Equipo]],Catalogos!$I$3:$J$34,2,FALSE)</f>
        <v>#N/A</v>
      </c>
      <c r="F80" s="3"/>
      <c r="G80" s="4">
        <v>28.3</v>
      </c>
      <c r="H80" s="4">
        <f t="shared" si="1"/>
        <v>0</v>
      </c>
      <c r="I80" t="e">
        <f>VLOOKUP(TablaObra5[[#This Row],[Obra]],Catalogos!$B$3:$C$8,2,FALSE)</f>
        <v>#N/A</v>
      </c>
    </row>
    <row r="81" spans="1:9">
      <c r="A81" s="2"/>
      <c r="E81" t="e">
        <f>VLOOKUP(TablaObra5[[#This Row],[Equipo]],Catalogos!$I$3:$J$34,2,FALSE)</f>
        <v>#N/A</v>
      </c>
      <c r="F81" s="3"/>
      <c r="G81" s="4">
        <v>28.3</v>
      </c>
      <c r="H81" s="4">
        <f t="shared" si="1"/>
        <v>0</v>
      </c>
      <c r="I81" t="e">
        <f>VLOOKUP(TablaObra5[[#This Row],[Obra]],Catalogos!$B$3:$C$8,2,FALSE)</f>
        <v>#N/A</v>
      </c>
    </row>
    <row r="82" spans="1:9">
      <c r="A82" s="2"/>
      <c r="E82" t="e">
        <f>VLOOKUP(TablaObra5[[#This Row],[Equipo]],Catalogos!$I$3:$J$34,2,FALSE)</f>
        <v>#N/A</v>
      </c>
      <c r="F82" s="3"/>
      <c r="G82" s="4">
        <v>28.3</v>
      </c>
      <c r="H82" s="4">
        <f t="shared" si="1"/>
        <v>0</v>
      </c>
      <c r="I82" t="e">
        <f>VLOOKUP(TablaObra5[[#This Row],[Obra]],Catalogos!$B$3:$C$8,2,FALSE)</f>
        <v>#N/A</v>
      </c>
    </row>
    <row r="83" spans="1:9">
      <c r="A83" s="2"/>
      <c r="E83" t="e">
        <f>VLOOKUP(TablaObra5[[#This Row],[Equipo]],Catalogos!$I$3:$J$34,2,FALSE)</f>
        <v>#N/A</v>
      </c>
      <c r="F83" s="3"/>
      <c r="G83" s="4">
        <v>28.3</v>
      </c>
      <c r="H83" s="4">
        <f t="shared" si="1"/>
        <v>0</v>
      </c>
      <c r="I83" t="e">
        <f>VLOOKUP(TablaObra5[[#This Row],[Obra]],Catalogos!$B$3:$C$8,2,FALSE)</f>
        <v>#N/A</v>
      </c>
    </row>
    <row r="84" spans="1:9">
      <c r="A84" s="2"/>
      <c r="E84" t="e">
        <f>VLOOKUP(TablaObra5[[#This Row],[Equipo]],Catalogos!$I$3:$J$34,2,FALSE)</f>
        <v>#N/A</v>
      </c>
      <c r="F84" s="3"/>
      <c r="G84" s="4">
        <v>28.3</v>
      </c>
      <c r="H84" s="4">
        <f t="shared" si="1"/>
        <v>0</v>
      </c>
      <c r="I84" t="e">
        <f>VLOOKUP(TablaObra5[[#This Row],[Obra]],Catalogos!$B$3:$C$8,2,FALSE)</f>
        <v>#N/A</v>
      </c>
    </row>
    <row r="85" spans="1:9">
      <c r="A85" s="2"/>
      <c r="E85" t="e">
        <f>VLOOKUP(TablaObra5[[#This Row],[Equipo]],Catalogos!$I$3:$J$34,2,FALSE)</f>
        <v>#N/A</v>
      </c>
      <c r="F85" s="3"/>
      <c r="G85" s="4">
        <v>28.3</v>
      </c>
      <c r="H85" s="4">
        <f t="shared" si="1"/>
        <v>0</v>
      </c>
      <c r="I85" t="e">
        <f>VLOOKUP(TablaObra5[[#This Row],[Obra]],Catalogos!$B$3:$C$8,2,FALSE)</f>
        <v>#N/A</v>
      </c>
    </row>
    <row r="86" spans="1:9">
      <c r="A86" s="2"/>
      <c r="E86" t="e">
        <f>VLOOKUP(TablaObra5[[#This Row],[Equipo]],Catalogos!$I$3:$J$34,2,FALSE)</f>
        <v>#N/A</v>
      </c>
      <c r="F86" s="3"/>
      <c r="G86" s="4">
        <v>28.3</v>
      </c>
      <c r="H86" s="4">
        <f t="shared" si="1"/>
        <v>0</v>
      </c>
      <c r="I86" t="e">
        <f>VLOOKUP(TablaObra5[[#This Row],[Obra]],Catalogos!$B$3:$C$8,2,FALSE)</f>
        <v>#N/A</v>
      </c>
    </row>
    <row r="87" spans="1:9">
      <c r="A87" s="2"/>
      <c r="E87" t="e">
        <f>VLOOKUP(TablaObra5[[#This Row],[Equipo]],Catalogos!$I$3:$J$34,2,FALSE)</f>
        <v>#N/A</v>
      </c>
      <c r="F87" s="3"/>
      <c r="G87" s="4">
        <v>28.3</v>
      </c>
      <c r="H87" s="4">
        <f t="shared" si="1"/>
        <v>0</v>
      </c>
      <c r="I87" t="e">
        <f>VLOOKUP(TablaObra5[[#This Row],[Obra]],Catalogos!$B$3:$C$8,2,FALSE)</f>
        <v>#N/A</v>
      </c>
    </row>
    <row r="88" spans="1:9">
      <c r="A88" s="2"/>
      <c r="E88" t="e">
        <f>VLOOKUP(TablaObra5[[#This Row],[Equipo]],Catalogos!$I$3:$J$34,2,FALSE)</f>
        <v>#N/A</v>
      </c>
      <c r="F88" s="3"/>
      <c r="G88" s="4">
        <v>28.3</v>
      </c>
      <c r="H88" s="4">
        <f t="shared" si="1"/>
        <v>0</v>
      </c>
      <c r="I88" t="e">
        <f>VLOOKUP(TablaObra5[[#This Row],[Obra]],Catalogos!$B$3:$C$8,2,FALSE)</f>
        <v>#N/A</v>
      </c>
    </row>
    <row r="89" spans="1:9">
      <c r="A89" s="2"/>
      <c r="E89" t="e">
        <f>VLOOKUP(TablaObra5[[#This Row],[Equipo]],Catalogos!$I$3:$J$34,2,FALSE)</f>
        <v>#N/A</v>
      </c>
      <c r="F89" s="3"/>
      <c r="G89" s="4">
        <v>28.3</v>
      </c>
      <c r="H89" s="4">
        <f t="shared" si="1"/>
        <v>0</v>
      </c>
      <c r="I89" t="e">
        <f>VLOOKUP(TablaObra5[[#This Row],[Obra]],Catalogos!$B$3:$C$8,2,FALSE)</f>
        <v>#N/A</v>
      </c>
    </row>
    <row r="90" spans="1:9">
      <c r="A90" s="2"/>
      <c r="E90" t="e">
        <f>VLOOKUP(TablaObra5[[#This Row],[Equipo]],Catalogos!$I$3:$J$34,2,FALSE)</f>
        <v>#N/A</v>
      </c>
      <c r="F90" s="3"/>
      <c r="G90" s="4">
        <v>28.3</v>
      </c>
      <c r="H90" s="4">
        <f t="shared" si="1"/>
        <v>0</v>
      </c>
      <c r="I90" t="e">
        <f>VLOOKUP(TablaObra5[[#This Row],[Obra]],Catalogos!$B$3:$C$8,2,FALSE)</f>
        <v>#N/A</v>
      </c>
    </row>
    <row r="91" spans="1:9">
      <c r="A91" s="2"/>
      <c r="E91" t="e">
        <f>VLOOKUP(TablaObra5[[#This Row],[Equipo]],Catalogos!$I$3:$J$34,2,FALSE)</f>
        <v>#N/A</v>
      </c>
      <c r="F91" s="3"/>
      <c r="G91" s="4">
        <v>28.3</v>
      </c>
      <c r="H91" s="4">
        <f t="shared" si="1"/>
        <v>0</v>
      </c>
      <c r="I91" t="e">
        <f>VLOOKUP(TablaObra5[[#This Row],[Obra]],Catalogos!$B$3:$C$8,2,FALSE)</f>
        <v>#N/A</v>
      </c>
    </row>
    <row r="92" spans="1:9">
      <c r="A92" s="2"/>
      <c r="E92" t="e">
        <f>VLOOKUP(TablaObra5[[#This Row],[Equipo]],Catalogos!$I$3:$J$34,2,FALSE)</f>
        <v>#N/A</v>
      </c>
      <c r="F92" s="3"/>
      <c r="G92" s="4">
        <v>28.3</v>
      </c>
      <c r="H92" s="4">
        <f t="shared" si="1"/>
        <v>0</v>
      </c>
      <c r="I92" t="e">
        <f>VLOOKUP(TablaObra5[[#This Row],[Obra]],Catalogos!$B$3:$C$8,2,FALSE)</f>
        <v>#N/A</v>
      </c>
    </row>
    <row r="93" spans="1:9">
      <c r="A93" s="2"/>
      <c r="E93" t="e">
        <f>VLOOKUP(TablaObra5[[#This Row],[Equipo]],Catalogos!$I$3:$J$34,2,FALSE)</f>
        <v>#N/A</v>
      </c>
      <c r="F93" s="3"/>
      <c r="G93" s="4">
        <v>28.3</v>
      </c>
      <c r="H93" s="4">
        <f t="shared" si="1"/>
        <v>0</v>
      </c>
      <c r="I93" t="e">
        <f>VLOOKUP(TablaObra5[[#This Row],[Obra]],Catalogos!$B$3:$C$8,2,FALSE)</f>
        <v>#N/A</v>
      </c>
    </row>
    <row r="94" spans="1:9">
      <c r="A94" s="2"/>
      <c r="E94" t="e">
        <f>VLOOKUP(TablaObra5[[#This Row],[Equipo]],Catalogos!$I$3:$J$34,2,FALSE)</f>
        <v>#N/A</v>
      </c>
      <c r="F94" s="3"/>
      <c r="G94" s="4">
        <v>28.3</v>
      </c>
      <c r="H94" s="4">
        <f t="shared" si="1"/>
        <v>0</v>
      </c>
      <c r="I94" t="e">
        <f>VLOOKUP(TablaObra5[[#This Row],[Obra]],Catalogos!$B$3:$C$8,2,FALSE)</f>
        <v>#N/A</v>
      </c>
    </row>
    <row r="95" spans="1:9">
      <c r="A95" s="2"/>
      <c r="E95" t="e">
        <f>VLOOKUP(TablaObra5[[#This Row],[Equipo]],Catalogos!$I$3:$J$34,2,FALSE)</f>
        <v>#N/A</v>
      </c>
      <c r="F95" s="3"/>
      <c r="G95" s="4">
        <v>28.3</v>
      </c>
      <c r="H95" s="4">
        <f t="shared" si="1"/>
        <v>0</v>
      </c>
      <c r="I95" t="e">
        <f>VLOOKUP(TablaObra5[[#This Row],[Obra]],Catalogos!$B$3:$C$8,2,FALSE)</f>
        <v>#N/A</v>
      </c>
    </row>
    <row r="96" spans="1:9">
      <c r="A96" s="2"/>
      <c r="E96" t="e">
        <f>VLOOKUP(TablaObra5[[#This Row],[Equipo]],Catalogos!$I$3:$J$34,2,FALSE)</f>
        <v>#N/A</v>
      </c>
      <c r="F96" s="3"/>
      <c r="G96" s="4">
        <v>28.3</v>
      </c>
      <c r="H96" s="4">
        <f t="shared" si="1"/>
        <v>0</v>
      </c>
      <c r="I96" t="e">
        <f>VLOOKUP(TablaObra5[[#This Row],[Obra]],Catalogos!$B$3:$C$8,2,FALSE)</f>
        <v>#N/A</v>
      </c>
    </row>
    <row r="97" spans="1:9">
      <c r="A97" s="2"/>
      <c r="E97" t="e">
        <f>VLOOKUP(TablaObra5[[#This Row],[Equipo]],Catalogos!$I$3:$J$34,2,FALSE)</f>
        <v>#N/A</v>
      </c>
      <c r="F97" s="3"/>
      <c r="G97" s="4">
        <v>28.3</v>
      </c>
      <c r="H97" s="4">
        <f t="shared" si="1"/>
        <v>0</v>
      </c>
      <c r="I97" t="e">
        <f>VLOOKUP(TablaObra5[[#This Row],[Obra]],Catalogos!$B$3:$C$8,2,FALSE)</f>
        <v>#N/A</v>
      </c>
    </row>
    <row r="98" spans="1:9">
      <c r="A98" s="2"/>
      <c r="E98" t="e">
        <f>VLOOKUP(TablaObra5[[#This Row],[Equipo]],Catalogos!$I$3:$J$34,2,FALSE)</f>
        <v>#N/A</v>
      </c>
      <c r="F98" s="3"/>
      <c r="G98" s="4">
        <v>28.3</v>
      </c>
      <c r="H98" s="4">
        <f t="shared" si="1"/>
        <v>0</v>
      </c>
      <c r="I98" t="e">
        <f>VLOOKUP(TablaObra5[[#This Row],[Obra]],Catalogos!$B$3:$C$8,2,FALSE)</f>
        <v>#N/A</v>
      </c>
    </row>
    <row r="99" spans="1:9">
      <c r="A99" s="2"/>
      <c r="E99" t="e">
        <f>VLOOKUP(TablaObra5[[#This Row],[Equipo]],Catalogos!$I$3:$J$34,2,FALSE)</f>
        <v>#N/A</v>
      </c>
      <c r="F99" s="3"/>
      <c r="G99" s="4">
        <v>28.3</v>
      </c>
      <c r="H99" s="4">
        <f t="shared" si="1"/>
        <v>0</v>
      </c>
      <c r="I99" t="e">
        <f>VLOOKUP(TablaObra5[[#This Row],[Obra]],Catalogos!$B$3:$C$8,2,FALSE)</f>
        <v>#N/A</v>
      </c>
    </row>
    <row r="100" spans="1:9">
      <c r="A100" s="2"/>
      <c r="E100" t="e">
        <f>VLOOKUP(TablaObra5[[#This Row],[Equipo]],Catalogos!$I$3:$J$34,2,FALSE)</f>
        <v>#N/A</v>
      </c>
      <c r="F100" s="3"/>
      <c r="G100" s="4">
        <v>28.3</v>
      </c>
      <c r="H100" s="4">
        <f t="shared" si="1"/>
        <v>0</v>
      </c>
      <c r="I100" t="e">
        <f>VLOOKUP(TablaObra5[[#This Row],[Obra]],Catalogos!$B$3:$C$8,2,FALSE)</f>
        <v>#N/A</v>
      </c>
    </row>
    <row r="101" spans="1:9">
      <c r="A101" s="2"/>
      <c r="E101" t="e">
        <f>VLOOKUP(TablaObra5[[#This Row],[Equipo]],Catalogos!$I$3:$J$34,2,FALSE)</f>
        <v>#N/A</v>
      </c>
      <c r="F101" s="3"/>
      <c r="G101" s="4">
        <v>28.3</v>
      </c>
      <c r="H101" s="4">
        <f t="shared" si="1"/>
        <v>0</v>
      </c>
      <c r="I101" t="e">
        <f>VLOOKUP(TablaObra5[[#This Row],[Obra]],Catalogos!$B$3:$C$8,2,FALSE)</f>
        <v>#N/A</v>
      </c>
    </row>
    <row r="102" spans="1:9">
      <c r="A102" s="2"/>
      <c r="E102" t="e">
        <f>VLOOKUP(TablaObra5[[#This Row],[Equipo]],Catalogos!$I$3:$J$34,2,FALSE)</f>
        <v>#N/A</v>
      </c>
      <c r="F102" s="3"/>
      <c r="G102" s="4">
        <v>28.3</v>
      </c>
      <c r="H102" s="4">
        <f t="shared" si="1"/>
        <v>0</v>
      </c>
      <c r="I102" t="e">
        <f>VLOOKUP(TablaObra5[[#This Row],[Obra]],Catalogos!$B$3:$C$8,2,FALSE)</f>
        <v>#N/A</v>
      </c>
    </row>
    <row r="103" spans="1:9">
      <c r="A103" s="2"/>
      <c r="E103" t="e">
        <f>VLOOKUP(TablaObra5[[#This Row],[Equipo]],Catalogos!$I$3:$J$34,2,FALSE)</f>
        <v>#N/A</v>
      </c>
      <c r="F103" s="3"/>
      <c r="G103" s="4">
        <v>28.3</v>
      </c>
      <c r="H103" s="4">
        <f t="shared" si="1"/>
        <v>0</v>
      </c>
      <c r="I103" t="e">
        <f>VLOOKUP(TablaObra5[[#This Row],[Obra]],Catalogos!$B$3:$C$8,2,FALSE)</f>
        <v>#N/A</v>
      </c>
    </row>
    <row r="104" spans="1:9">
      <c r="A104" s="2"/>
      <c r="E104" t="e">
        <f>VLOOKUP(TablaObra5[[#This Row],[Equipo]],Catalogos!$I$3:$J$34,2,FALSE)</f>
        <v>#N/A</v>
      </c>
      <c r="F104" s="3"/>
      <c r="G104" s="4">
        <v>28.3</v>
      </c>
      <c r="H104" s="4">
        <f t="shared" si="1"/>
        <v>0</v>
      </c>
      <c r="I104" t="e">
        <f>VLOOKUP(TablaObra5[[#This Row],[Obra]],Catalogos!$B$3:$C$8,2,FALSE)</f>
        <v>#N/A</v>
      </c>
    </row>
    <row r="105" spans="1:9">
      <c r="A105" s="2"/>
      <c r="E105" t="e">
        <f>VLOOKUP(TablaObra5[[#This Row],[Equipo]],Catalogos!$I$3:$J$34,2,FALSE)</f>
        <v>#N/A</v>
      </c>
      <c r="F105" s="3"/>
      <c r="G105" s="4">
        <v>28.3</v>
      </c>
      <c r="H105" s="4">
        <f t="shared" si="1"/>
        <v>0</v>
      </c>
      <c r="I105" t="e">
        <f>VLOOKUP(TablaObra5[[#This Row],[Obra]],Catalogos!$B$3:$C$8,2,FALSE)</f>
        <v>#N/A</v>
      </c>
    </row>
    <row r="106" spans="1:9">
      <c r="A106" s="2"/>
      <c r="E106" t="e">
        <f>VLOOKUP(TablaObra5[[#This Row],[Equipo]],Catalogos!$I$3:$J$34,2,FALSE)</f>
        <v>#N/A</v>
      </c>
      <c r="F106" s="3"/>
      <c r="G106" s="4">
        <v>28.3</v>
      </c>
      <c r="H106" s="4">
        <f t="shared" si="1"/>
        <v>0</v>
      </c>
      <c r="I106" t="e">
        <f>VLOOKUP(TablaObra5[[#This Row],[Obra]],Catalogos!$B$3:$C$8,2,FALSE)</f>
        <v>#N/A</v>
      </c>
    </row>
    <row r="107" spans="1:9">
      <c r="A107" s="2"/>
      <c r="E107" t="e">
        <f>VLOOKUP(TablaObra5[[#This Row],[Equipo]],Catalogos!$I$3:$J$34,2,FALSE)</f>
        <v>#N/A</v>
      </c>
      <c r="F107" s="3"/>
      <c r="G107" s="4">
        <v>28.3</v>
      </c>
      <c r="H107" s="4">
        <f t="shared" si="1"/>
        <v>0</v>
      </c>
      <c r="I107" t="e">
        <f>VLOOKUP(TablaObra5[[#This Row],[Obra]],Catalogos!$B$3:$C$8,2,FALSE)</f>
        <v>#N/A</v>
      </c>
    </row>
    <row r="108" spans="1:9">
      <c r="A108" s="2"/>
      <c r="E108" t="e">
        <f>VLOOKUP(TablaObra5[[#This Row],[Equipo]],Catalogos!$I$3:$J$34,2,FALSE)</f>
        <v>#N/A</v>
      </c>
      <c r="F108" s="3"/>
      <c r="G108" s="4">
        <v>28.3</v>
      </c>
      <c r="H108" s="4">
        <f t="shared" si="1"/>
        <v>0</v>
      </c>
      <c r="I108" t="e">
        <f>VLOOKUP(TablaObra5[[#This Row],[Obra]],Catalogos!$B$3:$C$8,2,FALSE)</f>
        <v>#N/A</v>
      </c>
    </row>
    <row r="109" spans="1:9">
      <c r="A109" s="2"/>
      <c r="E109" t="e">
        <f>VLOOKUP(TablaObra5[[#This Row],[Equipo]],Catalogos!$I$3:$J$34,2,FALSE)</f>
        <v>#N/A</v>
      </c>
      <c r="F109" s="3"/>
      <c r="G109" s="4">
        <v>28.3</v>
      </c>
      <c r="H109" s="4">
        <f t="shared" si="1"/>
        <v>0</v>
      </c>
      <c r="I109" t="e">
        <f>VLOOKUP(TablaObra5[[#This Row],[Obra]],Catalogos!$B$3:$C$8,2,FALSE)</f>
        <v>#N/A</v>
      </c>
    </row>
    <row r="110" spans="1:9">
      <c r="A110" s="2"/>
      <c r="E110" t="e">
        <f>VLOOKUP(TablaObra5[[#This Row],[Equipo]],Catalogos!$I$3:$J$34,2,FALSE)</f>
        <v>#N/A</v>
      </c>
      <c r="F110" s="3"/>
      <c r="G110" s="4">
        <v>28.3</v>
      </c>
      <c r="H110" s="4">
        <f t="shared" si="1"/>
        <v>0</v>
      </c>
      <c r="I110" t="e">
        <f>VLOOKUP(TablaObra5[[#This Row],[Obra]],Catalogos!$B$3:$C$8,2,FALSE)</f>
        <v>#N/A</v>
      </c>
    </row>
    <row r="111" spans="1:9">
      <c r="A111" s="2"/>
      <c r="E111" t="e">
        <f>VLOOKUP(TablaObra5[[#This Row],[Equipo]],Catalogos!$I$3:$J$34,2,FALSE)</f>
        <v>#N/A</v>
      </c>
      <c r="F111" s="3"/>
      <c r="G111" s="4">
        <v>28.3</v>
      </c>
      <c r="H111" s="4">
        <f t="shared" si="1"/>
        <v>0</v>
      </c>
      <c r="I111" t="e">
        <f>VLOOKUP(TablaObra5[[#This Row],[Obra]],Catalogos!$B$3:$C$8,2,FALSE)</f>
        <v>#N/A</v>
      </c>
    </row>
    <row r="112" spans="1:9">
      <c r="A112" s="2"/>
      <c r="E112" t="e">
        <f>VLOOKUP(TablaObra5[[#This Row],[Equipo]],Catalogos!$I$3:$J$34,2,FALSE)</f>
        <v>#N/A</v>
      </c>
      <c r="F112" s="3"/>
      <c r="G112" s="4">
        <v>28.3</v>
      </c>
      <c r="H112" s="4">
        <f t="shared" si="1"/>
        <v>0</v>
      </c>
      <c r="I112" t="e">
        <f>VLOOKUP(TablaObra5[[#This Row],[Obra]],Catalogos!$B$3:$C$8,2,FALSE)</f>
        <v>#N/A</v>
      </c>
    </row>
    <row r="113" spans="1:9">
      <c r="A113" s="2"/>
      <c r="E113" t="e">
        <f>VLOOKUP(TablaObra5[[#This Row],[Equipo]],Catalogos!$I$3:$J$34,2,FALSE)</f>
        <v>#N/A</v>
      </c>
      <c r="F113" s="3"/>
      <c r="G113" s="4">
        <v>28.3</v>
      </c>
      <c r="H113" s="4">
        <f t="shared" si="1"/>
        <v>0</v>
      </c>
      <c r="I113" t="e">
        <f>VLOOKUP(TablaObra5[[#This Row],[Obra]],Catalogos!$B$3:$C$8,2,FALSE)</f>
        <v>#N/A</v>
      </c>
    </row>
    <row r="114" spans="1:9">
      <c r="A114" s="2"/>
      <c r="E114" t="e">
        <f>VLOOKUP(TablaObra5[[#This Row],[Equipo]],Catalogos!$I$3:$J$34,2,FALSE)</f>
        <v>#N/A</v>
      </c>
      <c r="F114" s="3"/>
      <c r="G114" s="4">
        <v>28.3</v>
      </c>
      <c r="H114" s="4">
        <f t="shared" si="1"/>
        <v>0</v>
      </c>
      <c r="I114" t="e">
        <f>VLOOKUP(TablaObra5[[#This Row],[Obra]],Catalogos!$B$3:$C$8,2,FALSE)</f>
        <v>#N/A</v>
      </c>
    </row>
    <row r="115" spans="1:9">
      <c r="A115" s="2"/>
      <c r="E115" t="e">
        <f>VLOOKUP(TablaObra5[[#This Row],[Equipo]],Catalogos!$I$3:$J$34,2,FALSE)</f>
        <v>#N/A</v>
      </c>
      <c r="F115" s="3"/>
      <c r="G115" s="4">
        <v>28.3</v>
      </c>
      <c r="H115" s="4">
        <f t="shared" si="1"/>
        <v>0</v>
      </c>
      <c r="I115" t="e">
        <f>VLOOKUP(TablaObra5[[#This Row],[Obra]],Catalogos!$B$3:$C$8,2,FALSE)</f>
        <v>#N/A</v>
      </c>
    </row>
    <row r="116" spans="1:9">
      <c r="A116" s="2"/>
      <c r="E116" t="e">
        <f>VLOOKUP(TablaObra5[[#This Row],[Equipo]],Catalogos!$I$3:$J$34,2,FALSE)</f>
        <v>#N/A</v>
      </c>
      <c r="F116" s="3"/>
      <c r="G116" s="4">
        <v>28.3</v>
      </c>
      <c r="H116" s="4">
        <f t="shared" si="1"/>
        <v>0</v>
      </c>
      <c r="I116" t="e">
        <f>VLOOKUP(TablaObra5[[#This Row],[Obra]],Catalogos!$B$3:$C$8,2,FALSE)</f>
        <v>#N/A</v>
      </c>
    </row>
    <row r="117" spans="1:9">
      <c r="A117" s="2"/>
      <c r="E117" t="e">
        <f>VLOOKUP(TablaObra5[[#This Row],[Equipo]],Catalogos!$I$3:$J$34,2,FALSE)</f>
        <v>#N/A</v>
      </c>
      <c r="F117" s="3"/>
      <c r="G117" s="4">
        <v>28.3</v>
      </c>
      <c r="H117" s="4">
        <f t="shared" si="1"/>
        <v>0</v>
      </c>
      <c r="I117" t="e">
        <f>VLOOKUP(TablaObra5[[#This Row],[Obra]],Catalogos!$B$3:$C$8,2,FALSE)</f>
        <v>#N/A</v>
      </c>
    </row>
    <row r="118" spans="1:9">
      <c r="A118" s="2"/>
      <c r="E118" t="e">
        <f>VLOOKUP(TablaObra5[[#This Row],[Equipo]],Catalogos!$I$3:$J$34,2,FALSE)</f>
        <v>#N/A</v>
      </c>
      <c r="F118" s="3"/>
      <c r="G118" s="4">
        <v>28.3</v>
      </c>
      <c r="H118" s="4">
        <f t="shared" si="1"/>
        <v>0</v>
      </c>
      <c r="I118" t="e">
        <f>VLOOKUP(TablaObra5[[#This Row],[Obra]],Catalogos!$B$3:$C$8,2,FALSE)</f>
        <v>#N/A</v>
      </c>
    </row>
    <row r="119" spans="1:9">
      <c r="A119" s="2"/>
      <c r="E119" t="e">
        <f>VLOOKUP(TablaObra5[[#This Row],[Equipo]],Catalogos!$I$3:$J$34,2,FALSE)</f>
        <v>#N/A</v>
      </c>
      <c r="F119" s="3"/>
      <c r="G119" s="4">
        <v>28.3</v>
      </c>
      <c r="H119" s="4">
        <f t="shared" si="1"/>
        <v>0</v>
      </c>
      <c r="I119" t="e">
        <f>VLOOKUP(TablaObra5[[#This Row],[Obra]],Catalogos!$B$3:$C$8,2,FALSE)</f>
        <v>#N/A</v>
      </c>
    </row>
    <row r="120" spans="1:9">
      <c r="A120" s="2"/>
      <c r="E120" t="e">
        <f>VLOOKUP(TablaObra5[[#This Row],[Equipo]],Catalogos!$I$3:$J$34,2,FALSE)</f>
        <v>#N/A</v>
      </c>
      <c r="F120" s="3"/>
      <c r="G120" s="4">
        <v>28.3</v>
      </c>
      <c r="H120" s="4">
        <f t="shared" si="1"/>
        <v>0</v>
      </c>
      <c r="I120" t="e">
        <f>VLOOKUP(TablaObra5[[#This Row],[Obra]],Catalogos!$B$3:$C$8,2,FALSE)</f>
        <v>#N/A</v>
      </c>
    </row>
    <row r="121" spans="1:9">
      <c r="A121" s="2"/>
      <c r="E121" t="e">
        <f>VLOOKUP(TablaObra5[[#This Row],[Equipo]],Catalogos!$I$3:$J$34,2,FALSE)</f>
        <v>#N/A</v>
      </c>
      <c r="F121" s="3"/>
      <c r="G121" s="4">
        <v>28.3</v>
      </c>
      <c r="H121" s="4">
        <f t="shared" si="1"/>
        <v>0</v>
      </c>
      <c r="I121" t="e">
        <f>VLOOKUP(TablaObra5[[#This Row],[Obra]],Catalogos!$B$3:$C$8,2,FALSE)</f>
        <v>#N/A</v>
      </c>
    </row>
    <row r="122" spans="1:9">
      <c r="A122" s="2"/>
      <c r="E122" t="e">
        <f>VLOOKUP(TablaObra5[[#This Row],[Equipo]],Catalogos!$I$3:$J$34,2,FALSE)</f>
        <v>#N/A</v>
      </c>
      <c r="F122" s="3"/>
      <c r="G122" s="4">
        <v>28.3</v>
      </c>
      <c r="H122" s="4">
        <f t="shared" si="1"/>
        <v>0</v>
      </c>
      <c r="I122" t="e">
        <f>VLOOKUP(TablaObra5[[#This Row],[Obra]],Catalogos!$B$3:$C$8,2,FALSE)</f>
        <v>#N/A</v>
      </c>
    </row>
    <row r="123" spans="1:9">
      <c r="A123" s="2"/>
      <c r="E123" t="e">
        <f>VLOOKUP(TablaObra5[[#This Row],[Equipo]],Catalogos!$I$3:$J$34,2,FALSE)</f>
        <v>#N/A</v>
      </c>
      <c r="F123" s="3"/>
      <c r="G123" s="4">
        <v>28.3</v>
      </c>
      <c r="H123" s="4">
        <f t="shared" si="1"/>
        <v>0</v>
      </c>
      <c r="I123" t="e">
        <f>VLOOKUP(TablaObra5[[#This Row],[Obra]],Catalogos!$B$3:$C$8,2,FALSE)</f>
        <v>#N/A</v>
      </c>
    </row>
    <row r="124" spans="1:9">
      <c r="A124" s="2"/>
      <c r="E124" t="e">
        <f>VLOOKUP(TablaObra5[[#This Row],[Equipo]],Catalogos!$I$3:$J$34,2,FALSE)</f>
        <v>#N/A</v>
      </c>
      <c r="F124" s="3"/>
      <c r="G124" s="4">
        <v>28.3</v>
      </c>
      <c r="H124" s="4">
        <f t="shared" si="1"/>
        <v>0</v>
      </c>
      <c r="I124" t="e">
        <f>VLOOKUP(TablaObra5[[#This Row],[Obra]],Catalogos!$B$3:$C$8,2,FALSE)</f>
        <v>#N/A</v>
      </c>
    </row>
    <row r="125" spans="1:9">
      <c r="A125" s="2"/>
      <c r="E125" t="e">
        <f>VLOOKUP(TablaObra5[[#This Row],[Equipo]],Catalogos!$I$3:$J$34,2,FALSE)</f>
        <v>#N/A</v>
      </c>
      <c r="F125" s="3"/>
      <c r="G125" s="4">
        <v>28.3</v>
      </c>
      <c r="H125" s="4">
        <f t="shared" si="1"/>
        <v>0</v>
      </c>
      <c r="I125" t="e">
        <f>VLOOKUP(TablaObra5[[#This Row],[Obra]],Catalogos!$B$3:$C$8,2,FALSE)</f>
        <v>#N/A</v>
      </c>
    </row>
    <row r="126" spans="1:9">
      <c r="A126" s="2"/>
      <c r="E126" t="e">
        <f>VLOOKUP(TablaObra5[[#This Row],[Equipo]],Catalogos!$I$3:$J$34,2,FALSE)</f>
        <v>#N/A</v>
      </c>
      <c r="F126" s="3"/>
      <c r="G126" s="4">
        <v>28.3</v>
      </c>
      <c r="H126" s="4">
        <f t="shared" si="1"/>
        <v>0</v>
      </c>
      <c r="I126" t="e">
        <f>VLOOKUP(TablaObra5[[#This Row],[Obra]],Catalogos!$B$3:$C$8,2,FALSE)</f>
        <v>#N/A</v>
      </c>
    </row>
    <row r="127" spans="1:9">
      <c r="A127" s="2"/>
      <c r="E127" t="e">
        <f>VLOOKUP(TablaObra5[[#This Row],[Equipo]],Catalogos!$I$3:$J$34,2,FALSE)</f>
        <v>#N/A</v>
      </c>
      <c r="F127" s="3"/>
      <c r="G127" s="4">
        <v>28.3</v>
      </c>
      <c r="H127" s="4">
        <f t="shared" si="1"/>
        <v>0</v>
      </c>
      <c r="I127" t="e">
        <f>VLOOKUP(TablaObra5[[#This Row],[Obra]],Catalogos!$B$3:$C$8,2,FALSE)</f>
        <v>#N/A</v>
      </c>
    </row>
    <row r="128" spans="1:9">
      <c r="A128" s="2"/>
      <c r="E128" t="e">
        <f>VLOOKUP(TablaObra5[[#This Row],[Equipo]],Catalogos!$I$3:$J$34,2,FALSE)</f>
        <v>#N/A</v>
      </c>
      <c r="F128" s="3"/>
      <c r="G128" s="4">
        <v>28.3</v>
      </c>
      <c r="H128" s="4">
        <f t="shared" si="1"/>
        <v>0</v>
      </c>
      <c r="I128" t="e">
        <f>VLOOKUP(TablaObra5[[#This Row],[Obra]],Catalogos!$B$3:$C$8,2,FALSE)</f>
        <v>#N/A</v>
      </c>
    </row>
    <row r="129" spans="1:9">
      <c r="A129" s="2"/>
      <c r="E129" t="e">
        <f>VLOOKUP(TablaObra5[[#This Row],[Equipo]],Catalogos!$I$3:$J$34,2,FALSE)</f>
        <v>#N/A</v>
      </c>
      <c r="F129" s="3"/>
      <c r="G129" s="4">
        <v>28.3</v>
      </c>
      <c r="H129" s="4">
        <f t="shared" si="1"/>
        <v>0</v>
      </c>
      <c r="I129" t="e">
        <f>VLOOKUP(TablaObra5[[#This Row],[Obra]],Catalogos!$B$3:$C$8,2,FALSE)</f>
        <v>#N/A</v>
      </c>
    </row>
    <row r="130" spans="1:9">
      <c r="A130" s="2"/>
      <c r="E130" t="e">
        <f>VLOOKUP(TablaObra5[[#This Row],[Equipo]],Catalogos!$I$3:$J$34,2,FALSE)</f>
        <v>#N/A</v>
      </c>
      <c r="F130" s="3"/>
      <c r="G130" s="4">
        <v>28.3</v>
      </c>
      <c r="H130" s="4">
        <f t="shared" si="1"/>
        <v>0</v>
      </c>
      <c r="I130" t="e">
        <f>VLOOKUP(TablaObra5[[#This Row],[Obra]],Catalogos!$B$3:$C$8,2,FALSE)</f>
        <v>#N/A</v>
      </c>
    </row>
    <row r="131" spans="1:9">
      <c r="A131" s="2"/>
      <c r="E131" t="e">
        <f>VLOOKUP(TablaObra5[[#This Row],[Equipo]],Catalogos!$I$3:$J$34,2,FALSE)</f>
        <v>#N/A</v>
      </c>
      <c r="F131" s="3"/>
      <c r="G131" s="4">
        <v>28.3</v>
      </c>
      <c r="H131" s="4">
        <f t="shared" si="1"/>
        <v>0</v>
      </c>
      <c r="I131" t="e">
        <f>VLOOKUP(TablaObra5[[#This Row],[Obra]],Catalogos!$B$3:$C$8,2,FALSE)</f>
        <v>#N/A</v>
      </c>
    </row>
    <row r="132" spans="1:9">
      <c r="A132" s="2"/>
      <c r="E132" t="e">
        <f>VLOOKUP(TablaObra5[[#This Row],[Equipo]],Catalogos!$I$3:$J$34,2,FALSE)</f>
        <v>#N/A</v>
      </c>
      <c r="F132" s="3"/>
      <c r="G132" s="4">
        <v>28.3</v>
      </c>
      <c r="H132" s="4">
        <f t="shared" si="1"/>
        <v>0</v>
      </c>
      <c r="I132" t="e">
        <f>VLOOKUP(TablaObra5[[#This Row],[Obra]],Catalogos!$B$3:$C$8,2,FALSE)</f>
        <v>#N/A</v>
      </c>
    </row>
    <row r="133" spans="1:9">
      <c r="A133" s="2"/>
      <c r="E133" t="e">
        <f>VLOOKUP(TablaObra5[[#This Row],[Equipo]],Catalogos!$I$3:$J$34,2,FALSE)</f>
        <v>#N/A</v>
      </c>
      <c r="F133" s="3"/>
      <c r="G133" s="4">
        <v>28.3</v>
      </c>
      <c r="H133" s="4">
        <f t="shared" si="1"/>
        <v>0</v>
      </c>
      <c r="I133" t="e">
        <f>VLOOKUP(TablaObra5[[#This Row],[Obra]],Catalogos!$B$3:$C$8,2,FALSE)</f>
        <v>#N/A</v>
      </c>
    </row>
    <row r="134" spans="1:9">
      <c r="A134" s="2"/>
      <c r="E134" t="e">
        <f>VLOOKUP(TablaObra5[[#This Row],[Equipo]],Catalogos!$I$3:$J$34,2,FALSE)</f>
        <v>#N/A</v>
      </c>
      <c r="F134" s="3"/>
      <c r="G134" s="4">
        <v>28.3</v>
      </c>
      <c r="H134" s="4">
        <f t="shared" si="1"/>
        <v>0</v>
      </c>
      <c r="I134" t="e">
        <f>VLOOKUP(TablaObra5[[#This Row],[Obra]],Catalogos!$B$3:$C$8,2,FALSE)</f>
        <v>#N/A</v>
      </c>
    </row>
    <row r="135" spans="1:9">
      <c r="A135" s="2"/>
      <c r="E135" t="e">
        <f>VLOOKUP(TablaObra5[[#This Row],[Equipo]],Catalogos!$I$3:$J$34,2,FALSE)</f>
        <v>#N/A</v>
      </c>
      <c r="F135" s="3"/>
      <c r="G135" s="4">
        <v>28.3</v>
      </c>
      <c r="H135" s="4">
        <f t="shared" ref="H135:H198" si="2">IFERROR(F135*G135,0)</f>
        <v>0</v>
      </c>
      <c r="I135" t="e">
        <f>VLOOKUP(TablaObra5[[#This Row],[Obra]],Catalogos!$B$3:$C$8,2,FALSE)</f>
        <v>#N/A</v>
      </c>
    </row>
    <row r="136" spans="1:9">
      <c r="A136" s="2"/>
      <c r="E136" t="e">
        <f>VLOOKUP(TablaObra5[[#This Row],[Equipo]],Catalogos!$I$3:$J$34,2,FALSE)</f>
        <v>#N/A</v>
      </c>
      <c r="F136" s="3"/>
      <c r="G136" s="4">
        <v>28.3</v>
      </c>
      <c r="H136" s="4">
        <f t="shared" si="2"/>
        <v>0</v>
      </c>
      <c r="I136" t="e">
        <f>VLOOKUP(TablaObra5[[#This Row],[Obra]],Catalogos!$B$3:$C$8,2,FALSE)</f>
        <v>#N/A</v>
      </c>
    </row>
    <row r="137" spans="1:9">
      <c r="A137" s="2"/>
      <c r="E137" t="e">
        <f>VLOOKUP(TablaObra5[[#This Row],[Equipo]],Catalogos!$I$3:$J$34,2,FALSE)</f>
        <v>#N/A</v>
      </c>
      <c r="F137" s="3"/>
      <c r="G137" s="4">
        <v>28.3</v>
      </c>
      <c r="H137" s="4">
        <f t="shared" si="2"/>
        <v>0</v>
      </c>
      <c r="I137" t="e">
        <f>VLOOKUP(TablaObra5[[#This Row],[Obra]],Catalogos!$B$3:$C$8,2,FALSE)</f>
        <v>#N/A</v>
      </c>
    </row>
    <row r="138" spans="1:9">
      <c r="A138" s="2"/>
      <c r="E138" t="e">
        <f>VLOOKUP(TablaObra5[[#This Row],[Equipo]],Catalogos!$I$3:$J$34,2,FALSE)</f>
        <v>#N/A</v>
      </c>
      <c r="F138" s="3"/>
      <c r="G138" s="4">
        <v>28.3</v>
      </c>
      <c r="H138" s="4">
        <f t="shared" si="2"/>
        <v>0</v>
      </c>
      <c r="I138" t="e">
        <f>VLOOKUP(TablaObra5[[#This Row],[Obra]],Catalogos!$B$3:$C$8,2,FALSE)</f>
        <v>#N/A</v>
      </c>
    </row>
    <row r="139" spans="1:9">
      <c r="A139" s="2"/>
      <c r="E139" t="e">
        <f>VLOOKUP(TablaObra5[[#This Row],[Equipo]],Catalogos!$I$3:$J$34,2,FALSE)</f>
        <v>#N/A</v>
      </c>
      <c r="F139" s="3"/>
      <c r="G139" s="4">
        <v>28.3</v>
      </c>
      <c r="H139" s="4">
        <f t="shared" si="2"/>
        <v>0</v>
      </c>
      <c r="I139" t="e">
        <f>VLOOKUP(TablaObra5[[#This Row],[Obra]],Catalogos!$B$3:$C$8,2,FALSE)</f>
        <v>#N/A</v>
      </c>
    </row>
    <row r="140" spans="1:9">
      <c r="A140" s="2"/>
      <c r="E140" t="e">
        <f>VLOOKUP(TablaObra5[[#This Row],[Equipo]],Catalogos!$I$3:$J$34,2,FALSE)</f>
        <v>#N/A</v>
      </c>
      <c r="F140" s="3"/>
      <c r="G140" s="4">
        <v>28.3</v>
      </c>
      <c r="H140" s="4">
        <f t="shared" si="2"/>
        <v>0</v>
      </c>
      <c r="I140" t="e">
        <f>VLOOKUP(TablaObra5[[#This Row],[Obra]],Catalogos!$B$3:$C$8,2,FALSE)</f>
        <v>#N/A</v>
      </c>
    </row>
    <row r="141" spans="1:9">
      <c r="A141" s="2"/>
      <c r="E141" t="e">
        <f>VLOOKUP(TablaObra5[[#This Row],[Equipo]],Catalogos!$I$3:$J$34,2,FALSE)</f>
        <v>#N/A</v>
      </c>
      <c r="F141" s="3"/>
      <c r="G141" s="4">
        <v>28.3</v>
      </c>
      <c r="H141" s="4">
        <f t="shared" si="2"/>
        <v>0</v>
      </c>
      <c r="I141" t="e">
        <f>VLOOKUP(TablaObra5[[#This Row],[Obra]],Catalogos!$B$3:$C$8,2,FALSE)</f>
        <v>#N/A</v>
      </c>
    </row>
    <row r="142" spans="1:9">
      <c r="A142" s="2"/>
      <c r="E142" t="e">
        <f>VLOOKUP(TablaObra5[[#This Row],[Equipo]],Catalogos!$I$3:$J$34,2,FALSE)</f>
        <v>#N/A</v>
      </c>
      <c r="F142" s="3"/>
      <c r="G142" s="4">
        <v>28.3</v>
      </c>
      <c r="H142" s="4">
        <f t="shared" si="2"/>
        <v>0</v>
      </c>
      <c r="I142" t="e">
        <f>VLOOKUP(TablaObra5[[#This Row],[Obra]],Catalogos!$B$3:$C$8,2,FALSE)</f>
        <v>#N/A</v>
      </c>
    </row>
    <row r="143" spans="1:9">
      <c r="A143" s="2"/>
      <c r="E143" t="e">
        <f>VLOOKUP(TablaObra5[[#This Row],[Equipo]],Catalogos!$I$3:$J$34,2,FALSE)</f>
        <v>#N/A</v>
      </c>
      <c r="F143" s="3"/>
      <c r="G143" s="4">
        <v>28.3</v>
      </c>
      <c r="H143" s="4">
        <f t="shared" si="2"/>
        <v>0</v>
      </c>
      <c r="I143" t="e">
        <f>VLOOKUP(TablaObra5[[#This Row],[Obra]],Catalogos!$B$3:$C$8,2,FALSE)</f>
        <v>#N/A</v>
      </c>
    </row>
    <row r="144" spans="1:9">
      <c r="A144" s="2"/>
      <c r="E144" t="e">
        <f>VLOOKUP(TablaObra5[[#This Row],[Equipo]],Catalogos!$I$3:$J$34,2,FALSE)</f>
        <v>#N/A</v>
      </c>
      <c r="F144" s="3"/>
      <c r="G144" s="4">
        <v>28.3</v>
      </c>
      <c r="H144" s="4">
        <f t="shared" si="2"/>
        <v>0</v>
      </c>
      <c r="I144" t="e">
        <f>VLOOKUP(TablaObra5[[#This Row],[Obra]],Catalogos!$B$3:$C$8,2,FALSE)</f>
        <v>#N/A</v>
      </c>
    </row>
    <row r="145" spans="1:9">
      <c r="A145" s="2"/>
      <c r="E145" t="e">
        <f>VLOOKUP(TablaObra5[[#This Row],[Equipo]],Catalogos!$I$3:$J$34,2,FALSE)</f>
        <v>#N/A</v>
      </c>
      <c r="F145" s="3"/>
      <c r="G145" s="4">
        <v>28.3</v>
      </c>
      <c r="H145" s="4">
        <f t="shared" si="2"/>
        <v>0</v>
      </c>
      <c r="I145" t="e">
        <f>VLOOKUP(TablaObra5[[#This Row],[Obra]],Catalogos!$B$3:$C$8,2,FALSE)</f>
        <v>#N/A</v>
      </c>
    </row>
    <row r="146" spans="1:9">
      <c r="A146" s="2"/>
      <c r="E146" t="e">
        <f>VLOOKUP(TablaObra5[[#This Row],[Equipo]],Catalogos!$I$3:$J$34,2,FALSE)</f>
        <v>#N/A</v>
      </c>
      <c r="F146" s="3"/>
      <c r="G146" s="4">
        <v>28.3</v>
      </c>
      <c r="H146" s="4">
        <f t="shared" si="2"/>
        <v>0</v>
      </c>
      <c r="I146" t="e">
        <f>VLOOKUP(TablaObra5[[#This Row],[Obra]],Catalogos!$B$3:$C$8,2,FALSE)</f>
        <v>#N/A</v>
      </c>
    </row>
    <row r="147" spans="1:9">
      <c r="A147" s="2"/>
      <c r="E147" t="e">
        <f>VLOOKUP(TablaObra5[[#This Row],[Equipo]],Catalogos!$I$3:$J$34,2,FALSE)</f>
        <v>#N/A</v>
      </c>
      <c r="F147" s="3"/>
      <c r="G147" s="4">
        <v>28.3</v>
      </c>
      <c r="H147" s="4">
        <f t="shared" si="2"/>
        <v>0</v>
      </c>
      <c r="I147" t="e">
        <f>VLOOKUP(TablaObra5[[#This Row],[Obra]],Catalogos!$B$3:$C$8,2,FALSE)</f>
        <v>#N/A</v>
      </c>
    </row>
    <row r="148" spans="1:9">
      <c r="A148" s="2"/>
      <c r="E148" t="e">
        <f>VLOOKUP(TablaObra5[[#This Row],[Equipo]],Catalogos!$I$3:$J$34,2,FALSE)</f>
        <v>#N/A</v>
      </c>
      <c r="F148" s="3"/>
      <c r="G148" s="4">
        <v>28.3</v>
      </c>
      <c r="H148" s="4">
        <f t="shared" si="2"/>
        <v>0</v>
      </c>
      <c r="I148" t="e">
        <f>VLOOKUP(TablaObra5[[#This Row],[Obra]],Catalogos!$B$3:$C$8,2,FALSE)</f>
        <v>#N/A</v>
      </c>
    </row>
    <row r="149" spans="1:9">
      <c r="A149" s="2"/>
      <c r="E149" t="e">
        <f>VLOOKUP(TablaObra5[[#This Row],[Equipo]],Catalogos!$I$3:$J$34,2,FALSE)</f>
        <v>#N/A</v>
      </c>
      <c r="F149" s="3"/>
      <c r="G149" s="4">
        <v>28.3</v>
      </c>
      <c r="H149" s="4">
        <f t="shared" si="2"/>
        <v>0</v>
      </c>
      <c r="I149" t="e">
        <f>VLOOKUP(TablaObra5[[#This Row],[Obra]],Catalogos!$B$3:$C$8,2,FALSE)</f>
        <v>#N/A</v>
      </c>
    </row>
    <row r="150" spans="1:9">
      <c r="A150" s="2"/>
      <c r="E150" t="e">
        <f>VLOOKUP(TablaObra5[[#This Row],[Equipo]],Catalogos!$I$3:$J$34,2,FALSE)</f>
        <v>#N/A</v>
      </c>
      <c r="F150" s="3"/>
      <c r="G150" s="4">
        <v>28.3</v>
      </c>
      <c r="H150" s="4">
        <f t="shared" si="2"/>
        <v>0</v>
      </c>
      <c r="I150" t="e">
        <f>VLOOKUP(TablaObra5[[#This Row],[Obra]],Catalogos!$B$3:$C$8,2,FALSE)</f>
        <v>#N/A</v>
      </c>
    </row>
    <row r="151" spans="1:9">
      <c r="A151" s="2"/>
      <c r="E151" t="e">
        <f>VLOOKUP(TablaObra5[[#This Row],[Equipo]],Catalogos!$I$3:$J$34,2,FALSE)</f>
        <v>#N/A</v>
      </c>
      <c r="F151" s="3"/>
      <c r="G151" s="4">
        <v>28.3</v>
      </c>
      <c r="H151" s="4">
        <f t="shared" si="2"/>
        <v>0</v>
      </c>
      <c r="I151" t="e">
        <f>VLOOKUP(TablaObra5[[#This Row],[Obra]],Catalogos!$B$3:$C$8,2,FALSE)</f>
        <v>#N/A</v>
      </c>
    </row>
    <row r="152" spans="1:9">
      <c r="A152" s="2"/>
      <c r="E152" t="e">
        <f>VLOOKUP(TablaObra5[[#This Row],[Equipo]],Catalogos!$I$3:$J$34,2,FALSE)</f>
        <v>#N/A</v>
      </c>
      <c r="F152" s="3"/>
      <c r="G152" s="4">
        <v>28.3</v>
      </c>
      <c r="H152" s="4">
        <f t="shared" si="2"/>
        <v>0</v>
      </c>
      <c r="I152" t="e">
        <f>VLOOKUP(TablaObra5[[#This Row],[Obra]],Catalogos!$B$3:$C$8,2,FALSE)</f>
        <v>#N/A</v>
      </c>
    </row>
    <row r="153" spans="1:9">
      <c r="A153" s="2"/>
      <c r="E153" t="e">
        <f>VLOOKUP(TablaObra5[[#This Row],[Equipo]],Catalogos!$I$3:$J$34,2,FALSE)</f>
        <v>#N/A</v>
      </c>
      <c r="F153" s="3"/>
      <c r="G153" s="4">
        <v>28.3</v>
      </c>
      <c r="H153" s="4">
        <f t="shared" si="2"/>
        <v>0</v>
      </c>
      <c r="I153" t="e">
        <f>VLOOKUP(TablaObra5[[#This Row],[Obra]],Catalogos!$B$3:$C$8,2,FALSE)</f>
        <v>#N/A</v>
      </c>
    </row>
    <row r="154" spans="1:9">
      <c r="A154" s="2"/>
      <c r="E154" t="e">
        <f>VLOOKUP(TablaObra5[[#This Row],[Equipo]],Catalogos!$I$3:$J$34,2,FALSE)</f>
        <v>#N/A</v>
      </c>
      <c r="F154" s="3"/>
      <c r="G154" s="4">
        <v>28.3</v>
      </c>
      <c r="H154" s="4">
        <f t="shared" si="2"/>
        <v>0</v>
      </c>
      <c r="I154" t="e">
        <f>VLOOKUP(TablaObra5[[#This Row],[Obra]],Catalogos!$B$3:$C$8,2,FALSE)</f>
        <v>#N/A</v>
      </c>
    </row>
    <row r="155" spans="1:9">
      <c r="A155" s="2"/>
      <c r="E155" t="e">
        <f>VLOOKUP(TablaObra5[[#This Row],[Equipo]],Catalogos!$I$3:$J$34,2,FALSE)</f>
        <v>#N/A</v>
      </c>
      <c r="F155" s="3"/>
      <c r="G155" s="4">
        <v>28.3</v>
      </c>
      <c r="H155" s="4">
        <f t="shared" si="2"/>
        <v>0</v>
      </c>
      <c r="I155" t="e">
        <f>VLOOKUP(TablaObra5[[#This Row],[Obra]],Catalogos!$B$3:$C$8,2,FALSE)</f>
        <v>#N/A</v>
      </c>
    </row>
    <row r="156" spans="1:9">
      <c r="A156" s="2"/>
      <c r="E156" t="e">
        <f>VLOOKUP(TablaObra5[[#This Row],[Equipo]],Catalogos!$I$3:$J$34,2,FALSE)</f>
        <v>#N/A</v>
      </c>
      <c r="F156" s="3"/>
      <c r="G156" s="4">
        <v>28.3</v>
      </c>
      <c r="H156" s="4">
        <f t="shared" si="2"/>
        <v>0</v>
      </c>
      <c r="I156" t="e">
        <f>VLOOKUP(TablaObra5[[#This Row],[Obra]],Catalogos!$B$3:$C$8,2,FALSE)</f>
        <v>#N/A</v>
      </c>
    </row>
    <row r="157" spans="1:9">
      <c r="A157" s="2"/>
      <c r="E157" t="e">
        <f>VLOOKUP(TablaObra5[[#This Row],[Equipo]],Catalogos!$I$3:$J$34,2,FALSE)</f>
        <v>#N/A</v>
      </c>
      <c r="F157" s="3"/>
      <c r="G157" s="4">
        <v>28.3</v>
      </c>
      <c r="H157" s="4">
        <f t="shared" si="2"/>
        <v>0</v>
      </c>
      <c r="I157" t="e">
        <f>VLOOKUP(TablaObra5[[#This Row],[Obra]],Catalogos!$B$3:$C$8,2,FALSE)</f>
        <v>#N/A</v>
      </c>
    </row>
    <row r="158" spans="1:9">
      <c r="A158" s="2"/>
      <c r="E158" t="e">
        <f>VLOOKUP(TablaObra5[[#This Row],[Equipo]],Catalogos!$I$3:$J$34,2,FALSE)</f>
        <v>#N/A</v>
      </c>
      <c r="F158" s="3"/>
      <c r="G158" s="4">
        <v>28.3</v>
      </c>
      <c r="H158" s="4">
        <f t="shared" si="2"/>
        <v>0</v>
      </c>
      <c r="I158" t="e">
        <f>VLOOKUP(TablaObra5[[#This Row],[Obra]],Catalogos!$B$3:$C$8,2,FALSE)</f>
        <v>#N/A</v>
      </c>
    </row>
    <row r="159" spans="1:9">
      <c r="A159" s="2"/>
      <c r="E159" t="e">
        <f>VLOOKUP(TablaObra5[[#This Row],[Equipo]],Catalogos!$I$3:$J$34,2,FALSE)</f>
        <v>#N/A</v>
      </c>
      <c r="F159" s="3"/>
      <c r="G159" s="4">
        <v>28.3</v>
      </c>
      <c r="H159" s="4">
        <f t="shared" si="2"/>
        <v>0</v>
      </c>
      <c r="I159" t="e">
        <f>VLOOKUP(TablaObra5[[#This Row],[Obra]],Catalogos!$B$3:$C$8,2,FALSE)</f>
        <v>#N/A</v>
      </c>
    </row>
    <row r="160" spans="1:9">
      <c r="A160" s="2"/>
      <c r="E160" t="e">
        <f>VLOOKUP(TablaObra5[[#This Row],[Equipo]],Catalogos!$I$3:$J$34,2,FALSE)</f>
        <v>#N/A</v>
      </c>
      <c r="F160" s="3"/>
      <c r="G160" s="4">
        <v>28.3</v>
      </c>
      <c r="H160" s="4">
        <f t="shared" si="2"/>
        <v>0</v>
      </c>
      <c r="I160" t="e">
        <f>VLOOKUP(TablaObra5[[#This Row],[Obra]],Catalogos!$B$3:$C$8,2,FALSE)</f>
        <v>#N/A</v>
      </c>
    </row>
    <row r="161" spans="1:9">
      <c r="A161" s="2"/>
      <c r="E161" t="e">
        <f>VLOOKUP(TablaObra5[[#This Row],[Equipo]],Catalogos!$I$3:$J$34,2,FALSE)</f>
        <v>#N/A</v>
      </c>
      <c r="F161" s="3"/>
      <c r="G161" s="4">
        <v>28.3</v>
      </c>
      <c r="H161" s="4">
        <f t="shared" si="2"/>
        <v>0</v>
      </c>
      <c r="I161" t="e">
        <f>VLOOKUP(TablaObra5[[#This Row],[Obra]],Catalogos!$B$3:$C$8,2,FALSE)</f>
        <v>#N/A</v>
      </c>
    </row>
    <row r="162" spans="1:9">
      <c r="A162" s="2"/>
      <c r="E162" t="e">
        <f>VLOOKUP(TablaObra5[[#This Row],[Equipo]],Catalogos!$I$3:$J$34,2,FALSE)</f>
        <v>#N/A</v>
      </c>
      <c r="F162" s="3"/>
      <c r="G162" s="4">
        <v>28.3</v>
      </c>
      <c r="H162" s="4">
        <f t="shared" si="2"/>
        <v>0</v>
      </c>
      <c r="I162" t="e">
        <f>VLOOKUP(TablaObra5[[#This Row],[Obra]],Catalogos!$B$3:$C$8,2,FALSE)</f>
        <v>#N/A</v>
      </c>
    </row>
    <row r="163" spans="1:9">
      <c r="A163" s="2"/>
      <c r="E163" t="e">
        <f>VLOOKUP(TablaObra5[[#This Row],[Equipo]],Catalogos!$I$3:$J$34,2,FALSE)</f>
        <v>#N/A</v>
      </c>
      <c r="F163" s="3"/>
      <c r="G163" s="4">
        <v>28.3</v>
      </c>
      <c r="H163" s="4">
        <f t="shared" si="2"/>
        <v>0</v>
      </c>
      <c r="I163" t="e">
        <f>VLOOKUP(TablaObra5[[#This Row],[Obra]],Catalogos!$B$3:$C$8,2,FALSE)</f>
        <v>#N/A</v>
      </c>
    </row>
    <row r="164" spans="1:9">
      <c r="A164" s="2"/>
      <c r="E164" t="e">
        <f>VLOOKUP(TablaObra5[[#This Row],[Equipo]],Catalogos!$I$3:$J$34,2,FALSE)</f>
        <v>#N/A</v>
      </c>
      <c r="F164" s="3"/>
      <c r="G164" s="4">
        <v>28.3</v>
      </c>
      <c r="H164" s="4">
        <f t="shared" si="2"/>
        <v>0</v>
      </c>
      <c r="I164" t="e">
        <f>VLOOKUP(TablaObra5[[#This Row],[Obra]],Catalogos!$B$3:$C$8,2,FALSE)</f>
        <v>#N/A</v>
      </c>
    </row>
    <row r="165" spans="1:9">
      <c r="A165" s="2"/>
      <c r="E165" t="e">
        <f>VLOOKUP(TablaObra5[[#This Row],[Equipo]],Catalogos!$I$3:$J$34,2,FALSE)</f>
        <v>#N/A</v>
      </c>
      <c r="F165" s="3"/>
      <c r="G165" s="4">
        <v>28.3</v>
      </c>
      <c r="H165" s="4">
        <f t="shared" si="2"/>
        <v>0</v>
      </c>
      <c r="I165" t="e">
        <f>VLOOKUP(TablaObra5[[#This Row],[Obra]],Catalogos!$B$3:$C$8,2,FALSE)</f>
        <v>#N/A</v>
      </c>
    </row>
    <row r="166" spans="1:9">
      <c r="A166" s="2"/>
      <c r="E166" t="e">
        <f>VLOOKUP(TablaObra5[[#This Row],[Equipo]],Catalogos!$I$3:$J$34,2,FALSE)</f>
        <v>#N/A</v>
      </c>
      <c r="F166" s="3"/>
      <c r="G166" s="4">
        <v>28.3</v>
      </c>
      <c r="H166" s="4">
        <f t="shared" si="2"/>
        <v>0</v>
      </c>
      <c r="I166" t="e">
        <f>VLOOKUP(TablaObra5[[#This Row],[Obra]],Catalogos!$B$3:$C$8,2,FALSE)</f>
        <v>#N/A</v>
      </c>
    </row>
    <row r="167" spans="1:9">
      <c r="A167" s="2"/>
      <c r="E167" t="e">
        <f>VLOOKUP(TablaObra5[[#This Row],[Equipo]],Catalogos!$I$3:$J$34,2,FALSE)</f>
        <v>#N/A</v>
      </c>
      <c r="F167" s="3"/>
      <c r="G167" s="4">
        <v>28.3</v>
      </c>
      <c r="H167" s="4">
        <f t="shared" si="2"/>
        <v>0</v>
      </c>
      <c r="I167" t="e">
        <f>VLOOKUP(TablaObra5[[#This Row],[Obra]],Catalogos!$B$3:$C$8,2,FALSE)</f>
        <v>#N/A</v>
      </c>
    </row>
    <row r="168" spans="1:9">
      <c r="A168" s="2"/>
      <c r="E168" t="e">
        <f>VLOOKUP(TablaObra5[[#This Row],[Equipo]],Catalogos!$I$3:$J$34,2,FALSE)</f>
        <v>#N/A</v>
      </c>
      <c r="F168" s="3"/>
      <c r="G168" s="4">
        <v>28.3</v>
      </c>
      <c r="H168" s="4">
        <f t="shared" si="2"/>
        <v>0</v>
      </c>
      <c r="I168" t="e">
        <f>VLOOKUP(TablaObra5[[#This Row],[Obra]],Catalogos!$B$3:$C$8,2,FALSE)</f>
        <v>#N/A</v>
      </c>
    </row>
    <row r="169" spans="1:9">
      <c r="A169" s="2"/>
      <c r="E169" t="e">
        <f>VLOOKUP(TablaObra5[[#This Row],[Equipo]],Catalogos!$I$3:$J$34,2,FALSE)</f>
        <v>#N/A</v>
      </c>
      <c r="F169" s="3"/>
      <c r="G169" s="4">
        <v>28.3</v>
      </c>
      <c r="H169" s="4">
        <f t="shared" si="2"/>
        <v>0</v>
      </c>
      <c r="I169" t="e">
        <f>VLOOKUP(TablaObra5[[#This Row],[Obra]],Catalogos!$B$3:$C$8,2,FALSE)</f>
        <v>#N/A</v>
      </c>
    </row>
    <row r="170" spans="1:9">
      <c r="A170" s="2"/>
      <c r="E170" t="e">
        <f>VLOOKUP(TablaObra5[[#This Row],[Equipo]],Catalogos!$I$3:$J$34,2,FALSE)</f>
        <v>#N/A</v>
      </c>
      <c r="F170" s="3"/>
      <c r="G170" s="4">
        <v>28.3</v>
      </c>
      <c r="H170" s="4">
        <f t="shared" si="2"/>
        <v>0</v>
      </c>
      <c r="I170" t="e">
        <f>VLOOKUP(TablaObra5[[#This Row],[Obra]],Catalogos!$B$3:$C$8,2,FALSE)</f>
        <v>#N/A</v>
      </c>
    </row>
    <row r="171" spans="1:9">
      <c r="A171" s="2"/>
      <c r="E171" t="e">
        <f>VLOOKUP(TablaObra5[[#This Row],[Equipo]],Catalogos!$I$3:$J$34,2,FALSE)</f>
        <v>#N/A</v>
      </c>
      <c r="F171" s="3"/>
      <c r="G171" s="4">
        <v>28.3</v>
      </c>
      <c r="H171" s="4">
        <f t="shared" si="2"/>
        <v>0</v>
      </c>
      <c r="I171" t="e">
        <f>VLOOKUP(TablaObra5[[#This Row],[Obra]],Catalogos!$B$3:$C$8,2,FALSE)</f>
        <v>#N/A</v>
      </c>
    </row>
    <row r="172" spans="1:9">
      <c r="A172" s="2"/>
      <c r="E172" t="e">
        <f>VLOOKUP(TablaObra5[[#This Row],[Equipo]],Catalogos!$I$3:$J$34,2,FALSE)</f>
        <v>#N/A</v>
      </c>
      <c r="F172" s="3"/>
      <c r="G172" s="4">
        <v>28.3</v>
      </c>
      <c r="H172" s="4">
        <f t="shared" si="2"/>
        <v>0</v>
      </c>
      <c r="I172" t="e">
        <f>VLOOKUP(TablaObra5[[#This Row],[Obra]],Catalogos!$B$3:$C$8,2,FALSE)</f>
        <v>#N/A</v>
      </c>
    </row>
    <row r="173" spans="1:9">
      <c r="A173" s="2"/>
      <c r="E173" t="e">
        <f>VLOOKUP(TablaObra5[[#This Row],[Equipo]],Catalogos!$I$3:$J$34,2,FALSE)</f>
        <v>#N/A</v>
      </c>
      <c r="F173" s="3"/>
      <c r="G173" s="4">
        <v>28.3</v>
      </c>
      <c r="H173" s="4">
        <f t="shared" si="2"/>
        <v>0</v>
      </c>
      <c r="I173" t="e">
        <f>VLOOKUP(TablaObra5[[#This Row],[Obra]],Catalogos!$B$3:$C$8,2,FALSE)</f>
        <v>#N/A</v>
      </c>
    </row>
    <row r="174" spans="1:9">
      <c r="A174" s="2"/>
      <c r="E174" t="e">
        <f>VLOOKUP(TablaObra5[[#This Row],[Equipo]],Catalogos!$I$3:$J$34,2,FALSE)</f>
        <v>#N/A</v>
      </c>
      <c r="F174" s="3"/>
      <c r="G174" s="4">
        <v>28.3</v>
      </c>
      <c r="H174" s="4">
        <f t="shared" si="2"/>
        <v>0</v>
      </c>
      <c r="I174" t="e">
        <f>VLOOKUP(TablaObra5[[#This Row],[Obra]],Catalogos!$B$3:$C$8,2,FALSE)</f>
        <v>#N/A</v>
      </c>
    </row>
    <row r="175" spans="1:9">
      <c r="A175" s="2"/>
      <c r="E175" t="e">
        <f>VLOOKUP(TablaObra5[[#This Row],[Equipo]],Catalogos!$I$3:$J$34,2,FALSE)</f>
        <v>#N/A</v>
      </c>
      <c r="F175" s="3"/>
      <c r="G175" s="4">
        <v>28.3</v>
      </c>
      <c r="H175" s="4">
        <f t="shared" si="2"/>
        <v>0</v>
      </c>
      <c r="I175" t="e">
        <f>VLOOKUP(TablaObra5[[#This Row],[Obra]],Catalogos!$B$3:$C$8,2,FALSE)</f>
        <v>#N/A</v>
      </c>
    </row>
    <row r="176" spans="1:9">
      <c r="A176" s="2"/>
      <c r="E176" t="e">
        <f>VLOOKUP(TablaObra5[[#This Row],[Equipo]],Catalogos!$I$3:$J$34,2,FALSE)</f>
        <v>#N/A</v>
      </c>
      <c r="F176" s="3"/>
      <c r="G176" s="4">
        <v>28.3</v>
      </c>
      <c r="H176" s="4">
        <f t="shared" si="2"/>
        <v>0</v>
      </c>
      <c r="I176" t="e">
        <f>VLOOKUP(TablaObra5[[#This Row],[Obra]],Catalogos!$B$3:$C$8,2,FALSE)</f>
        <v>#N/A</v>
      </c>
    </row>
    <row r="177" spans="1:9">
      <c r="A177" s="2"/>
      <c r="E177" t="e">
        <f>VLOOKUP(TablaObra5[[#This Row],[Equipo]],Catalogos!$I$3:$J$34,2,FALSE)</f>
        <v>#N/A</v>
      </c>
      <c r="F177" s="3"/>
      <c r="G177" s="4">
        <v>28.3</v>
      </c>
      <c r="H177" s="4">
        <f t="shared" si="2"/>
        <v>0</v>
      </c>
      <c r="I177" t="e">
        <f>VLOOKUP(TablaObra5[[#This Row],[Obra]],Catalogos!$B$3:$C$8,2,FALSE)</f>
        <v>#N/A</v>
      </c>
    </row>
    <row r="178" spans="1:9">
      <c r="A178" s="2"/>
      <c r="E178" t="e">
        <f>VLOOKUP(TablaObra5[[#This Row],[Equipo]],Catalogos!$I$3:$J$34,2,FALSE)</f>
        <v>#N/A</v>
      </c>
      <c r="F178" s="3"/>
      <c r="G178" s="4">
        <v>28.3</v>
      </c>
      <c r="H178" s="4">
        <f t="shared" si="2"/>
        <v>0</v>
      </c>
      <c r="I178" t="e">
        <f>VLOOKUP(TablaObra5[[#This Row],[Obra]],Catalogos!$B$3:$C$8,2,FALSE)</f>
        <v>#N/A</v>
      </c>
    </row>
    <row r="179" spans="1:9">
      <c r="A179" s="2"/>
      <c r="E179" t="e">
        <f>VLOOKUP(TablaObra5[[#This Row],[Equipo]],Catalogos!$I$3:$J$34,2,FALSE)</f>
        <v>#N/A</v>
      </c>
      <c r="F179" s="3"/>
      <c r="G179" s="4">
        <v>28.3</v>
      </c>
      <c r="H179" s="4">
        <f t="shared" si="2"/>
        <v>0</v>
      </c>
      <c r="I179" t="e">
        <f>VLOOKUP(TablaObra5[[#This Row],[Obra]],Catalogos!$B$3:$C$8,2,FALSE)</f>
        <v>#N/A</v>
      </c>
    </row>
    <row r="180" spans="1:9">
      <c r="A180" s="2"/>
      <c r="E180" t="e">
        <f>VLOOKUP(TablaObra5[[#This Row],[Equipo]],Catalogos!$I$3:$J$34,2,FALSE)</f>
        <v>#N/A</v>
      </c>
      <c r="F180" s="3"/>
      <c r="G180" s="4">
        <v>28.3</v>
      </c>
      <c r="H180" s="4">
        <f t="shared" si="2"/>
        <v>0</v>
      </c>
      <c r="I180" t="e">
        <f>VLOOKUP(TablaObra5[[#This Row],[Obra]],Catalogos!$B$3:$C$8,2,FALSE)</f>
        <v>#N/A</v>
      </c>
    </row>
    <row r="181" spans="1:9">
      <c r="A181" s="2"/>
      <c r="E181" t="e">
        <f>VLOOKUP(TablaObra5[[#This Row],[Equipo]],Catalogos!$I$3:$J$34,2,FALSE)</f>
        <v>#N/A</v>
      </c>
      <c r="F181" s="3"/>
      <c r="G181" s="4">
        <v>28.3</v>
      </c>
      <c r="H181" s="4">
        <f t="shared" si="2"/>
        <v>0</v>
      </c>
      <c r="I181" t="e">
        <f>VLOOKUP(TablaObra5[[#This Row],[Obra]],Catalogos!$B$3:$C$8,2,FALSE)</f>
        <v>#N/A</v>
      </c>
    </row>
    <row r="182" spans="1:9">
      <c r="A182" s="2"/>
      <c r="E182" t="e">
        <f>VLOOKUP(TablaObra5[[#This Row],[Equipo]],Catalogos!$I$3:$J$34,2,FALSE)</f>
        <v>#N/A</v>
      </c>
      <c r="F182" s="3"/>
      <c r="G182" s="4">
        <v>28.3</v>
      </c>
      <c r="H182" s="4">
        <f t="shared" si="2"/>
        <v>0</v>
      </c>
      <c r="I182" t="e">
        <f>VLOOKUP(TablaObra5[[#This Row],[Obra]],Catalogos!$B$3:$C$8,2,FALSE)</f>
        <v>#N/A</v>
      </c>
    </row>
    <row r="183" spans="1:9">
      <c r="A183" s="2"/>
      <c r="E183" t="e">
        <f>VLOOKUP(TablaObra5[[#This Row],[Equipo]],Catalogos!$I$3:$J$34,2,FALSE)</f>
        <v>#N/A</v>
      </c>
      <c r="F183" s="3"/>
      <c r="G183" s="4">
        <v>28.3</v>
      </c>
      <c r="H183" s="4">
        <f t="shared" si="2"/>
        <v>0</v>
      </c>
      <c r="I183" t="e">
        <f>VLOOKUP(TablaObra5[[#This Row],[Obra]],Catalogos!$B$3:$C$8,2,FALSE)</f>
        <v>#N/A</v>
      </c>
    </row>
    <row r="184" spans="1:9">
      <c r="A184" s="2"/>
      <c r="E184" t="e">
        <f>VLOOKUP(TablaObra5[[#This Row],[Equipo]],Catalogos!$I$3:$J$34,2,FALSE)</f>
        <v>#N/A</v>
      </c>
      <c r="F184" s="3"/>
      <c r="G184" s="4">
        <v>28.3</v>
      </c>
      <c r="H184" s="4">
        <f t="shared" si="2"/>
        <v>0</v>
      </c>
      <c r="I184" t="e">
        <f>VLOOKUP(TablaObra5[[#This Row],[Obra]],Catalogos!$B$3:$C$8,2,FALSE)</f>
        <v>#N/A</v>
      </c>
    </row>
    <row r="185" spans="1:9">
      <c r="A185" s="2"/>
      <c r="E185" t="e">
        <f>VLOOKUP(TablaObra5[[#This Row],[Equipo]],Catalogos!$I$3:$J$34,2,FALSE)</f>
        <v>#N/A</v>
      </c>
      <c r="F185" s="3"/>
      <c r="G185" s="4">
        <v>28.3</v>
      </c>
      <c r="H185" s="4">
        <f t="shared" si="2"/>
        <v>0</v>
      </c>
      <c r="I185" t="e">
        <f>VLOOKUP(TablaObra5[[#This Row],[Obra]],Catalogos!$B$3:$C$8,2,FALSE)</f>
        <v>#N/A</v>
      </c>
    </row>
    <row r="186" spans="1:9">
      <c r="A186" s="2"/>
      <c r="E186" t="e">
        <f>VLOOKUP(TablaObra5[[#This Row],[Equipo]],Catalogos!$I$3:$J$34,2,FALSE)</f>
        <v>#N/A</v>
      </c>
      <c r="F186" s="3"/>
      <c r="G186" s="4">
        <v>28.3</v>
      </c>
      <c r="H186" s="4">
        <f t="shared" si="2"/>
        <v>0</v>
      </c>
      <c r="I186" t="e">
        <f>VLOOKUP(TablaObra5[[#This Row],[Obra]],Catalogos!$B$3:$C$8,2,FALSE)</f>
        <v>#N/A</v>
      </c>
    </row>
    <row r="187" spans="1:9">
      <c r="A187" s="2"/>
      <c r="E187" t="e">
        <f>VLOOKUP(TablaObra5[[#This Row],[Equipo]],Catalogos!$I$3:$J$34,2,FALSE)</f>
        <v>#N/A</v>
      </c>
      <c r="F187" s="3"/>
      <c r="G187" s="4">
        <v>28.3</v>
      </c>
      <c r="H187" s="4">
        <f t="shared" si="2"/>
        <v>0</v>
      </c>
      <c r="I187" t="e">
        <f>VLOOKUP(TablaObra5[[#This Row],[Obra]],Catalogos!$B$3:$C$8,2,FALSE)</f>
        <v>#N/A</v>
      </c>
    </row>
    <row r="188" spans="1:9">
      <c r="A188" s="2"/>
      <c r="E188" t="e">
        <f>VLOOKUP(TablaObra5[[#This Row],[Equipo]],Catalogos!$I$3:$J$34,2,FALSE)</f>
        <v>#N/A</v>
      </c>
      <c r="F188" s="3"/>
      <c r="G188" s="4">
        <v>28.3</v>
      </c>
      <c r="H188" s="4">
        <f t="shared" si="2"/>
        <v>0</v>
      </c>
      <c r="I188" t="e">
        <f>VLOOKUP(TablaObra5[[#This Row],[Obra]],Catalogos!$B$3:$C$8,2,FALSE)</f>
        <v>#N/A</v>
      </c>
    </row>
    <row r="189" spans="1:9">
      <c r="A189" s="2"/>
      <c r="E189" t="e">
        <f>VLOOKUP(TablaObra5[[#This Row],[Equipo]],Catalogos!$I$3:$J$34,2,FALSE)</f>
        <v>#N/A</v>
      </c>
      <c r="F189" s="3"/>
      <c r="G189" s="4">
        <v>28.3</v>
      </c>
      <c r="H189" s="4">
        <f t="shared" si="2"/>
        <v>0</v>
      </c>
      <c r="I189" t="e">
        <f>VLOOKUP(TablaObra5[[#This Row],[Obra]],Catalogos!$B$3:$C$8,2,FALSE)</f>
        <v>#N/A</v>
      </c>
    </row>
    <row r="190" spans="1:9">
      <c r="A190" s="2"/>
      <c r="E190" t="e">
        <f>VLOOKUP(TablaObra5[[#This Row],[Equipo]],Catalogos!$I$3:$J$34,2,FALSE)</f>
        <v>#N/A</v>
      </c>
      <c r="F190" s="3"/>
      <c r="G190" s="4">
        <v>28.3</v>
      </c>
      <c r="H190" s="4">
        <f t="shared" si="2"/>
        <v>0</v>
      </c>
      <c r="I190" t="e">
        <f>VLOOKUP(TablaObra5[[#This Row],[Obra]],Catalogos!$B$3:$C$8,2,FALSE)</f>
        <v>#N/A</v>
      </c>
    </row>
    <row r="191" spans="1:9">
      <c r="A191" s="2"/>
      <c r="E191" t="e">
        <f>VLOOKUP(TablaObra5[[#This Row],[Equipo]],Catalogos!$I$3:$J$34,2,FALSE)</f>
        <v>#N/A</v>
      </c>
      <c r="F191" s="3"/>
      <c r="G191" s="4">
        <v>28.3</v>
      </c>
      <c r="H191" s="4">
        <f t="shared" si="2"/>
        <v>0</v>
      </c>
      <c r="I191" t="e">
        <f>VLOOKUP(TablaObra5[[#This Row],[Obra]],Catalogos!$B$3:$C$8,2,FALSE)</f>
        <v>#N/A</v>
      </c>
    </row>
    <row r="192" spans="1:9">
      <c r="A192" s="2"/>
      <c r="E192" t="e">
        <f>VLOOKUP(TablaObra5[[#This Row],[Equipo]],Catalogos!$I$3:$J$34,2,FALSE)</f>
        <v>#N/A</v>
      </c>
      <c r="F192" s="3"/>
      <c r="G192" s="4">
        <v>28.3</v>
      </c>
      <c r="H192" s="4">
        <f t="shared" si="2"/>
        <v>0</v>
      </c>
      <c r="I192" t="e">
        <f>VLOOKUP(TablaObra5[[#This Row],[Obra]],Catalogos!$B$3:$C$8,2,FALSE)</f>
        <v>#N/A</v>
      </c>
    </row>
    <row r="193" spans="1:9">
      <c r="A193" s="2"/>
      <c r="E193" t="e">
        <f>VLOOKUP(TablaObra5[[#This Row],[Equipo]],Catalogos!$I$3:$J$34,2,FALSE)</f>
        <v>#N/A</v>
      </c>
      <c r="F193" s="3"/>
      <c r="G193" s="4">
        <v>28.3</v>
      </c>
      <c r="H193" s="4">
        <f t="shared" si="2"/>
        <v>0</v>
      </c>
      <c r="I193" t="e">
        <f>VLOOKUP(TablaObra5[[#This Row],[Obra]],Catalogos!$B$3:$C$8,2,FALSE)</f>
        <v>#N/A</v>
      </c>
    </row>
    <row r="194" spans="1:9">
      <c r="A194" s="2"/>
      <c r="E194" t="e">
        <f>VLOOKUP(TablaObra5[[#This Row],[Equipo]],Catalogos!$I$3:$J$34,2,FALSE)</f>
        <v>#N/A</v>
      </c>
      <c r="F194" s="3"/>
      <c r="G194" s="4">
        <v>28.3</v>
      </c>
      <c r="H194" s="4">
        <f t="shared" si="2"/>
        <v>0</v>
      </c>
      <c r="I194" t="e">
        <f>VLOOKUP(TablaObra5[[#This Row],[Obra]],Catalogos!$B$3:$C$8,2,FALSE)</f>
        <v>#N/A</v>
      </c>
    </row>
    <row r="195" spans="1:9">
      <c r="A195" s="2"/>
      <c r="E195" t="e">
        <f>VLOOKUP(TablaObra5[[#This Row],[Equipo]],Catalogos!$I$3:$J$34,2,FALSE)</f>
        <v>#N/A</v>
      </c>
      <c r="F195" s="3"/>
      <c r="G195" s="4">
        <v>28.3</v>
      </c>
      <c r="H195" s="4">
        <f t="shared" si="2"/>
        <v>0</v>
      </c>
      <c r="I195" t="e">
        <f>VLOOKUP(TablaObra5[[#This Row],[Obra]],Catalogos!$B$3:$C$8,2,FALSE)</f>
        <v>#N/A</v>
      </c>
    </row>
    <row r="196" spans="1:9">
      <c r="A196" s="2"/>
      <c r="E196" t="e">
        <f>VLOOKUP(TablaObra5[[#This Row],[Equipo]],Catalogos!$I$3:$J$34,2,FALSE)</f>
        <v>#N/A</v>
      </c>
      <c r="F196" s="3"/>
      <c r="G196" s="4">
        <v>28.3</v>
      </c>
      <c r="H196" s="4">
        <f t="shared" si="2"/>
        <v>0</v>
      </c>
      <c r="I196" t="e">
        <f>VLOOKUP(TablaObra5[[#This Row],[Obra]],Catalogos!$B$3:$C$8,2,FALSE)</f>
        <v>#N/A</v>
      </c>
    </row>
    <row r="197" spans="1:9">
      <c r="A197" s="2"/>
      <c r="E197" t="e">
        <f>VLOOKUP(TablaObra5[[#This Row],[Equipo]],Catalogos!$I$3:$J$34,2,FALSE)</f>
        <v>#N/A</v>
      </c>
      <c r="F197" s="3"/>
      <c r="G197" s="4">
        <v>28.3</v>
      </c>
      <c r="H197" s="4">
        <f t="shared" si="2"/>
        <v>0</v>
      </c>
      <c r="I197" t="e">
        <f>VLOOKUP(TablaObra5[[#This Row],[Obra]],Catalogos!$B$3:$C$8,2,FALSE)</f>
        <v>#N/A</v>
      </c>
    </row>
    <row r="198" spans="1:9">
      <c r="A198" s="2"/>
      <c r="E198" t="e">
        <f>VLOOKUP(TablaObra5[[#This Row],[Equipo]],Catalogos!$I$3:$J$34,2,FALSE)</f>
        <v>#N/A</v>
      </c>
      <c r="F198" s="3"/>
      <c r="G198" s="4">
        <v>28.3</v>
      </c>
      <c r="H198" s="4">
        <f t="shared" si="2"/>
        <v>0</v>
      </c>
      <c r="I198" t="e">
        <f>VLOOKUP(TablaObra5[[#This Row],[Obra]],Catalogos!$B$3:$C$8,2,FALSE)</f>
        <v>#N/A</v>
      </c>
    </row>
    <row r="199" spans="1:9">
      <c r="A199" s="2"/>
      <c r="E199" t="e">
        <f>VLOOKUP(TablaObra5[[#This Row],[Equipo]],Catalogos!$I$3:$J$34,2,FALSE)</f>
        <v>#N/A</v>
      </c>
      <c r="F199" s="3"/>
      <c r="G199" s="4">
        <v>28.3</v>
      </c>
      <c r="H199" s="4">
        <f t="shared" ref="H199:H262" si="3">IFERROR(F199*G199,0)</f>
        <v>0</v>
      </c>
      <c r="I199" t="e">
        <f>VLOOKUP(TablaObra5[[#This Row],[Obra]],Catalogos!$B$3:$C$8,2,FALSE)</f>
        <v>#N/A</v>
      </c>
    </row>
    <row r="200" spans="1:9">
      <c r="A200" s="2"/>
      <c r="E200" t="e">
        <f>VLOOKUP(TablaObra5[[#This Row],[Equipo]],Catalogos!$I$3:$J$34,2,FALSE)</f>
        <v>#N/A</v>
      </c>
      <c r="F200" s="3"/>
      <c r="G200" s="4">
        <v>28.3</v>
      </c>
      <c r="H200" s="4">
        <f t="shared" si="3"/>
        <v>0</v>
      </c>
      <c r="I200" t="e">
        <f>VLOOKUP(TablaObra5[[#This Row],[Obra]],Catalogos!$B$3:$C$8,2,FALSE)</f>
        <v>#N/A</v>
      </c>
    </row>
    <row r="201" spans="1:9">
      <c r="A201" s="2"/>
      <c r="E201" t="e">
        <f>VLOOKUP(TablaObra5[[#This Row],[Equipo]],Catalogos!$I$3:$J$34,2,FALSE)</f>
        <v>#N/A</v>
      </c>
      <c r="F201" s="3"/>
      <c r="G201" s="4">
        <v>28.3</v>
      </c>
      <c r="H201" s="4">
        <f t="shared" si="3"/>
        <v>0</v>
      </c>
      <c r="I201" t="e">
        <f>VLOOKUP(TablaObra5[[#This Row],[Obra]],Catalogos!$B$3:$C$8,2,FALSE)</f>
        <v>#N/A</v>
      </c>
    </row>
    <row r="202" spans="1:9">
      <c r="A202" s="2"/>
      <c r="E202" t="e">
        <f>VLOOKUP(TablaObra5[[#This Row],[Equipo]],Catalogos!$I$3:$J$34,2,FALSE)</f>
        <v>#N/A</v>
      </c>
      <c r="F202" s="3"/>
      <c r="G202" s="4">
        <v>28.3</v>
      </c>
      <c r="H202" s="4">
        <f t="shared" si="3"/>
        <v>0</v>
      </c>
      <c r="I202" t="e">
        <f>VLOOKUP(TablaObra5[[#This Row],[Obra]],Catalogos!$B$3:$C$8,2,FALSE)</f>
        <v>#N/A</v>
      </c>
    </row>
    <row r="203" spans="1:9">
      <c r="A203" s="2"/>
      <c r="E203" t="e">
        <f>VLOOKUP(TablaObra5[[#This Row],[Equipo]],Catalogos!$I$3:$J$34,2,FALSE)</f>
        <v>#N/A</v>
      </c>
      <c r="F203" s="3"/>
      <c r="G203" s="4">
        <v>28.3</v>
      </c>
      <c r="H203" s="4">
        <f t="shared" si="3"/>
        <v>0</v>
      </c>
      <c r="I203" t="e">
        <f>VLOOKUP(TablaObra5[[#This Row],[Obra]],Catalogos!$B$3:$C$8,2,FALSE)</f>
        <v>#N/A</v>
      </c>
    </row>
    <row r="204" spans="1:9">
      <c r="A204" s="2"/>
      <c r="E204" t="e">
        <f>VLOOKUP(TablaObra5[[#This Row],[Equipo]],Catalogos!$I$3:$J$34,2,FALSE)</f>
        <v>#N/A</v>
      </c>
      <c r="F204" s="3"/>
      <c r="G204" s="4">
        <v>28.3</v>
      </c>
      <c r="H204" s="4">
        <f t="shared" si="3"/>
        <v>0</v>
      </c>
      <c r="I204" t="e">
        <f>VLOOKUP(TablaObra5[[#This Row],[Obra]],Catalogos!$B$3:$C$8,2,FALSE)</f>
        <v>#N/A</v>
      </c>
    </row>
    <row r="205" spans="1:9">
      <c r="A205" s="2"/>
      <c r="E205" t="e">
        <f>VLOOKUP(TablaObra5[[#This Row],[Equipo]],Catalogos!$I$3:$J$34,2,FALSE)</f>
        <v>#N/A</v>
      </c>
      <c r="F205" s="3"/>
      <c r="G205" s="4">
        <v>28.3</v>
      </c>
      <c r="H205" s="4">
        <f t="shared" si="3"/>
        <v>0</v>
      </c>
      <c r="I205" t="e">
        <f>VLOOKUP(TablaObra5[[#This Row],[Obra]],Catalogos!$B$3:$C$8,2,FALSE)</f>
        <v>#N/A</v>
      </c>
    </row>
    <row r="206" spans="1:9">
      <c r="A206" s="2"/>
      <c r="E206" t="e">
        <f>VLOOKUP(TablaObra5[[#This Row],[Equipo]],Catalogos!$I$3:$J$34,2,FALSE)</f>
        <v>#N/A</v>
      </c>
      <c r="F206" s="3"/>
      <c r="G206" s="4">
        <v>28.3</v>
      </c>
      <c r="H206" s="4">
        <f t="shared" si="3"/>
        <v>0</v>
      </c>
      <c r="I206" t="e">
        <f>VLOOKUP(TablaObra5[[#This Row],[Obra]],Catalogos!$B$3:$C$8,2,FALSE)</f>
        <v>#N/A</v>
      </c>
    </row>
    <row r="207" spans="1:9">
      <c r="A207" s="2"/>
      <c r="E207" t="e">
        <f>VLOOKUP(TablaObra5[[#This Row],[Equipo]],Catalogos!$I$3:$J$34,2,FALSE)</f>
        <v>#N/A</v>
      </c>
      <c r="F207" s="3"/>
      <c r="G207" s="4">
        <v>28.3</v>
      </c>
      <c r="H207" s="4">
        <f t="shared" si="3"/>
        <v>0</v>
      </c>
      <c r="I207" t="e">
        <f>VLOOKUP(TablaObra5[[#This Row],[Obra]],Catalogos!$B$3:$C$8,2,FALSE)</f>
        <v>#N/A</v>
      </c>
    </row>
    <row r="208" spans="1:9">
      <c r="A208" s="2"/>
      <c r="E208" t="e">
        <f>VLOOKUP(TablaObra5[[#This Row],[Equipo]],Catalogos!$I$3:$J$34,2,FALSE)</f>
        <v>#N/A</v>
      </c>
      <c r="F208" s="3"/>
      <c r="G208" s="4">
        <v>28.3</v>
      </c>
      <c r="H208" s="4">
        <f t="shared" si="3"/>
        <v>0</v>
      </c>
      <c r="I208" t="e">
        <f>VLOOKUP(TablaObra5[[#This Row],[Obra]],Catalogos!$B$3:$C$8,2,FALSE)</f>
        <v>#N/A</v>
      </c>
    </row>
    <row r="209" spans="1:9">
      <c r="A209" s="2"/>
      <c r="E209" t="e">
        <f>VLOOKUP(TablaObra5[[#This Row],[Equipo]],Catalogos!$I$3:$J$34,2,FALSE)</f>
        <v>#N/A</v>
      </c>
      <c r="F209" s="3"/>
      <c r="G209" s="4">
        <v>28.3</v>
      </c>
      <c r="H209" s="4">
        <f t="shared" si="3"/>
        <v>0</v>
      </c>
      <c r="I209" t="e">
        <f>VLOOKUP(TablaObra5[[#This Row],[Obra]],Catalogos!$B$3:$C$8,2,FALSE)</f>
        <v>#N/A</v>
      </c>
    </row>
    <row r="210" spans="1:9">
      <c r="A210" s="2"/>
      <c r="E210" t="e">
        <f>VLOOKUP(TablaObra5[[#This Row],[Equipo]],Catalogos!$I$3:$J$34,2,FALSE)</f>
        <v>#N/A</v>
      </c>
      <c r="F210" s="3"/>
      <c r="G210" s="4">
        <v>28.3</v>
      </c>
      <c r="H210" s="4">
        <f t="shared" si="3"/>
        <v>0</v>
      </c>
      <c r="I210" t="e">
        <f>VLOOKUP(TablaObra5[[#This Row],[Obra]],Catalogos!$B$3:$C$8,2,FALSE)</f>
        <v>#N/A</v>
      </c>
    </row>
    <row r="211" spans="1:9">
      <c r="A211" s="2"/>
      <c r="E211" t="e">
        <f>VLOOKUP(TablaObra5[[#This Row],[Equipo]],Catalogos!$I$3:$J$34,2,FALSE)</f>
        <v>#N/A</v>
      </c>
      <c r="F211" s="3"/>
      <c r="G211" s="4">
        <v>28.3</v>
      </c>
      <c r="H211" s="4">
        <f t="shared" si="3"/>
        <v>0</v>
      </c>
      <c r="I211" t="e">
        <f>VLOOKUP(TablaObra5[[#This Row],[Obra]],Catalogos!$B$3:$C$8,2,FALSE)</f>
        <v>#N/A</v>
      </c>
    </row>
    <row r="212" spans="1:9">
      <c r="A212" s="2"/>
      <c r="E212" t="e">
        <f>VLOOKUP(TablaObra5[[#This Row],[Equipo]],Catalogos!$I$3:$J$34,2,FALSE)</f>
        <v>#N/A</v>
      </c>
      <c r="F212" s="3"/>
      <c r="G212" s="4">
        <v>28.3</v>
      </c>
      <c r="H212" s="4">
        <f t="shared" si="3"/>
        <v>0</v>
      </c>
      <c r="I212" t="e">
        <f>VLOOKUP(TablaObra5[[#This Row],[Obra]],Catalogos!$B$3:$C$8,2,FALSE)</f>
        <v>#N/A</v>
      </c>
    </row>
    <row r="213" spans="1:9">
      <c r="A213" s="2"/>
      <c r="E213" t="e">
        <f>VLOOKUP(TablaObra5[[#This Row],[Equipo]],Catalogos!$I$3:$J$34,2,FALSE)</f>
        <v>#N/A</v>
      </c>
      <c r="F213" s="3"/>
      <c r="G213" s="4">
        <v>28.3</v>
      </c>
      <c r="H213" s="4">
        <f t="shared" si="3"/>
        <v>0</v>
      </c>
      <c r="I213" t="e">
        <f>VLOOKUP(TablaObra5[[#This Row],[Obra]],Catalogos!$B$3:$C$8,2,FALSE)</f>
        <v>#N/A</v>
      </c>
    </row>
    <row r="214" spans="1:9">
      <c r="A214" s="2"/>
      <c r="E214" t="e">
        <f>VLOOKUP(TablaObra5[[#This Row],[Equipo]],Catalogos!$I$3:$J$34,2,FALSE)</f>
        <v>#N/A</v>
      </c>
      <c r="F214" s="3"/>
      <c r="G214" s="4">
        <v>28.3</v>
      </c>
      <c r="H214" s="4">
        <f t="shared" si="3"/>
        <v>0</v>
      </c>
      <c r="I214" t="e">
        <f>VLOOKUP(TablaObra5[[#This Row],[Obra]],Catalogos!$B$3:$C$8,2,FALSE)</f>
        <v>#N/A</v>
      </c>
    </row>
    <row r="215" spans="1:9">
      <c r="A215" s="2"/>
      <c r="E215" t="e">
        <f>VLOOKUP(TablaObra5[[#This Row],[Equipo]],Catalogos!$I$3:$J$34,2,FALSE)</f>
        <v>#N/A</v>
      </c>
      <c r="F215" s="3"/>
      <c r="G215" s="4">
        <v>28.3</v>
      </c>
      <c r="H215" s="4">
        <f t="shared" si="3"/>
        <v>0</v>
      </c>
      <c r="I215" t="e">
        <f>VLOOKUP(TablaObra5[[#This Row],[Obra]],Catalogos!$B$3:$C$8,2,FALSE)</f>
        <v>#N/A</v>
      </c>
    </row>
    <row r="216" spans="1:9">
      <c r="A216" s="2"/>
      <c r="E216" t="e">
        <f>VLOOKUP(TablaObra5[[#This Row],[Equipo]],Catalogos!$I$3:$J$34,2,FALSE)</f>
        <v>#N/A</v>
      </c>
      <c r="F216" s="3"/>
      <c r="G216" s="4">
        <v>28.3</v>
      </c>
      <c r="H216" s="4">
        <f t="shared" si="3"/>
        <v>0</v>
      </c>
      <c r="I216" t="e">
        <f>VLOOKUP(TablaObra5[[#This Row],[Obra]],Catalogos!$B$3:$C$8,2,FALSE)</f>
        <v>#N/A</v>
      </c>
    </row>
    <row r="217" spans="1:9">
      <c r="A217" s="2"/>
      <c r="E217" t="e">
        <f>VLOOKUP(TablaObra5[[#This Row],[Equipo]],Catalogos!$I$3:$J$34,2,FALSE)</f>
        <v>#N/A</v>
      </c>
      <c r="F217" s="3"/>
      <c r="G217" s="4">
        <v>28.3</v>
      </c>
      <c r="H217" s="4">
        <f t="shared" si="3"/>
        <v>0</v>
      </c>
      <c r="I217" t="e">
        <f>VLOOKUP(TablaObra5[[#This Row],[Obra]],Catalogos!$B$3:$C$8,2,FALSE)</f>
        <v>#N/A</v>
      </c>
    </row>
    <row r="218" spans="1:9">
      <c r="A218" s="2"/>
      <c r="E218" t="e">
        <f>VLOOKUP(TablaObra5[[#This Row],[Equipo]],Catalogos!$I$3:$J$34,2,FALSE)</f>
        <v>#N/A</v>
      </c>
      <c r="F218" s="3"/>
      <c r="G218" s="4">
        <v>28.3</v>
      </c>
      <c r="H218" s="4">
        <f t="shared" si="3"/>
        <v>0</v>
      </c>
      <c r="I218" t="e">
        <f>VLOOKUP(TablaObra5[[#This Row],[Obra]],Catalogos!$B$3:$C$8,2,FALSE)</f>
        <v>#N/A</v>
      </c>
    </row>
    <row r="219" spans="1:9">
      <c r="A219" s="2"/>
      <c r="E219" t="e">
        <f>VLOOKUP(TablaObra5[[#This Row],[Equipo]],Catalogos!$I$3:$J$34,2,FALSE)</f>
        <v>#N/A</v>
      </c>
      <c r="F219" s="3"/>
      <c r="G219" s="4">
        <v>28.3</v>
      </c>
      <c r="H219" s="4">
        <f t="shared" si="3"/>
        <v>0</v>
      </c>
      <c r="I219" t="e">
        <f>VLOOKUP(TablaObra5[[#This Row],[Obra]],Catalogos!$B$3:$C$8,2,FALSE)</f>
        <v>#N/A</v>
      </c>
    </row>
    <row r="220" spans="1:9">
      <c r="A220" s="2"/>
      <c r="E220" t="e">
        <f>VLOOKUP(TablaObra5[[#This Row],[Equipo]],Catalogos!$I$3:$J$34,2,FALSE)</f>
        <v>#N/A</v>
      </c>
      <c r="F220" s="3"/>
      <c r="G220" s="4">
        <v>28.3</v>
      </c>
      <c r="H220" s="4">
        <f t="shared" si="3"/>
        <v>0</v>
      </c>
      <c r="I220" t="e">
        <f>VLOOKUP(TablaObra5[[#This Row],[Obra]],Catalogos!$B$3:$C$8,2,FALSE)</f>
        <v>#N/A</v>
      </c>
    </row>
    <row r="221" spans="1:9">
      <c r="A221" s="2"/>
      <c r="E221" t="e">
        <f>VLOOKUP(TablaObra5[[#This Row],[Equipo]],Catalogos!$I$3:$J$34,2,FALSE)</f>
        <v>#N/A</v>
      </c>
      <c r="F221" s="3"/>
      <c r="G221" s="4">
        <v>28.3</v>
      </c>
      <c r="H221" s="4">
        <f t="shared" si="3"/>
        <v>0</v>
      </c>
      <c r="I221" t="e">
        <f>VLOOKUP(TablaObra5[[#This Row],[Obra]],Catalogos!$B$3:$C$8,2,FALSE)</f>
        <v>#N/A</v>
      </c>
    </row>
    <row r="222" spans="1:9">
      <c r="A222" s="2"/>
      <c r="E222" t="e">
        <f>VLOOKUP(TablaObra5[[#This Row],[Equipo]],Catalogos!$I$3:$J$34,2,FALSE)</f>
        <v>#N/A</v>
      </c>
      <c r="F222" s="3"/>
      <c r="G222" s="4">
        <v>28.3</v>
      </c>
      <c r="H222" s="4">
        <f t="shared" si="3"/>
        <v>0</v>
      </c>
      <c r="I222" t="e">
        <f>VLOOKUP(TablaObra5[[#This Row],[Obra]],Catalogos!$B$3:$C$8,2,FALSE)</f>
        <v>#N/A</v>
      </c>
    </row>
    <row r="223" spans="1:9">
      <c r="A223" s="2"/>
      <c r="E223" t="e">
        <f>VLOOKUP(TablaObra5[[#This Row],[Equipo]],Catalogos!$I$3:$J$34,2,FALSE)</f>
        <v>#N/A</v>
      </c>
      <c r="F223" s="3"/>
      <c r="G223" s="4">
        <v>28.3</v>
      </c>
      <c r="H223" s="4">
        <f t="shared" si="3"/>
        <v>0</v>
      </c>
      <c r="I223" t="e">
        <f>VLOOKUP(TablaObra5[[#This Row],[Obra]],Catalogos!$B$3:$C$8,2,FALSE)</f>
        <v>#N/A</v>
      </c>
    </row>
    <row r="224" spans="1:9">
      <c r="A224" s="2"/>
      <c r="E224" t="e">
        <f>VLOOKUP(TablaObra5[[#This Row],[Equipo]],Catalogos!$I$3:$J$34,2,FALSE)</f>
        <v>#N/A</v>
      </c>
      <c r="F224" s="3"/>
      <c r="G224" s="4">
        <v>28.3</v>
      </c>
      <c r="H224" s="4">
        <f t="shared" si="3"/>
        <v>0</v>
      </c>
      <c r="I224" t="e">
        <f>VLOOKUP(TablaObra5[[#This Row],[Obra]],Catalogos!$B$3:$C$8,2,FALSE)</f>
        <v>#N/A</v>
      </c>
    </row>
    <row r="225" spans="1:9">
      <c r="A225" s="2"/>
      <c r="E225" t="e">
        <f>VLOOKUP(TablaObra5[[#This Row],[Equipo]],Catalogos!$I$3:$J$34,2,FALSE)</f>
        <v>#N/A</v>
      </c>
      <c r="F225" s="3"/>
      <c r="G225" s="4">
        <v>28.3</v>
      </c>
      <c r="H225" s="4">
        <f t="shared" si="3"/>
        <v>0</v>
      </c>
      <c r="I225" t="e">
        <f>VLOOKUP(TablaObra5[[#This Row],[Obra]],Catalogos!$B$3:$C$8,2,FALSE)</f>
        <v>#N/A</v>
      </c>
    </row>
    <row r="226" spans="1:9">
      <c r="A226" s="2"/>
      <c r="E226" t="e">
        <f>VLOOKUP(TablaObra5[[#This Row],[Equipo]],Catalogos!$I$3:$J$34,2,FALSE)</f>
        <v>#N/A</v>
      </c>
      <c r="F226" s="3"/>
      <c r="G226" s="4">
        <v>28.3</v>
      </c>
      <c r="H226" s="4">
        <f t="shared" si="3"/>
        <v>0</v>
      </c>
      <c r="I226" t="e">
        <f>VLOOKUP(TablaObra5[[#This Row],[Obra]],Catalogos!$B$3:$C$8,2,FALSE)</f>
        <v>#N/A</v>
      </c>
    </row>
    <row r="227" spans="1:9">
      <c r="A227" s="2"/>
      <c r="E227" t="e">
        <f>VLOOKUP(TablaObra5[[#This Row],[Equipo]],Catalogos!$I$3:$J$34,2,FALSE)</f>
        <v>#N/A</v>
      </c>
      <c r="F227" s="3"/>
      <c r="G227" s="4">
        <v>28.3</v>
      </c>
      <c r="H227" s="4">
        <f t="shared" si="3"/>
        <v>0</v>
      </c>
      <c r="I227" t="e">
        <f>VLOOKUP(TablaObra5[[#This Row],[Obra]],Catalogos!$B$3:$C$8,2,FALSE)</f>
        <v>#N/A</v>
      </c>
    </row>
    <row r="228" spans="1:9">
      <c r="A228" s="2"/>
      <c r="E228" t="e">
        <f>VLOOKUP(TablaObra5[[#This Row],[Equipo]],Catalogos!$I$3:$J$34,2,FALSE)</f>
        <v>#N/A</v>
      </c>
      <c r="F228" s="3"/>
      <c r="G228" s="4">
        <v>28.3</v>
      </c>
      <c r="H228" s="4">
        <f t="shared" si="3"/>
        <v>0</v>
      </c>
      <c r="I228" t="e">
        <f>VLOOKUP(TablaObra5[[#This Row],[Obra]],Catalogos!$B$3:$C$8,2,FALSE)</f>
        <v>#N/A</v>
      </c>
    </row>
    <row r="229" spans="1:9">
      <c r="A229" s="2"/>
      <c r="E229" t="e">
        <f>VLOOKUP(TablaObra5[[#This Row],[Equipo]],Catalogos!$I$3:$J$34,2,FALSE)</f>
        <v>#N/A</v>
      </c>
      <c r="F229" s="3"/>
      <c r="G229" s="4">
        <v>28.3</v>
      </c>
      <c r="H229" s="4">
        <f t="shared" si="3"/>
        <v>0</v>
      </c>
      <c r="I229" t="e">
        <f>VLOOKUP(TablaObra5[[#This Row],[Obra]],Catalogos!$B$3:$C$8,2,FALSE)</f>
        <v>#N/A</v>
      </c>
    </row>
    <row r="230" spans="1:9">
      <c r="A230" s="2"/>
      <c r="E230" t="e">
        <f>VLOOKUP(TablaObra5[[#This Row],[Equipo]],Catalogos!$I$3:$J$34,2,FALSE)</f>
        <v>#N/A</v>
      </c>
      <c r="F230" s="3"/>
      <c r="G230" s="4">
        <v>28.3</v>
      </c>
      <c r="H230" s="4">
        <f t="shared" si="3"/>
        <v>0</v>
      </c>
      <c r="I230" t="e">
        <f>VLOOKUP(TablaObra5[[#This Row],[Obra]],Catalogos!$B$3:$C$8,2,FALSE)</f>
        <v>#N/A</v>
      </c>
    </row>
    <row r="231" spans="1:9">
      <c r="A231" s="2"/>
      <c r="E231" t="e">
        <f>VLOOKUP(TablaObra5[[#This Row],[Equipo]],Catalogos!$I$3:$J$34,2,FALSE)</f>
        <v>#N/A</v>
      </c>
      <c r="F231" s="3"/>
      <c r="G231" s="4">
        <v>28.3</v>
      </c>
      <c r="H231" s="4">
        <f t="shared" si="3"/>
        <v>0</v>
      </c>
      <c r="I231" t="e">
        <f>VLOOKUP(TablaObra5[[#This Row],[Obra]],Catalogos!$B$3:$C$8,2,FALSE)</f>
        <v>#N/A</v>
      </c>
    </row>
    <row r="232" spans="1:9">
      <c r="A232" s="2"/>
      <c r="E232" t="e">
        <f>VLOOKUP(TablaObra5[[#This Row],[Equipo]],Catalogos!$I$3:$J$34,2,FALSE)</f>
        <v>#N/A</v>
      </c>
      <c r="F232" s="3"/>
      <c r="G232" s="4">
        <v>28.3</v>
      </c>
      <c r="H232" s="4">
        <f t="shared" si="3"/>
        <v>0</v>
      </c>
      <c r="I232" t="e">
        <f>VLOOKUP(TablaObra5[[#This Row],[Obra]],Catalogos!$B$3:$C$8,2,FALSE)</f>
        <v>#N/A</v>
      </c>
    </row>
    <row r="233" spans="1:9">
      <c r="A233" s="2"/>
      <c r="E233" t="e">
        <f>VLOOKUP(TablaObra5[[#This Row],[Equipo]],Catalogos!$I$3:$J$34,2,FALSE)</f>
        <v>#N/A</v>
      </c>
      <c r="F233" s="3"/>
      <c r="G233" s="4">
        <v>28.3</v>
      </c>
      <c r="H233" s="4">
        <f t="shared" si="3"/>
        <v>0</v>
      </c>
      <c r="I233" t="e">
        <f>VLOOKUP(TablaObra5[[#This Row],[Obra]],Catalogos!$B$3:$C$8,2,FALSE)</f>
        <v>#N/A</v>
      </c>
    </row>
    <row r="234" spans="1:9">
      <c r="A234" s="2"/>
      <c r="E234" t="e">
        <f>VLOOKUP(TablaObra5[[#This Row],[Equipo]],Catalogos!$I$3:$J$34,2,FALSE)</f>
        <v>#N/A</v>
      </c>
      <c r="F234" s="3"/>
      <c r="G234" s="4">
        <v>28.3</v>
      </c>
      <c r="H234" s="4">
        <f t="shared" si="3"/>
        <v>0</v>
      </c>
      <c r="I234" t="e">
        <f>VLOOKUP(TablaObra5[[#This Row],[Obra]],Catalogos!$B$3:$C$8,2,FALSE)</f>
        <v>#N/A</v>
      </c>
    </row>
    <row r="235" spans="1:9">
      <c r="A235" s="2"/>
      <c r="E235" t="e">
        <f>VLOOKUP(TablaObra5[[#This Row],[Equipo]],Catalogos!$I$3:$J$34,2,FALSE)</f>
        <v>#N/A</v>
      </c>
      <c r="F235" s="3"/>
      <c r="G235" s="4">
        <v>28.3</v>
      </c>
      <c r="H235" s="4">
        <f t="shared" si="3"/>
        <v>0</v>
      </c>
      <c r="I235" t="e">
        <f>VLOOKUP(TablaObra5[[#This Row],[Obra]],Catalogos!$B$3:$C$8,2,FALSE)</f>
        <v>#N/A</v>
      </c>
    </row>
    <row r="236" spans="1:9">
      <c r="A236" s="2"/>
      <c r="E236" t="e">
        <f>VLOOKUP(TablaObra5[[#This Row],[Equipo]],Catalogos!$I$3:$J$34,2,FALSE)</f>
        <v>#N/A</v>
      </c>
      <c r="F236" s="3"/>
      <c r="G236" s="4">
        <v>28.3</v>
      </c>
      <c r="H236" s="4">
        <f t="shared" si="3"/>
        <v>0</v>
      </c>
      <c r="I236" t="e">
        <f>VLOOKUP(TablaObra5[[#This Row],[Obra]],Catalogos!$B$3:$C$8,2,FALSE)</f>
        <v>#N/A</v>
      </c>
    </row>
    <row r="237" spans="1:9">
      <c r="A237" s="2"/>
      <c r="E237" t="e">
        <f>VLOOKUP(TablaObra5[[#This Row],[Equipo]],Catalogos!$I$3:$J$34,2,FALSE)</f>
        <v>#N/A</v>
      </c>
      <c r="F237" s="3"/>
      <c r="G237" s="4">
        <v>28.3</v>
      </c>
      <c r="H237" s="4">
        <f t="shared" si="3"/>
        <v>0</v>
      </c>
      <c r="I237" t="e">
        <f>VLOOKUP(TablaObra5[[#This Row],[Obra]],Catalogos!$B$3:$C$8,2,FALSE)</f>
        <v>#N/A</v>
      </c>
    </row>
    <row r="238" spans="1:9">
      <c r="A238" s="2"/>
      <c r="E238" t="e">
        <f>VLOOKUP(TablaObra5[[#This Row],[Equipo]],Catalogos!$I$3:$J$34,2,FALSE)</f>
        <v>#N/A</v>
      </c>
      <c r="F238" s="3"/>
      <c r="G238" s="4">
        <v>28.3</v>
      </c>
      <c r="H238" s="4">
        <f t="shared" si="3"/>
        <v>0</v>
      </c>
      <c r="I238" t="e">
        <f>VLOOKUP(TablaObra5[[#This Row],[Obra]],Catalogos!$B$3:$C$8,2,FALSE)</f>
        <v>#N/A</v>
      </c>
    </row>
    <row r="239" spans="1:9">
      <c r="A239" s="2"/>
      <c r="E239" t="e">
        <f>VLOOKUP(TablaObra5[[#This Row],[Equipo]],Catalogos!$I$3:$J$34,2,FALSE)</f>
        <v>#N/A</v>
      </c>
      <c r="F239" s="3"/>
      <c r="G239" s="4">
        <v>28.3</v>
      </c>
      <c r="H239" s="4">
        <f t="shared" si="3"/>
        <v>0</v>
      </c>
      <c r="I239" t="e">
        <f>VLOOKUP(TablaObra5[[#This Row],[Obra]],Catalogos!$B$3:$C$8,2,FALSE)</f>
        <v>#N/A</v>
      </c>
    </row>
    <row r="240" spans="1:9">
      <c r="A240" s="2"/>
      <c r="E240" t="e">
        <f>VLOOKUP(TablaObra5[[#This Row],[Equipo]],Catalogos!$I$3:$J$34,2,FALSE)</f>
        <v>#N/A</v>
      </c>
      <c r="F240" s="3"/>
      <c r="G240" s="4">
        <v>28.3</v>
      </c>
      <c r="H240" s="4">
        <f t="shared" si="3"/>
        <v>0</v>
      </c>
      <c r="I240" t="e">
        <f>VLOOKUP(TablaObra5[[#This Row],[Obra]],Catalogos!$B$3:$C$8,2,FALSE)</f>
        <v>#N/A</v>
      </c>
    </row>
    <row r="241" spans="1:9">
      <c r="A241" s="2"/>
      <c r="E241" t="e">
        <f>VLOOKUP(TablaObra5[[#This Row],[Equipo]],Catalogos!$I$3:$J$34,2,FALSE)</f>
        <v>#N/A</v>
      </c>
      <c r="F241" s="3"/>
      <c r="G241" s="4">
        <v>28.3</v>
      </c>
      <c r="H241" s="4">
        <f t="shared" si="3"/>
        <v>0</v>
      </c>
      <c r="I241" t="e">
        <f>VLOOKUP(TablaObra5[[#This Row],[Obra]],Catalogos!$B$3:$C$8,2,FALSE)</f>
        <v>#N/A</v>
      </c>
    </row>
    <row r="242" spans="1:9">
      <c r="A242" s="2"/>
      <c r="E242" t="e">
        <f>VLOOKUP(TablaObra5[[#This Row],[Equipo]],Catalogos!$I$3:$J$34,2,FALSE)</f>
        <v>#N/A</v>
      </c>
      <c r="F242" s="3"/>
      <c r="G242" s="4">
        <v>28.3</v>
      </c>
      <c r="H242" s="4">
        <f t="shared" si="3"/>
        <v>0</v>
      </c>
      <c r="I242" t="e">
        <f>VLOOKUP(TablaObra5[[#This Row],[Obra]],Catalogos!$B$3:$C$8,2,FALSE)</f>
        <v>#N/A</v>
      </c>
    </row>
    <row r="243" spans="1:9">
      <c r="A243" s="2"/>
      <c r="E243" t="e">
        <f>VLOOKUP(TablaObra5[[#This Row],[Equipo]],Catalogos!$I$3:$J$34,2,FALSE)</f>
        <v>#N/A</v>
      </c>
      <c r="F243" s="3"/>
      <c r="G243" s="4">
        <v>28.3</v>
      </c>
      <c r="H243" s="4">
        <f t="shared" si="3"/>
        <v>0</v>
      </c>
      <c r="I243" t="e">
        <f>VLOOKUP(TablaObra5[[#This Row],[Obra]],Catalogos!$B$3:$C$8,2,FALSE)</f>
        <v>#N/A</v>
      </c>
    </row>
    <row r="244" spans="1:9">
      <c r="A244" s="2"/>
      <c r="E244" t="e">
        <f>VLOOKUP(TablaObra5[[#This Row],[Equipo]],Catalogos!$I$3:$J$34,2,FALSE)</f>
        <v>#N/A</v>
      </c>
      <c r="F244" s="3"/>
      <c r="G244" s="4">
        <v>28.3</v>
      </c>
      <c r="H244" s="4">
        <f t="shared" si="3"/>
        <v>0</v>
      </c>
      <c r="I244" t="e">
        <f>VLOOKUP(TablaObra5[[#This Row],[Obra]],Catalogos!$B$3:$C$8,2,FALSE)</f>
        <v>#N/A</v>
      </c>
    </row>
    <row r="245" spans="1:9">
      <c r="A245" s="2"/>
      <c r="E245" t="e">
        <f>VLOOKUP(TablaObra5[[#This Row],[Equipo]],Catalogos!$I$3:$J$34,2,FALSE)</f>
        <v>#N/A</v>
      </c>
      <c r="F245" s="3"/>
      <c r="G245" s="4">
        <v>28.3</v>
      </c>
      <c r="H245" s="4">
        <f t="shared" si="3"/>
        <v>0</v>
      </c>
      <c r="I245" t="e">
        <f>VLOOKUP(TablaObra5[[#This Row],[Obra]],Catalogos!$B$3:$C$8,2,FALSE)</f>
        <v>#N/A</v>
      </c>
    </row>
    <row r="246" spans="1:9">
      <c r="A246" s="2"/>
      <c r="E246" t="e">
        <f>VLOOKUP(TablaObra5[[#This Row],[Equipo]],Catalogos!$I$3:$J$34,2,FALSE)</f>
        <v>#N/A</v>
      </c>
      <c r="F246" s="3"/>
      <c r="G246" s="4">
        <v>28.3</v>
      </c>
      <c r="H246" s="4">
        <f t="shared" si="3"/>
        <v>0</v>
      </c>
      <c r="I246" t="e">
        <f>VLOOKUP(TablaObra5[[#This Row],[Obra]],Catalogos!$B$3:$C$8,2,FALSE)</f>
        <v>#N/A</v>
      </c>
    </row>
    <row r="247" spans="1:9">
      <c r="A247" s="2"/>
      <c r="E247" t="e">
        <f>VLOOKUP(TablaObra5[[#This Row],[Equipo]],Catalogos!$I$3:$J$34,2,FALSE)</f>
        <v>#N/A</v>
      </c>
      <c r="F247" s="3"/>
      <c r="G247" s="4">
        <v>28.3</v>
      </c>
      <c r="H247" s="4">
        <f t="shared" si="3"/>
        <v>0</v>
      </c>
      <c r="I247" t="e">
        <f>VLOOKUP(TablaObra5[[#This Row],[Obra]],Catalogos!$B$3:$C$8,2,FALSE)</f>
        <v>#N/A</v>
      </c>
    </row>
    <row r="248" spans="1:9">
      <c r="A248" s="2"/>
      <c r="E248" t="e">
        <f>VLOOKUP(TablaObra5[[#This Row],[Equipo]],Catalogos!$I$3:$J$34,2,FALSE)</f>
        <v>#N/A</v>
      </c>
      <c r="F248" s="3"/>
      <c r="G248" s="4">
        <v>28.3</v>
      </c>
      <c r="H248" s="4">
        <f t="shared" si="3"/>
        <v>0</v>
      </c>
      <c r="I248" t="e">
        <f>VLOOKUP(TablaObra5[[#This Row],[Obra]],Catalogos!$B$3:$C$8,2,FALSE)</f>
        <v>#N/A</v>
      </c>
    </row>
    <row r="249" spans="1:9">
      <c r="A249" s="2"/>
      <c r="E249" t="e">
        <f>VLOOKUP(TablaObra5[[#This Row],[Equipo]],Catalogos!$I$3:$J$34,2,FALSE)</f>
        <v>#N/A</v>
      </c>
      <c r="F249" s="3"/>
      <c r="G249" s="4">
        <v>28.3</v>
      </c>
      <c r="H249" s="4">
        <f t="shared" si="3"/>
        <v>0</v>
      </c>
      <c r="I249" t="e">
        <f>VLOOKUP(TablaObra5[[#This Row],[Obra]],Catalogos!$B$3:$C$8,2,FALSE)</f>
        <v>#N/A</v>
      </c>
    </row>
    <row r="250" spans="1:9">
      <c r="A250" s="2"/>
      <c r="E250" t="e">
        <f>VLOOKUP(TablaObra5[[#This Row],[Equipo]],Catalogos!$I$3:$J$34,2,FALSE)</f>
        <v>#N/A</v>
      </c>
      <c r="F250" s="3"/>
      <c r="G250" s="4">
        <v>28.3</v>
      </c>
      <c r="H250" s="4">
        <f t="shared" si="3"/>
        <v>0</v>
      </c>
      <c r="I250" t="e">
        <f>VLOOKUP(TablaObra5[[#This Row],[Obra]],Catalogos!$B$3:$C$8,2,FALSE)</f>
        <v>#N/A</v>
      </c>
    </row>
    <row r="251" spans="1:9">
      <c r="A251" s="2"/>
      <c r="E251" t="e">
        <f>VLOOKUP(TablaObra5[[#This Row],[Equipo]],Catalogos!$I$3:$J$34,2,FALSE)</f>
        <v>#N/A</v>
      </c>
      <c r="F251" s="3"/>
      <c r="G251" s="4">
        <v>28.3</v>
      </c>
      <c r="H251" s="4">
        <f t="shared" si="3"/>
        <v>0</v>
      </c>
      <c r="I251" t="e">
        <f>VLOOKUP(TablaObra5[[#This Row],[Obra]],Catalogos!$B$3:$C$8,2,FALSE)</f>
        <v>#N/A</v>
      </c>
    </row>
    <row r="252" spans="1:9">
      <c r="A252" s="2"/>
      <c r="E252" t="e">
        <f>VLOOKUP(TablaObra5[[#This Row],[Equipo]],Catalogos!$I$3:$J$34,2,FALSE)</f>
        <v>#N/A</v>
      </c>
      <c r="F252" s="3"/>
      <c r="G252" s="4">
        <v>28.3</v>
      </c>
      <c r="H252" s="4">
        <f t="shared" si="3"/>
        <v>0</v>
      </c>
      <c r="I252" t="e">
        <f>VLOOKUP(TablaObra5[[#This Row],[Obra]],Catalogos!$B$3:$C$8,2,FALSE)</f>
        <v>#N/A</v>
      </c>
    </row>
    <row r="253" spans="1:9">
      <c r="A253" s="2"/>
      <c r="E253" t="e">
        <f>VLOOKUP(TablaObra5[[#This Row],[Equipo]],Catalogos!$I$3:$J$34,2,FALSE)</f>
        <v>#N/A</v>
      </c>
      <c r="F253" s="3"/>
      <c r="G253" s="4">
        <v>28.3</v>
      </c>
      <c r="H253" s="4">
        <f t="shared" si="3"/>
        <v>0</v>
      </c>
      <c r="I253" t="e">
        <f>VLOOKUP(TablaObra5[[#This Row],[Obra]],Catalogos!$B$3:$C$8,2,FALSE)</f>
        <v>#N/A</v>
      </c>
    </row>
    <row r="254" spans="1:9">
      <c r="A254" s="2"/>
      <c r="E254" t="e">
        <f>VLOOKUP(TablaObra5[[#This Row],[Equipo]],Catalogos!$I$3:$J$34,2,FALSE)</f>
        <v>#N/A</v>
      </c>
      <c r="F254" s="3"/>
      <c r="G254" s="4">
        <v>28.3</v>
      </c>
      <c r="H254" s="4">
        <f t="shared" si="3"/>
        <v>0</v>
      </c>
      <c r="I254" t="e">
        <f>VLOOKUP(TablaObra5[[#This Row],[Obra]],Catalogos!$B$3:$C$8,2,FALSE)</f>
        <v>#N/A</v>
      </c>
    </row>
    <row r="255" spans="1:9">
      <c r="A255" s="2"/>
      <c r="E255" t="e">
        <f>VLOOKUP(TablaObra5[[#This Row],[Equipo]],Catalogos!$I$3:$J$34,2,FALSE)</f>
        <v>#N/A</v>
      </c>
      <c r="F255" s="3"/>
      <c r="G255" s="4">
        <v>28.3</v>
      </c>
      <c r="H255" s="4">
        <f t="shared" si="3"/>
        <v>0</v>
      </c>
      <c r="I255" t="e">
        <f>VLOOKUP(TablaObra5[[#This Row],[Obra]],Catalogos!$B$3:$C$8,2,FALSE)</f>
        <v>#N/A</v>
      </c>
    </row>
    <row r="256" spans="1:9">
      <c r="A256" s="2"/>
      <c r="E256" t="e">
        <f>VLOOKUP(TablaObra5[[#This Row],[Equipo]],Catalogos!$I$3:$J$34,2,FALSE)</f>
        <v>#N/A</v>
      </c>
      <c r="F256" s="3"/>
      <c r="G256" s="4">
        <v>28.3</v>
      </c>
      <c r="H256" s="4">
        <f t="shared" si="3"/>
        <v>0</v>
      </c>
      <c r="I256" t="e">
        <f>VLOOKUP(TablaObra5[[#This Row],[Obra]],Catalogos!$B$3:$C$8,2,FALSE)</f>
        <v>#N/A</v>
      </c>
    </row>
    <row r="257" spans="1:9">
      <c r="A257" s="2"/>
      <c r="E257" t="e">
        <f>VLOOKUP(TablaObra5[[#This Row],[Equipo]],Catalogos!$I$3:$J$34,2,FALSE)</f>
        <v>#N/A</v>
      </c>
      <c r="F257" s="3"/>
      <c r="G257" s="4">
        <v>28.3</v>
      </c>
      <c r="H257" s="4">
        <f t="shared" si="3"/>
        <v>0</v>
      </c>
      <c r="I257" t="e">
        <f>VLOOKUP(TablaObra5[[#This Row],[Obra]],Catalogos!$B$3:$C$8,2,FALSE)</f>
        <v>#N/A</v>
      </c>
    </row>
    <row r="258" spans="1:9">
      <c r="A258" s="2"/>
      <c r="E258" t="e">
        <f>VLOOKUP(TablaObra5[[#This Row],[Equipo]],Catalogos!$I$3:$J$34,2,FALSE)</f>
        <v>#N/A</v>
      </c>
      <c r="F258" s="3"/>
      <c r="G258" s="4">
        <v>28.3</v>
      </c>
      <c r="H258" s="4">
        <f t="shared" si="3"/>
        <v>0</v>
      </c>
      <c r="I258" t="e">
        <f>VLOOKUP(TablaObra5[[#This Row],[Obra]],Catalogos!$B$3:$C$8,2,FALSE)</f>
        <v>#N/A</v>
      </c>
    </row>
    <row r="259" spans="1:9">
      <c r="A259" s="2"/>
      <c r="E259" t="e">
        <f>VLOOKUP(TablaObra5[[#This Row],[Equipo]],Catalogos!$I$3:$J$34,2,FALSE)</f>
        <v>#N/A</v>
      </c>
      <c r="F259" s="3"/>
      <c r="G259" s="4">
        <v>28.3</v>
      </c>
      <c r="H259" s="4">
        <f t="shared" si="3"/>
        <v>0</v>
      </c>
      <c r="I259" t="e">
        <f>VLOOKUP(TablaObra5[[#This Row],[Obra]],Catalogos!$B$3:$C$8,2,FALSE)</f>
        <v>#N/A</v>
      </c>
    </row>
    <row r="260" spans="1:9">
      <c r="A260" s="2"/>
      <c r="E260" t="e">
        <f>VLOOKUP(TablaObra5[[#This Row],[Equipo]],Catalogos!$I$3:$J$34,2,FALSE)</f>
        <v>#N/A</v>
      </c>
      <c r="F260" s="3"/>
      <c r="G260" s="4">
        <v>28.3</v>
      </c>
      <c r="H260" s="4">
        <f t="shared" si="3"/>
        <v>0</v>
      </c>
      <c r="I260" t="e">
        <f>VLOOKUP(TablaObra5[[#This Row],[Obra]],Catalogos!$B$3:$C$8,2,FALSE)</f>
        <v>#N/A</v>
      </c>
    </row>
    <row r="261" spans="1:9">
      <c r="A261" s="2"/>
      <c r="E261" t="e">
        <f>VLOOKUP(TablaObra5[[#This Row],[Equipo]],Catalogos!$I$3:$J$34,2,FALSE)</f>
        <v>#N/A</v>
      </c>
      <c r="F261" s="3"/>
      <c r="G261" s="4">
        <v>28.3</v>
      </c>
      <c r="H261" s="4">
        <f t="shared" si="3"/>
        <v>0</v>
      </c>
      <c r="I261" t="e">
        <f>VLOOKUP(TablaObra5[[#This Row],[Obra]],Catalogos!$B$3:$C$8,2,FALSE)</f>
        <v>#N/A</v>
      </c>
    </row>
    <row r="262" spans="1:9">
      <c r="A262" s="2"/>
      <c r="E262" t="e">
        <f>VLOOKUP(TablaObra5[[#This Row],[Equipo]],Catalogos!$I$3:$J$34,2,FALSE)</f>
        <v>#N/A</v>
      </c>
      <c r="F262" s="3"/>
      <c r="G262" s="4">
        <v>28.3</v>
      </c>
      <c r="H262" s="4">
        <f t="shared" si="3"/>
        <v>0</v>
      </c>
      <c r="I262" t="e">
        <f>VLOOKUP(TablaObra5[[#This Row],[Obra]],Catalogos!$B$3:$C$8,2,FALSE)</f>
        <v>#N/A</v>
      </c>
    </row>
    <row r="263" spans="1:9">
      <c r="A263" s="2"/>
      <c r="E263" t="e">
        <f>VLOOKUP(TablaObra5[[#This Row],[Equipo]],Catalogos!$I$3:$J$34,2,FALSE)</f>
        <v>#N/A</v>
      </c>
      <c r="F263" s="3"/>
      <c r="G263" s="4">
        <v>28.3</v>
      </c>
      <c r="H263" s="4">
        <f t="shared" ref="H263:H306" si="4">IFERROR(F263*G263,0)</f>
        <v>0</v>
      </c>
      <c r="I263" t="e">
        <f>VLOOKUP(TablaObra5[[#This Row],[Obra]],Catalogos!$B$3:$C$8,2,FALSE)</f>
        <v>#N/A</v>
      </c>
    </row>
    <row r="264" spans="1:9">
      <c r="A264" s="2"/>
      <c r="E264" t="e">
        <f>VLOOKUP(TablaObra5[[#This Row],[Equipo]],Catalogos!$I$3:$J$34,2,FALSE)</f>
        <v>#N/A</v>
      </c>
      <c r="F264" s="3"/>
      <c r="G264" s="4">
        <v>28.3</v>
      </c>
      <c r="H264" s="4">
        <f t="shared" si="4"/>
        <v>0</v>
      </c>
      <c r="I264" t="e">
        <f>VLOOKUP(TablaObra5[[#This Row],[Obra]],Catalogos!$B$3:$C$8,2,FALSE)</f>
        <v>#N/A</v>
      </c>
    </row>
    <row r="265" spans="1:9">
      <c r="A265" s="2"/>
      <c r="E265" t="e">
        <f>VLOOKUP(TablaObra5[[#This Row],[Equipo]],Catalogos!$I$3:$J$34,2,FALSE)</f>
        <v>#N/A</v>
      </c>
      <c r="F265" s="3"/>
      <c r="G265" s="4">
        <v>28.3</v>
      </c>
      <c r="H265" s="4">
        <f t="shared" si="4"/>
        <v>0</v>
      </c>
      <c r="I265" t="e">
        <f>VLOOKUP(TablaObra5[[#This Row],[Obra]],Catalogos!$B$3:$C$8,2,FALSE)</f>
        <v>#N/A</v>
      </c>
    </row>
    <row r="266" spans="1:9">
      <c r="A266" s="2"/>
      <c r="E266" t="e">
        <f>VLOOKUP(TablaObra5[[#This Row],[Equipo]],Catalogos!$I$3:$J$34,2,FALSE)</f>
        <v>#N/A</v>
      </c>
      <c r="F266" s="3"/>
      <c r="G266" s="4">
        <v>28.3</v>
      </c>
      <c r="H266" s="4">
        <f t="shared" si="4"/>
        <v>0</v>
      </c>
      <c r="I266" t="e">
        <f>VLOOKUP(TablaObra5[[#This Row],[Obra]],Catalogos!$B$3:$C$8,2,FALSE)</f>
        <v>#N/A</v>
      </c>
    </row>
    <row r="267" spans="1:9">
      <c r="A267" s="2"/>
      <c r="E267" t="e">
        <f>VLOOKUP(TablaObra5[[#This Row],[Equipo]],Catalogos!$I$3:$J$34,2,FALSE)</f>
        <v>#N/A</v>
      </c>
      <c r="F267" s="3"/>
      <c r="G267" s="4">
        <v>28.3</v>
      </c>
      <c r="H267" s="4">
        <f t="shared" si="4"/>
        <v>0</v>
      </c>
      <c r="I267" t="e">
        <f>VLOOKUP(TablaObra5[[#This Row],[Obra]],Catalogos!$B$3:$C$8,2,FALSE)</f>
        <v>#N/A</v>
      </c>
    </row>
    <row r="268" spans="1:9">
      <c r="A268" s="2"/>
      <c r="E268" t="e">
        <f>VLOOKUP(TablaObra5[[#This Row],[Equipo]],Catalogos!$I$3:$J$34,2,FALSE)</f>
        <v>#N/A</v>
      </c>
      <c r="F268" s="3"/>
      <c r="G268" s="4">
        <v>28.3</v>
      </c>
      <c r="H268" s="4">
        <f t="shared" si="4"/>
        <v>0</v>
      </c>
      <c r="I268" t="e">
        <f>VLOOKUP(TablaObra5[[#This Row],[Obra]],Catalogos!$B$3:$C$8,2,FALSE)</f>
        <v>#N/A</v>
      </c>
    </row>
    <row r="269" spans="1:9">
      <c r="A269" s="2"/>
      <c r="E269" t="e">
        <f>VLOOKUP(TablaObra5[[#This Row],[Equipo]],Catalogos!$I$3:$J$34,2,FALSE)</f>
        <v>#N/A</v>
      </c>
      <c r="F269" s="3"/>
      <c r="G269" s="4">
        <v>28.3</v>
      </c>
      <c r="H269" s="4">
        <f t="shared" si="4"/>
        <v>0</v>
      </c>
      <c r="I269" t="e">
        <f>VLOOKUP(TablaObra5[[#This Row],[Obra]],Catalogos!$B$3:$C$8,2,FALSE)</f>
        <v>#N/A</v>
      </c>
    </row>
    <row r="270" spans="1:9">
      <c r="A270" s="2"/>
      <c r="E270" t="e">
        <f>VLOOKUP(TablaObra5[[#This Row],[Equipo]],Catalogos!$I$3:$J$34,2,FALSE)</f>
        <v>#N/A</v>
      </c>
      <c r="F270" s="3"/>
      <c r="G270" s="4">
        <v>28.3</v>
      </c>
      <c r="H270" s="4">
        <f t="shared" si="4"/>
        <v>0</v>
      </c>
      <c r="I270" t="e">
        <f>VLOOKUP(TablaObra5[[#This Row],[Obra]],Catalogos!$B$3:$C$8,2,FALSE)</f>
        <v>#N/A</v>
      </c>
    </row>
    <row r="271" spans="1:9">
      <c r="A271" s="2"/>
      <c r="E271" t="e">
        <f>VLOOKUP(TablaObra5[[#This Row],[Equipo]],Catalogos!$I$3:$J$34,2,FALSE)</f>
        <v>#N/A</v>
      </c>
      <c r="F271" s="3"/>
      <c r="G271" s="4">
        <v>28.3</v>
      </c>
      <c r="H271" s="4">
        <f t="shared" si="4"/>
        <v>0</v>
      </c>
      <c r="I271" t="e">
        <f>VLOOKUP(TablaObra5[[#This Row],[Obra]],Catalogos!$B$3:$C$8,2,FALSE)</f>
        <v>#N/A</v>
      </c>
    </row>
    <row r="272" spans="1:9">
      <c r="A272" s="2"/>
      <c r="E272" t="e">
        <f>VLOOKUP(TablaObra5[[#This Row],[Equipo]],Catalogos!$I$3:$J$34,2,FALSE)</f>
        <v>#N/A</v>
      </c>
      <c r="F272" s="3"/>
      <c r="G272" s="4">
        <v>28.3</v>
      </c>
      <c r="H272" s="4">
        <f t="shared" si="4"/>
        <v>0</v>
      </c>
      <c r="I272" t="e">
        <f>VLOOKUP(TablaObra5[[#This Row],[Obra]],Catalogos!$B$3:$C$8,2,FALSE)</f>
        <v>#N/A</v>
      </c>
    </row>
    <row r="273" spans="1:9">
      <c r="A273" s="2"/>
      <c r="E273" t="e">
        <f>VLOOKUP(TablaObra5[[#This Row],[Equipo]],Catalogos!$I$3:$J$34,2,FALSE)</f>
        <v>#N/A</v>
      </c>
      <c r="F273" s="3"/>
      <c r="G273" s="4">
        <v>28.3</v>
      </c>
      <c r="H273" s="4">
        <f t="shared" si="4"/>
        <v>0</v>
      </c>
      <c r="I273" t="e">
        <f>VLOOKUP(TablaObra5[[#This Row],[Obra]],Catalogos!$B$3:$C$8,2,FALSE)</f>
        <v>#N/A</v>
      </c>
    </row>
    <row r="274" spans="1:9">
      <c r="A274" s="2"/>
      <c r="E274" t="e">
        <f>VLOOKUP(TablaObra5[[#This Row],[Equipo]],Catalogos!$I$3:$J$34,2,FALSE)</f>
        <v>#N/A</v>
      </c>
      <c r="F274" s="3"/>
      <c r="G274" s="4">
        <v>28.3</v>
      </c>
      <c r="H274" s="4">
        <f t="shared" si="4"/>
        <v>0</v>
      </c>
      <c r="I274" t="e">
        <f>VLOOKUP(TablaObra5[[#This Row],[Obra]],Catalogos!$B$3:$C$8,2,FALSE)</f>
        <v>#N/A</v>
      </c>
    </row>
    <row r="275" spans="1:9">
      <c r="A275" s="2"/>
      <c r="E275" t="e">
        <f>VLOOKUP(TablaObra5[[#This Row],[Equipo]],Catalogos!$I$3:$J$34,2,FALSE)</f>
        <v>#N/A</v>
      </c>
      <c r="F275" s="3"/>
      <c r="G275" s="4">
        <v>28.3</v>
      </c>
      <c r="H275" s="4">
        <f t="shared" si="4"/>
        <v>0</v>
      </c>
      <c r="I275" t="e">
        <f>VLOOKUP(TablaObra5[[#This Row],[Obra]],Catalogos!$B$3:$C$8,2,FALSE)</f>
        <v>#N/A</v>
      </c>
    </row>
    <row r="276" spans="1:9">
      <c r="A276" s="2"/>
      <c r="E276" t="e">
        <f>VLOOKUP(TablaObra5[[#This Row],[Equipo]],Catalogos!$I$3:$J$34,2,FALSE)</f>
        <v>#N/A</v>
      </c>
      <c r="F276" s="3"/>
      <c r="G276" s="4">
        <v>28.3</v>
      </c>
      <c r="H276" s="4">
        <f t="shared" si="4"/>
        <v>0</v>
      </c>
      <c r="I276" t="e">
        <f>VLOOKUP(TablaObra5[[#This Row],[Obra]],Catalogos!$B$3:$C$8,2,FALSE)</f>
        <v>#N/A</v>
      </c>
    </row>
    <row r="277" spans="1:9">
      <c r="A277" s="2"/>
      <c r="E277" t="e">
        <f>VLOOKUP(TablaObra5[[#This Row],[Equipo]],Catalogos!$I$3:$J$34,2,FALSE)</f>
        <v>#N/A</v>
      </c>
      <c r="F277" s="3"/>
      <c r="G277" s="4">
        <v>28.3</v>
      </c>
      <c r="H277" s="4">
        <f t="shared" si="4"/>
        <v>0</v>
      </c>
      <c r="I277" t="e">
        <f>VLOOKUP(TablaObra5[[#This Row],[Obra]],Catalogos!$B$3:$C$8,2,FALSE)</f>
        <v>#N/A</v>
      </c>
    </row>
    <row r="278" spans="1:9">
      <c r="A278" s="2"/>
      <c r="E278" t="e">
        <f>VLOOKUP(TablaObra5[[#This Row],[Equipo]],Catalogos!$I$3:$J$34,2,FALSE)</f>
        <v>#N/A</v>
      </c>
      <c r="F278" s="3"/>
      <c r="G278" s="4">
        <v>28.3</v>
      </c>
      <c r="H278" s="4">
        <f t="shared" si="4"/>
        <v>0</v>
      </c>
      <c r="I278" t="e">
        <f>VLOOKUP(TablaObra5[[#This Row],[Obra]],Catalogos!$B$3:$C$8,2,FALSE)</f>
        <v>#N/A</v>
      </c>
    </row>
    <row r="279" spans="1:9">
      <c r="A279" s="2"/>
      <c r="E279" t="e">
        <f>VLOOKUP(TablaObra5[[#This Row],[Equipo]],Catalogos!$I$3:$J$34,2,FALSE)</f>
        <v>#N/A</v>
      </c>
      <c r="F279" s="3"/>
      <c r="G279" s="4">
        <v>28.3</v>
      </c>
      <c r="H279" s="4">
        <f t="shared" si="4"/>
        <v>0</v>
      </c>
      <c r="I279" t="e">
        <f>VLOOKUP(TablaObra5[[#This Row],[Obra]],Catalogos!$B$3:$C$8,2,FALSE)</f>
        <v>#N/A</v>
      </c>
    </row>
    <row r="280" spans="1:9">
      <c r="A280" s="2"/>
      <c r="E280" t="e">
        <f>VLOOKUP(TablaObra5[[#This Row],[Equipo]],Catalogos!$I$3:$J$34,2,FALSE)</f>
        <v>#N/A</v>
      </c>
      <c r="F280" s="3"/>
      <c r="G280" s="4">
        <v>28.3</v>
      </c>
      <c r="H280" s="4">
        <f t="shared" si="4"/>
        <v>0</v>
      </c>
      <c r="I280" t="e">
        <f>VLOOKUP(TablaObra5[[#This Row],[Obra]],Catalogos!$B$3:$C$8,2,FALSE)</f>
        <v>#N/A</v>
      </c>
    </row>
    <row r="281" spans="1:9">
      <c r="A281" s="2"/>
      <c r="E281" t="e">
        <f>VLOOKUP(TablaObra5[[#This Row],[Equipo]],Catalogos!$I$3:$J$34,2,FALSE)</f>
        <v>#N/A</v>
      </c>
      <c r="F281" s="3"/>
      <c r="G281" s="4">
        <v>28.3</v>
      </c>
      <c r="H281" s="4">
        <f t="shared" si="4"/>
        <v>0</v>
      </c>
      <c r="I281" t="e">
        <f>VLOOKUP(TablaObra5[[#This Row],[Obra]],Catalogos!$B$3:$C$8,2,FALSE)</f>
        <v>#N/A</v>
      </c>
    </row>
    <row r="282" spans="1:9">
      <c r="A282" s="2"/>
      <c r="E282" t="e">
        <f>VLOOKUP(TablaObra5[[#This Row],[Equipo]],Catalogos!$I$3:$J$34,2,FALSE)</f>
        <v>#N/A</v>
      </c>
      <c r="F282" s="3"/>
      <c r="G282" s="4">
        <v>28.3</v>
      </c>
      <c r="H282" s="4">
        <f t="shared" si="4"/>
        <v>0</v>
      </c>
      <c r="I282" t="e">
        <f>VLOOKUP(TablaObra5[[#This Row],[Obra]],Catalogos!$B$3:$C$8,2,FALSE)</f>
        <v>#N/A</v>
      </c>
    </row>
    <row r="283" spans="1:9">
      <c r="A283" s="2"/>
      <c r="E283" t="e">
        <f>VLOOKUP(TablaObra5[[#This Row],[Equipo]],Catalogos!$I$3:$J$34,2,FALSE)</f>
        <v>#N/A</v>
      </c>
      <c r="F283" s="3"/>
      <c r="G283" s="4">
        <v>28.3</v>
      </c>
      <c r="H283" s="4">
        <f t="shared" si="4"/>
        <v>0</v>
      </c>
      <c r="I283" t="e">
        <f>VLOOKUP(TablaObra5[[#This Row],[Obra]],Catalogos!$B$3:$C$8,2,FALSE)</f>
        <v>#N/A</v>
      </c>
    </row>
    <row r="284" spans="1:9">
      <c r="A284" s="2"/>
      <c r="E284" t="e">
        <f>VLOOKUP(TablaObra5[[#This Row],[Equipo]],Catalogos!$I$3:$J$34,2,FALSE)</f>
        <v>#N/A</v>
      </c>
      <c r="F284" s="3"/>
      <c r="G284" s="4">
        <v>28.3</v>
      </c>
      <c r="H284" s="4">
        <f t="shared" si="4"/>
        <v>0</v>
      </c>
      <c r="I284" t="e">
        <f>VLOOKUP(TablaObra5[[#This Row],[Obra]],Catalogos!$B$3:$C$8,2,FALSE)</f>
        <v>#N/A</v>
      </c>
    </row>
    <row r="285" spans="1:9">
      <c r="A285" s="2"/>
      <c r="E285" t="e">
        <f>VLOOKUP(TablaObra5[[#This Row],[Equipo]],Catalogos!$I$3:$J$34,2,FALSE)</f>
        <v>#N/A</v>
      </c>
      <c r="F285" s="3"/>
      <c r="G285" s="4">
        <v>28.3</v>
      </c>
      <c r="H285" s="4">
        <f t="shared" si="4"/>
        <v>0</v>
      </c>
      <c r="I285" t="e">
        <f>VLOOKUP(TablaObra5[[#This Row],[Obra]],Catalogos!$B$3:$C$8,2,FALSE)</f>
        <v>#N/A</v>
      </c>
    </row>
    <row r="286" spans="1:9">
      <c r="A286" s="2"/>
      <c r="E286" t="e">
        <f>VLOOKUP(TablaObra5[[#This Row],[Equipo]],Catalogos!$I$3:$J$34,2,FALSE)</f>
        <v>#N/A</v>
      </c>
      <c r="F286" s="3"/>
      <c r="G286" s="4">
        <v>28.3</v>
      </c>
      <c r="H286" s="4">
        <f t="shared" si="4"/>
        <v>0</v>
      </c>
      <c r="I286" t="e">
        <f>VLOOKUP(TablaObra5[[#This Row],[Obra]],Catalogos!$B$3:$C$8,2,FALSE)</f>
        <v>#N/A</v>
      </c>
    </row>
    <row r="287" spans="1:9">
      <c r="A287" s="2"/>
      <c r="E287" t="e">
        <f>VLOOKUP(TablaObra5[[#This Row],[Equipo]],Catalogos!$I$3:$J$34,2,FALSE)</f>
        <v>#N/A</v>
      </c>
      <c r="F287" s="3"/>
      <c r="G287" s="4">
        <v>28.3</v>
      </c>
      <c r="H287" s="4">
        <f t="shared" si="4"/>
        <v>0</v>
      </c>
      <c r="I287" t="e">
        <f>VLOOKUP(TablaObra5[[#This Row],[Obra]],Catalogos!$B$3:$C$8,2,FALSE)</f>
        <v>#N/A</v>
      </c>
    </row>
    <row r="288" spans="1:9">
      <c r="A288" s="2"/>
      <c r="E288" t="e">
        <f>VLOOKUP(TablaObra5[[#This Row],[Equipo]],Catalogos!$I$3:$J$34,2,FALSE)</f>
        <v>#N/A</v>
      </c>
      <c r="F288" s="3"/>
      <c r="G288" s="4">
        <v>28.3</v>
      </c>
      <c r="H288" s="4">
        <f t="shared" si="4"/>
        <v>0</v>
      </c>
      <c r="I288" t="e">
        <f>VLOOKUP(TablaObra5[[#This Row],[Obra]],Catalogos!$B$3:$C$8,2,FALSE)</f>
        <v>#N/A</v>
      </c>
    </row>
    <row r="289" spans="1:9">
      <c r="A289" s="2"/>
      <c r="E289" t="e">
        <f>VLOOKUP(TablaObra5[[#This Row],[Equipo]],Catalogos!$I$3:$J$34,2,FALSE)</f>
        <v>#N/A</v>
      </c>
      <c r="F289" s="3"/>
      <c r="G289" s="4">
        <v>28.3</v>
      </c>
      <c r="H289" s="4">
        <f t="shared" si="4"/>
        <v>0</v>
      </c>
      <c r="I289" t="e">
        <f>VLOOKUP(TablaObra5[[#This Row],[Obra]],Catalogos!$B$3:$C$8,2,FALSE)</f>
        <v>#N/A</v>
      </c>
    </row>
    <row r="290" spans="1:9">
      <c r="A290" s="2"/>
      <c r="E290" t="e">
        <f>VLOOKUP(TablaObra5[[#This Row],[Equipo]],Catalogos!$I$3:$J$34,2,FALSE)</f>
        <v>#N/A</v>
      </c>
      <c r="F290" s="3"/>
      <c r="G290" s="4">
        <v>28.3</v>
      </c>
      <c r="H290" s="4">
        <f t="shared" si="4"/>
        <v>0</v>
      </c>
      <c r="I290" t="e">
        <f>VLOOKUP(TablaObra5[[#This Row],[Obra]],Catalogos!$B$3:$C$8,2,FALSE)</f>
        <v>#N/A</v>
      </c>
    </row>
    <row r="291" spans="1:9">
      <c r="A291" s="2"/>
      <c r="E291" t="e">
        <f>VLOOKUP(TablaObra5[[#This Row],[Equipo]],Catalogos!$I$3:$J$34,2,FALSE)</f>
        <v>#N/A</v>
      </c>
      <c r="F291" s="3"/>
      <c r="G291" s="4">
        <v>28.3</v>
      </c>
      <c r="H291" s="4">
        <f t="shared" si="4"/>
        <v>0</v>
      </c>
      <c r="I291" t="e">
        <f>VLOOKUP(TablaObra5[[#This Row],[Obra]],Catalogos!$B$3:$C$8,2,FALSE)</f>
        <v>#N/A</v>
      </c>
    </row>
    <row r="292" spans="1:9">
      <c r="A292" s="2"/>
      <c r="E292" t="e">
        <f>VLOOKUP(TablaObra5[[#This Row],[Equipo]],Catalogos!$I$3:$J$34,2,FALSE)</f>
        <v>#N/A</v>
      </c>
      <c r="F292" s="3"/>
      <c r="G292" s="4">
        <v>28.3</v>
      </c>
      <c r="H292" s="4">
        <f t="shared" si="4"/>
        <v>0</v>
      </c>
      <c r="I292" t="e">
        <f>VLOOKUP(TablaObra5[[#This Row],[Obra]],Catalogos!$B$3:$C$8,2,FALSE)</f>
        <v>#N/A</v>
      </c>
    </row>
    <row r="293" spans="1:9">
      <c r="A293" s="2"/>
      <c r="E293" t="e">
        <f>VLOOKUP(TablaObra5[[#This Row],[Equipo]],Catalogos!$I$3:$J$34,2,FALSE)</f>
        <v>#N/A</v>
      </c>
      <c r="F293" s="3"/>
      <c r="G293" s="4">
        <v>28.3</v>
      </c>
      <c r="H293" s="4">
        <f t="shared" si="4"/>
        <v>0</v>
      </c>
      <c r="I293" t="e">
        <f>VLOOKUP(TablaObra5[[#This Row],[Obra]],Catalogos!$B$3:$C$8,2,FALSE)</f>
        <v>#N/A</v>
      </c>
    </row>
    <row r="294" spans="1:9">
      <c r="A294" s="2"/>
      <c r="E294" t="e">
        <f>VLOOKUP(TablaObra5[[#This Row],[Equipo]],Catalogos!$I$3:$J$34,2,FALSE)</f>
        <v>#N/A</v>
      </c>
      <c r="F294" s="3"/>
      <c r="G294" s="4">
        <v>28.3</v>
      </c>
      <c r="H294" s="4">
        <f t="shared" si="4"/>
        <v>0</v>
      </c>
      <c r="I294" t="e">
        <f>VLOOKUP(TablaObra5[[#This Row],[Obra]],Catalogos!$B$3:$C$8,2,FALSE)</f>
        <v>#N/A</v>
      </c>
    </row>
    <row r="295" spans="1:9">
      <c r="A295" s="2"/>
      <c r="E295" t="e">
        <f>VLOOKUP(TablaObra5[[#This Row],[Equipo]],Catalogos!$I$3:$J$34,2,FALSE)</f>
        <v>#N/A</v>
      </c>
      <c r="F295" s="3"/>
      <c r="G295" s="4">
        <v>28.3</v>
      </c>
      <c r="H295" s="4">
        <f t="shared" si="4"/>
        <v>0</v>
      </c>
      <c r="I295" t="e">
        <f>VLOOKUP(TablaObra5[[#This Row],[Obra]],Catalogos!$B$3:$C$8,2,FALSE)</f>
        <v>#N/A</v>
      </c>
    </row>
    <row r="296" spans="1:9">
      <c r="A296" s="2"/>
      <c r="E296" t="e">
        <f>VLOOKUP(TablaObra5[[#This Row],[Equipo]],Catalogos!$I$3:$J$34,2,FALSE)</f>
        <v>#N/A</v>
      </c>
      <c r="F296" s="3"/>
      <c r="G296" s="4">
        <v>28.3</v>
      </c>
      <c r="H296" s="4">
        <f t="shared" si="4"/>
        <v>0</v>
      </c>
      <c r="I296" t="e">
        <f>VLOOKUP(TablaObra5[[#This Row],[Obra]],Catalogos!$B$3:$C$8,2,FALSE)</f>
        <v>#N/A</v>
      </c>
    </row>
    <row r="297" spans="1:9">
      <c r="A297" s="2"/>
      <c r="E297" t="e">
        <f>VLOOKUP(TablaObra5[[#This Row],[Equipo]],Catalogos!$I$3:$J$34,2,FALSE)</f>
        <v>#N/A</v>
      </c>
      <c r="F297" s="3"/>
      <c r="G297" s="4">
        <v>28.3</v>
      </c>
      <c r="H297" s="4">
        <f t="shared" si="4"/>
        <v>0</v>
      </c>
      <c r="I297" t="e">
        <f>VLOOKUP(TablaObra5[[#This Row],[Obra]],Catalogos!$B$3:$C$8,2,FALSE)</f>
        <v>#N/A</v>
      </c>
    </row>
    <row r="298" spans="1:9">
      <c r="A298" s="2"/>
      <c r="E298" t="e">
        <f>VLOOKUP(TablaObra5[[#This Row],[Equipo]],Catalogos!$I$3:$J$34,2,FALSE)</f>
        <v>#N/A</v>
      </c>
      <c r="F298" s="3"/>
      <c r="G298" s="4">
        <v>28.3</v>
      </c>
      <c r="H298" s="4">
        <f t="shared" si="4"/>
        <v>0</v>
      </c>
      <c r="I298" t="e">
        <f>VLOOKUP(TablaObra5[[#This Row],[Obra]],Catalogos!$B$3:$C$8,2,FALSE)</f>
        <v>#N/A</v>
      </c>
    </row>
    <row r="299" spans="1:9">
      <c r="A299" s="2"/>
      <c r="E299" t="e">
        <f>VLOOKUP(TablaObra5[[#This Row],[Equipo]],Catalogos!$I$3:$J$34,2,FALSE)</f>
        <v>#N/A</v>
      </c>
      <c r="F299" s="3"/>
      <c r="G299" s="4">
        <v>28.3</v>
      </c>
      <c r="H299" s="4">
        <f t="shared" si="4"/>
        <v>0</v>
      </c>
      <c r="I299" t="e">
        <f>VLOOKUP(TablaObra5[[#This Row],[Obra]],Catalogos!$B$3:$C$8,2,FALSE)</f>
        <v>#N/A</v>
      </c>
    </row>
    <row r="300" spans="1:9">
      <c r="A300" s="2"/>
      <c r="E300" t="e">
        <f>VLOOKUP(TablaObra5[[#This Row],[Equipo]],Catalogos!$I$3:$J$34,2,FALSE)</f>
        <v>#N/A</v>
      </c>
      <c r="F300" s="3"/>
      <c r="G300" s="4">
        <v>28.3</v>
      </c>
      <c r="H300" s="4">
        <f t="shared" si="4"/>
        <v>0</v>
      </c>
      <c r="I300" t="e">
        <f>VLOOKUP(TablaObra5[[#This Row],[Obra]],Catalogos!$B$3:$C$8,2,FALSE)</f>
        <v>#N/A</v>
      </c>
    </row>
    <row r="301" spans="1:9">
      <c r="A301" s="2"/>
      <c r="E301" t="e">
        <f>VLOOKUP(TablaObra5[[#This Row],[Equipo]],Catalogos!$I$3:$J$34,2,FALSE)</f>
        <v>#N/A</v>
      </c>
      <c r="F301" s="3"/>
      <c r="G301" s="4">
        <v>28.3</v>
      </c>
      <c r="H301" s="4">
        <f t="shared" si="4"/>
        <v>0</v>
      </c>
      <c r="I301" t="e">
        <f>VLOOKUP(TablaObra5[[#This Row],[Obra]],Catalogos!$B$3:$C$8,2,FALSE)</f>
        <v>#N/A</v>
      </c>
    </row>
    <row r="302" spans="1:9">
      <c r="A302" s="2"/>
      <c r="E302" t="e">
        <f>VLOOKUP(TablaObra5[[#This Row],[Equipo]],Catalogos!$I$3:$J$34,2,FALSE)</f>
        <v>#N/A</v>
      </c>
      <c r="F302" s="3"/>
      <c r="G302" s="4">
        <v>28.3</v>
      </c>
      <c r="H302" s="4">
        <f t="shared" si="4"/>
        <v>0</v>
      </c>
      <c r="I302" t="e">
        <f>VLOOKUP(TablaObra5[[#This Row],[Obra]],Catalogos!$B$3:$C$8,2,FALSE)</f>
        <v>#N/A</v>
      </c>
    </row>
    <row r="303" spans="1:9">
      <c r="A303" s="2"/>
      <c r="E303" t="e">
        <f>VLOOKUP(TablaObra5[[#This Row],[Equipo]],Catalogos!$I$3:$J$34,2,FALSE)</f>
        <v>#N/A</v>
      </c>
      <c r="F303" s="3"/>
      <c r="G303" s="4">
        <v>28.3</v>
      </c>
      <c r="H303" s="4">
        <f t="shared" si="4"/>
        <v>0</v>
      </c>
      <c r="I303" t="e">
        <f>VLOOKUP(TablaObra5[[#This Row],[Obra]],Catalogos!$B$3:$C$8,2,FALSE)</f>
        <v>#N/A</v>
      </c>
    </row>
    <row r="304" spans="1:9">
      <c r="A304" s="2"/>
      <c r="E304" t="e">
        <f>VLOOKUP(TablaObra5[[#This Row],[Equipo]],Catalogos!$I$3:$J$34,2,FALSE)</f>
        <v>#N/A</v>
      </c>
      <c r="F304" s="3"/>
      <c r="G304" s="4">
        <v>28.3</v>
      </c>
      <c r="H304" s="4">
        <f t="shared" si="4"/>
        <v>0</v>
      </c>
      <c r="I304" t="e">
        <f>VLOOKUP(TablaObra5[[#This Row],[Obra]],Catalogos!$B$3:$C$8,2,FALSE)</f>
        <v>#N/A</v>
      </c>
    </row>
    <row r="305" spans="1:9">
      <c r="A305" s="2"/>
      <c r="E305" t="e">
        <f>VLOOKUP(TablaObra5[[#This Row],[Equipo]],Catalogos!$I$3:$J$34,2,FALSE)</f>
        <v>#N/A</v>
      </c>
      <c r="F305" s="3"/>
      <c r="G305" s="4">
        <v>28.3</v>
      </c>
      <c r="H305" s="4">
        <f t="shared" si="4"/>
        <v>0</v>
      </c>
      <c r="I305" t="e">
        <f>VLOOKUP(TablaObra5[[#This Row],[Obra]],Catalogos!$B$3:$C$8,2,FALSE)</f>
        <v>#N/A</v>
      </c>
    </row>
    <row r="306" spans="1:9">
      <c r="A306" s="2"/>
      <c r="E306" t="e">
        <f>VLOOKUP(TablaObra5[[#This Row],[Equipo]],Catalogos!$I$3:$J$34,2,FALSE)</f>
        <v>#N/A</v>
      </c>
      <c r="F306" s="3"/>
      <c r="G306" s="4">
        <v>28.3</v>
      </c>
      <c r="H306" s="4">
        <f t="shared" si="4"/>
        <v>0</v>
      </c>
      <c r="I306" t="e">
        <f>VLOOKUP(TablaObra5[[#This Row],[Obra]],Catalogos!$B$3:$C$8,2,FALSE)</f>
        <v>#N/A</v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81A2BCB4-9A02-457A-8743-3B88717955A6}">
          <x14:formula1>
            <xm:f>Catalogos!$B$4:$B$8</xm:f>
          </x14:formula1>
          <xm:sqref>B5:B306</xm:sqref>
        </x14:dataValidation>
        <x14:dataValidation type="list" allowBlank="1" showInputMessage="1" showErrorMessage="1" xr:uid="{EDD8FA59-820A-4415-A53B-84EF3A3D37B6}">
          <x14:formula1>
            <xm:f>Catalogos!$I$4:$I$34</xm:f>
          </x14:formula1>
          <xm:sqref>D5:D306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4"/>
  <sheetViews>
    <sheetView zoomScale="88" workbookViewId="0">
      <selection activeCell="L39" sqref="L39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s="406" t="s">
        <v>30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</row>
    <row r="2" spans="1:13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3" ht="27.6">
      <c r="A4" s="1" t="s">
        <v>11</v>
      </c>
      <c r="B4" s="1" t="s">
        <v>0</v>
      </c>
      <c r="C4" s="1" t="s">
        <v>33</v>
      </c>
      <c r="D4" s="1" t="s">
        <v>27</v>
      </c>
      <c r="E4" s="1" t="s">
        <v>28</v>
      </c>
      <c r="F4" s="1" t="s">
        <v>34</v>
      </c>
      <c r="G4" s="1" t="s">
        <v>17</v>
      </c>
      <c r="H4" s="1" t="s">
        <v>18</v>
      </c>
      <c r="I4" s="1" t="s">
        <v>35</v>
      </c>
      <c r="J4" s="1" t="s">
        <v>36</v>
      </c>
      <c r="K4" s="1" t="s">
        <v>19</v>
      </c>
    </row>
    <row r="5" spans="1:13">
      <c r="A5" s="2">
        <v>46181</v>
      </c>
      <c r="B5" t="s">
        <v>1</v>
      </c>
      <c r="C5" t="s">
        <v>54</v>
      </c>
      <c r="D5" t="s">
        <v>97</v>
      </c>
      <c r="E5" t="str">
        <f>VLOOKUP(TablaObra[[#This Row],[Equipo]],Catalogos!I$4:J$34,2,FALSE)</f>
        <v>NM-01</v>
      </c>
      <c r="F5" s="3">
        <v>30</v>
      </c>
      <c r="G5" s="4">
        <v>28.3</v>
      </c>
      <c r="H5" s="4">
        <f t="shared" ref="H5:H68" si="0">IFERROR(F5*G5,0)</f>
        <v>849</v>
      </c>
    </row>
    <row r="6" spans="1:13">
      <c r="A6" s="2">
        <v>46181</v>
      </c>
      <c r="B6" t="s">
        <v>1</v>
      </c>
      <c r="C6" t="s">
        <v>54</v>
      </c>
      <c r="D6" t="s">
        <v>51</v>
      </c>
      <c r="E6" t="str">
        <f>VLOOKUP(TablaObra[[#This Row],[Equipo]],Catalogos!I$4:J$34,2,FALSE)</f>
        <v>CP-01</v>
      </c>
      <c r="F6" s="3">
        <v>32</v>
      </c>
      <c r="G6" s="4">
        <v>28.3</v>
      </c>
      <c r="H6" s="4">
        <f t="shared" si="0"/>
        <v>905.6</v>
      </c>
    </row>
    <row r="7" spans="1:13">
      <c r="A7" s="2">
        <v>46181</v>
      </c>
      <c r="B7" t="s">
        <v>1</v>
      </c>
      <c r="C7" t="s">
        <v>54</v>
      </c>
      <c r="D7" t="s">
        <v>80</v>
      </c>
      <c r="E7" t="str">
        <f>VLOOKUP(TablaObra[[#This Row],[Equipo]],Catalogos!I$4:J$34,2,FALSE)</f>
        <v>PR-01</v>
      </c>
      <c r="F7" s="3">
        <v>277</v>
      </c>
      <c r="G7" s="4">
        <v>28.3</v>
      </c>
      <c r="H7" s="4">
        <f t="shared" si="0"/>
        <v>7839.1</v>
      </c>
    </row>
    <row r="8" spans="1:13">
      <c r="A8" s="2">
        <v>46181</v>
      </c>
      <c r="B8" t="s">
        <v>1</v>
      </c>
      <c r="C8" t="s">
        <v>54</v>
      </c>
      <c r="D8" t="s">
        <v>60</v>
      </c>
      <c r="E8" t="str">
        <f>VLOOKUP(TablaObra[[#This Row],[Equipo]],Catalogos!I$4:J$34,2,FALSE)</f>
        <v>RT-01</v>
      </c>
      <c r="F8" s="3">
        <v>30</v>
      </c>
      <c r="G8" s="4">
        <v>28.3</v>
      </c>
      <c r="H8" s="4">
        <f t="shared" si="0"/>
        <v>849</v>
      </c>
    </row>
    <row r="9" spans="1:13">
      <c r="A9" s="2">
        <v>46181</v>
      </c>
      <c r="B9" t="s">
        <v>2</v>
      </c>
      <c r="C9" t="s">
        <v>54</v>
      </c>
      <c r="D9" t="s">
        <v>76</v>
      </c>
      <c r="E9" t="str">
        <f>VLOOKUP(TablaObra[[#This Row],[Equipo]],Catalogos!I$4:J$34,2,FALSE)</f>
        <v>VG-01</v>
      </c>
      <c r="F9" s="3">
        <v>97</v>
      </c>
      <c r="G9" s="4">
        <v>28.3</v>
      </c>
      <c r="H9" s="4">
        <f t="shared" si="0"/>
        <v>2745.1</v>
      </c>
    </row>
    <row r="10" spans="1:13">
      <c r="A10" s="2">
        <v>46181</v>
      </c>
      <c r="B10" t="s">
        <v>3</v>
      </c>
      <c r="C10" t="s">
        <v>54</v>
      </c>
      <c r="D10" t="s">
        <v>87</v>
      </c>
      <c r="E10" t="str">
        <f>VLOOKUP(TablaObra[[#This Row],[Equipo]],Catalogos!I$4:J$34,2,FALSE)</f>
        <v>PR-02</v>
      </c>
      <c r="F10" s="3">
        <v>198</v>
      </c>
      <c r="G10" s="4">
        <v>28.3</v>
      </c>
      <c r="H10" s="4">
        <f t="shared" si="0"/>
        <v>5603.4000000000005</v>
      </c>
    </row>
    <row r="11" spans="1:13">
      <c r="A11" s="2">
        <v>46181</v>
      </c>
      <c r="B11" t="s">
        <v>3</v>
      </c>
      <c r="C11" t="s">
        <v>54</v>
      </c>
      <c r="D11" t="s">
        <v>108</v>
      </c>
      <c r="E11" t="str">
        <f>VLOOKUP(TablaObra[[#This Row],[Equipo]],Catalogos!I$4:J$34,2,FALSE)</f>
        <v>MX-01</v>
      </c>
      <c r="F11" s="3">
        <v>10</v>
      </c>
      <c r="G11" s="4">
        <v>28.3</v>
      </c>
      <c r="H11" s="4">
        <f t="shared" si="0"/>
        <v>283</v>
      </c>
    </row>
    <row r="12" spans="1:13">
      <c r="A12" s="2">
        <v>46181</v>
      </c>
      <c r="B12" t="s">
        <v>3</v>
      </c>
      <c r="C12" t="s">
        <v>54</v>
      </c>
      <c r="D12" t="s">
        <v>102</v>
      </c>
      <c r="E12" t="str">
        <f>VLOOKUP(TablaObra[[#This Row],[Equipo]],Catalogos!I$4:J$34,2,FALSE)</f>
        <v>NM-02</v>
      </c>
      <c r="F12" s="3">
        <v>27</v>
      </c>
      <c r="G12" s="4">
        <v>28.3</v>
      </c>
      <c r="H12" s="4">
        <f t="shared" si="0"/>
        <v>764.1</v>
      </c>
    </row>
    <row r="13" spans="1:13">
      <c r="A13" s="2">
        <v>46181</v>
      </c>
      <c r="B13" t="s">
        <v>3</v>
      </c>
      <c r="C13" t="s">
        <v>54</v>
      </c>
      <c r="D13" t="s">
        <v>110</v>
      </c>
      <c r="E13" t="str">
        <f>VLOOKUP(TablaObra[[#This Row],[Equipo]],Catalogos!I$4:J$34,2,FALSE)</f>
        <v>CPR-01</v>
      </c>
      <c r="F13" s="3">
        <v>30</v>
      </c>
      <c r="G13" s="4">
        <v>28.3</v>
      </c>
      <c r="H13" s="4">
        <f t="shared" si="0"/>
        <v>849</v>
      </c>
    </row>
    <row r="14" spans="1:13">
      <c r="A14" s="2">
        <v>46181</v>
      </c>
      <c r="B14" t="s">
        <v>3</v>
      </c>
      <c r="C14" t="s">
        <v>54</v>
      </c>
      <c r="D14" t="s">
        <v>93</v>
      </c>
      <c r="E14" t="str">
        <f>VLOOKUP(TablaObra[[#This Row],[Equipo]],Catalogos!I$4:J$34,2,FALSE)</f>
        <v>RT-02</v>
      </c>
      <c r="F14" s="3">
        <v>40</v>
      </c>
      <c r="G14" s="4">
        <v>28.3</v>
      </c>
      <c r="H14" s="4">
        <f t="shared" si="0"/>
        <v>1132</v>
      </c>
      <c r="M14" s="3">
        <f>SUM(F5:F64)</f>
        <v>4697</v>
      </c>
    </row>
    <row r="15" spans="1:13">
      <c r="A15" s="2">
        <v>46181</v>
      </c>
      <c r="B15" t="s">
        <v>3</v>
      </c>
      <c r="C15" t="s">
        <v>54</v>
      </c>
      <c r="D15" t="s">
        <v>98</v>
      </c>
      <c r="E15" t="str">
        <f>VLOOKUP(TablaObra[[#This Row],[Equipo]],Catalogos!I$4:J$34,2,FALSE)</f>
        <v>VG-02</v>
      </c>
      <c r="F15" s="3">
        <v>120</v>
      </c>
      <c r="G15" s="4">
        <v>28.3</v>
      </c>
      <c r="H15" s="4">
        <f t="shared" si="0"/>
        <v>3396</v>
      </c>
    </row>
    <row r="16" spans="1:13">
      <c r="A16" s="2">
        <v>46181</v>
      </c>
      <c r="B16" t="s">
        <v>3</v>
      </c>
      <c r="C16" t="s">
        <v>54</v>
      </c>
      <c r="D16" t="s">
        <v>104</v>
      </c>
      <c r="E16" t="str">
        <f>VLOOKUP(TablaObra[[#This Row],[Equipo]],Catalogos!I$4:J$34,2,FALSE)</f>
        <v>PT-02</v>
      </c>
      <c r="F16" s="3">
        <v>30</v>
      </c>
      <c r="G16" s="4">
        <v>28.3</v>
      </c>
      <c r="H16" s="4">
        <f t="shared" si="0"/>
        <v>849</v>
      </c>
    </row>
    <row r="17" spans="1:8">
      <c r="A17" s="2">
        <v>46181</v>
      </c>
      <c r="B17" t="s">
        <v>126</v>
      </c>
      <c r="C17" t="s">
        <v>74</v>
      </c>
      <c r="D17" t="s">
        <v>127</v>
      </c>
      <c r="E17" t="str">
        <f>VLOOKUP(TablaObra[[#This Row],[Equipo]],Catalogos!I$4:J$34,2,FALSE)</f>
        <v>BD-01</v>
      </c>
      <c r="F17" s="3">
        <v>100</v>
      </c>
      <c r="G17" s="4">
        <v>28.3</v>
      </c>
      <c r="H17" s="4">
        <f t="shared" si="0"/>
        <v>2830</v>
      </c>
    </row>
    <row r="18" spans="1:8">
      <c r="A18" s="2">
        <v>46181</v>
      </c>
      <c r="B18" t="s">
        <v>130</v>
      </c>
      <c r="C18" t="s">
        <v>74</v>
      </c>
      <c r="D18" t="s">
        <v>127</v>
      </c>
      <c r="E18" t="str">
        <f>VLOOKUP(TablaObra[[#This Row],[Equipo]],Catalogos!I$4:J$34,2,FALSE)</f>
        <v>BD-01</v>
      </c>
      <c r="F18" s="3">
        <v>200</v>
      </c>
      <c r="G18" s="4">
        <v>28.3</v>
      </c>
      <c r="H18" s="4">
        <f t="shared" si="0"/>
        <v>5660</v>
      </c>
    </row>
    <row r="19" spans="1:8">
      <c r="A19" s="2">
        <v>46181</v>
      </c>
      <c r="B19" t="s">
        <v>130</v>
      </c>
      <c r="C19" t="s">
        <v>74</v>
      </c>
      <c r="D19" t="s">
        <v>127</v>
      </c>
      <c r="E19" t="str">
        <f>VLOOKUP(TablaObra[[#This Row],[Equipo]],Catalogos!I$4:J$34,2,FALSE)</f>
        <v>BD-01</v>
      </c>
      <c r="F19" s="3">
        <v>209</v>
      </c>
      <c r="G19" s="4">
        <v>28.3</v>
      </c>
      <c r="H19" s="4">
        <f t="shared" si="0"/>
        <v>5914.7</v>
      </c>
    </row>
    <row r="20" spans="1:8">
      <c r="A20" s="2">
        <v>46182</v>
      </c>
      <c r="B20" t="s">
        <v>3</v>
      </c>
      <c r="C20" t="s">
        <v>54</v>
      </c>
      <c r="D20" t="s">
        <v>91</v>
      </c>
      <c r="E20" t="str">
        <f>VLOOKUP(TablaObra[[#This Row],[Equipo]],Catalogos!I$4:J$34,2,FALSE)</f>
        <v>BR-02</v>
      </c>
      <c r="F20" s="3">
        <v>30</v>
      </c>
      <c r="G20" s="4">
        <v>28.3</v>
      </c>
      <c r="H20" s="4">
        <f t="shared" si="0"/>
        <v>849</v>
      </c>
    </row>
    <row r="21" spans="1:8">
      <c r="A21" s="2">
        <v>46182</v>
      </c>
      <c r="B21" t="s">
        <v>3</v>
      </c>
      <c r="C21" t="s">
        <v>54</v>
      </c>
      <c r="D21" t="s">
        <v>95</v>
      </c>
      <c r="E21" t="str">
        <f>VLOOKUP(TablaObra[[#This Row],[Equipo]],Catalogos!I$4:J$34,2,FALSE)</f>
        <v>BG-01</v>
      </c>
      <c r="F21" s="3">
        <v>100</v>
      </c>
      <c r="G21" s="4">
        <v>28.3</v>
      </c>
      <c r="H21" s="4">
        <f t="shared" si="0"/>
        <v>2830</v>
      </c>
    </row>
    <row r="22" spans="1:8">
      <c r="A22" s="2">
        <v>46182</v>
      </c>
      <c r="B22" t="s">
        <v>3</v>
      </c>
      <c r="C22" t="s">
        <v>54</v>
      </c>
      <c r="D22" t="s">
        <v>100</v>
      </c>
      <c r="E22" t="str">
        <f>VLOOKUP(TablaObra[[#This Row],[Equipo]],Catalogos!I$4:J$34,2,FALSE)</f>
        <v>TD-01</v>
      </c>
      <c r="F22" s="3">
        <v>30</v>
      </c>
      <c r="G22" s="4">
        <v>28.3</v>
      </c>
      <c r="H22" s="4">
        <f t="shared" si="0"/>
        <v>849</v>
      </c>
    </row>
    <row r="23" spans="1:8">
      <c r="A23" s="2">
        <v>46182</v>
      </c>
      <c r="B23" t="s">
        <v>3</v>
      </c>
      <c r="C23" t="s">
        <v>54</v>
      </c>
      <c r="D23" t="s">
        <v>87</v>
      </c>
      <c r="E23" t="str">
        <f>VLOOKUP(TablaObra[[#This Row],[Equipo]],Catalogos!I$4:J$34,2,FALSE)</f>
        <v>PR-02</v>
      </c>
      <c r="F23" s="3">
        <v>150</v>
      </c>
      <c r="G23" s="4">
        <v>28.3</v>
      </c>
      <c r="H23" s="4">
        <f t="shared" si="0"/>
        <v>4245</v>
      </c>
    </row>
    <row r="24" spans="1:8">
      <c r="A24" s="2">
        <v>46182</v>
      </c>
      <c r="B24" t="s">
        <v>3</v>
      </c>
      <c r="C24" t="s">
        <v>54</v>
      </c>
      <c r="D24" t="s">
        <v>104</v>
      </c>
      <c r="E24" t="str">
        <f>VLOOKUP(TablaObra[[#This Row],[Equipo]],Catalogos!I$4:J$34,2,FALSE)</f>
        <v>PT-02</v>
      </c>
      <c r="F24" s="3">
        <v>50</v>
      </c>
      <c r="G24" s="4">
        <v>28.3</v>
      </c>
      <c r="H24" s="4">
        <f t="shared" si="0"/>
        <v>1415</v>
      </c>
    </row>
    <row r="25" spans="1:8">
      <c r="A25" s="2">
        <v>46182</v>
      </c>
      <c r="B25" t="s">
        <v>3</v>
      </c>
      <c r="C25" t="s">
        <v>54</v>
      </c>
      <c r="D25" t="s">
        <v>98</v>
      </c>
      <c r="E25" t="str">
        <f>VLOOKUP(TablaObra[[#This Row],[Equipo]],Catalogos!I$4:J$34,2,FALSE)</f>
        <v>VG-02</v>
      </c>
      <c r="F25" s="3">
        <v>136</v>
      </c>
      <c r="G25" s="4">
        <v>28.3</v>
      </c>
      <c r="H25" s="4">
        <f t="shared" si="0"/>
        <v>3848.8</v>
      </c>
    </row>
    <row r="26" spans="1:8">
      <c r="A26" s="2">
        <v>46182</v>
      </c>
      <c r="B26" t="s">
        <v>3</v>
      </c>
      <c r="C26" t="s">
        <v>54</v>
      </c>
      <c r="D26" t="s">
        <v>100</v>
      </c>
      <c r="E26" t="str">
        <f>VLOOKUP(TablaObra[[#This Row],[Equipo]],Catalogos!I$4:J$34,2,FALSE)</f>
        <v>TD-01</v>
      </c>
      <c r="F26" s="3">
        <v>30</v>
      </c>
      <c r="G26" s="4">
        <v>28.3</v>
      </c>
      <c r="H26" s="4">
        <f t="shared" si="0"/>
        <v>849</v>
      </c>
    </row>
    <row r="27" spans="1:8">
      <c r="A27" s="2">
        <v>46182</v>
      </c>
      <c r="B27" t="s">
        <v>3</v>
      </c>
      <c r="C27" t="s">
        <v>54</v>
      </c>
      <c r="D27" t="s">
        <v>97</v>
      </c>
      <c r="E27" t="str">
        <f>VLOOKUP(TablaObra[[#This Row],[Equipo]],Catalogos!I$4:J$34,2,FALSE)</f>
        <v>NM-01</v>
      </c>
      <c r="F27" s="3">
        <v>30</v>
      </c>
      <c r="G27" s="4">
        <v>28.3</v>
      </c>
      <c r="H27" s="4">
        <f t="shared" si="0"/>
        <v>849</v>
      </c>
    </row>
    <row r="28" spans="1:8">
      <c r="A28" s="2">
        <v>46182</v>
      </c>
      <c r="B28" t="s">
        <v>3</v>
      </c>
      <c r="C28" t="s">
        <v>54</v>
      </c>
      <c r="D28" t="s">
        <v>95</v>
      </c>
      <c r="E28" t="str">
        <f>VLOOKUP(TablaObra[[#This Row],[Equipo]],Catalogos!I$4:J$34,2,FALSE)</f>
        <v>BG-01</v>
      </c>
      <c r="F28" s="3">
        <v>100</v>
      </c>
      <c r="G28" s="4">
        <v>28.3</v>
      </c>
      <c r="H28" s="4">
        <f t="shared" si="0"/>
        <v>2830</v>
      </c>
    </row>
    <row r="29" spans="1:8">
      <c r="A29" s="2">
        <v>46182</v>
      </c>
      <c r="B29" t="s">
        <v>3</v>
      </c>
      <c r="C29" t="s">
        <v>54</v>
      </c>
      <c r="D29" t="s">
        <v>93</v>
      </c>
      <c r="E29" t="str">
        <f>VLOOKUP(TablaObra[[#This Row],[Equipo]],Catalogos!I$4:J$34,2,FALSE)</f>
        <v>RT-02</v>
      </c>
      <c r="F29" s="3">
        <v>60</v>
      </c>
      <c r="G29" s="4">
        <v>28.3</v>
      </c>
      <c r="H29" s="4">
        <f t="shared" si="0"/>
        <v>1698</v>
      </c>
    </row>
    <row r="30" spans="1:8">
      <c r="A30" s="2">
        <v>46182</v>
      </c>
      <c r="B30" t="s">
        <v>3</v>
      </c>
      <c r="C30" t="s">
        <v>54</v>
      </c>
      <c r="D30" t="s">
        <v>110</v>
      </c>
      <c r="E30" t="str">
        <f>VLOOKUP(TablaObra[[#This Row],[Equipo]],Catalogos!I$4:J$34,2,FALSE)</f>
        <v>CPR-01</v>
      </c>
      <c r="F30" s="3">
        <v>20</v>
      </c>
      <c r="G30" s="4">
        <v>28.3</v>
      </c>
      <c r="H30" s="4">
        <f t="shared" si="0"/>
        <v>566</v>
      </c>
    </row>
    <row r="31" spans="1:8">
      <c r="A31" s="2">
        <v>46182</v>
      </c>
      <c r="B31" t="s">
        <v>2</v>
      </c>
      <c r="C31" t="s">
        <v>74</v>
      </c>
      <c r="D31" t="s">
        <v>60</v>
      </c>
      <c r="E31" t="str">
        <f>VLOOKUP(TablaObra[[#This Row],[Equipo]],Catalogos!I$4:J$34,2,FALSE)</f>
        <v>RT-01</v>
      </c>
      <c r="F31" s="3">
        <v>70</v>
      </c>
      <c r="G31" s="4">
        <v>28.3</v>
      </c>
      <c r="H31" s="4">
        <f t="shared" si="0"/>
        <v>1981</v>
      </c>
    </row>
    <row r="32" spans="1:8">
      <c r="A32" s="2">
        <v>46182</v>
      </c>
      <c r="B32" t="s">
        <v>2</v>
      </c>
      <c r="C32" t="s">
        <v>74</v>
      </c>
      <c r="D32" t="s">
        <v>116</v>
      </c>
      <c r="E32" t="str">
        <f>VLOOKUP(TablaObra[[#This Row],[Equipo]],Catalogos!I$4:J$34,2,FALSE)</f>
        <v>DR-01</v>
      </c>
      <c r="F32" s="3">
        <v>50</v>
      </c>
      <c r="G32" s="4">
        <v>28.3</v>
      </c>
      <c r="H32" s="4">
        <f t="shared" si="0"/>
        <v>1415</v>
      </c>
    </row>
    <row r="33" spans="1:11">
      <c r="A33" s="2">
        <v>46182</v>
      </c>
      <c r="B33" t="s">
        <v>2</v>
      </c>
      <c r="C33" t="s">
        <v>74</v>
      </c>
      <c r="D33" t="s">
        <v>65</v>
      </c>
      <c r="E33" t="str">
        <f>VLOOKUP(TablaObra[[#This Row],[Equipo]],Catalogos!I$4:J$34,2,FALSE)</f>
        <v>PT-01</v>
      </c>
      <c r="F33" s="3">
        <v>60</v>
      </c>
      <c r="G33" s="4">
        <v>28.3</v>
      </c>
      <c r="H33" s="4">
        <f t="shared" si="0"/>
        <v>1698</v>
      </c>
    </row>
    <row r="34" spans="1:11">
      <c r="A34" s="2">
        <v>46183</v>
      </c>
      <c r="B34" t="s">
        <v>1</v>
      </c>
      <c r="C34" t="s">
        <v>54</v>
      </c>
      <c r="D34" t="s">
        <v>81</v>
      </c>
      <c r="E34" t="str">
        <f>VLOOKUP(TablaObra[[#This Row],[Equipo]],Catalogos!I$4:J$34,2,FALSE)</f>
        <v>BR-01</v>
      </c>
      <c r="F34" s="3">
        <v>20</v>
      </c>
      <c r="G34" s="4">
        <v>28.3</v>
      </c>
      <c r="H34" s="4">
        <f t="shared" si="0"/>
        <v>566</v>
      </c>
    </row>
    <row r="35" spans="1:11">
      <c r="A35" s="2">
        <v>46183</v>
      </c>
      <c r="B35" t="s">
        <v>1</v>
      </c>
      <c r="C35" t="s">
        <v>54</v>
      </c>
      <c r="D35" t="s">
        <v>80</v>
      </c>
      <c r="E35" t="str">
        <f>VLOOKUP(TablaObra[[#This Row],[Equipo]],Catalogos!I$4:J$34,2,FALSE)</f>
        <v>PR-01</v>
      </c>
      <c r="F35" s="3">
        <v>250</v>
      </c>
      <c r="G35" s="4">
        <v>28.3</v>
      </c>
      <c r="H35" s="4">
        <f t="shared" si="0"/>
        <v>7075</v>
      </c>
    </row>
    <row r="36" spans="1:11">
      <c r="A36" s="2">
        <v>46183</v>
      </c>
      <c r="B36" t="s">
        <v>1</v>
      </c>
      <c r="C36" t="s">
        <v>54</v>
      </c>
      <c r="D36" t="s">
        <v>60</v>
      </c>
      <c r="E36" t="str">
        <f>VLOOKUP(TablaObra[[#This Row],[Equipo]],Catalogos!I$4:J$34,2,FALSE)</f>
        <v>RT-01</v>
      </c>
      <c r="F36" s="3">
        <v>30</v>
      </c>
      <c r="G36" s="4">
        <v>28.3</v>
      </c>
      <c r="H36" s="4">
        <f t="shared" si="0"/>
        <v>849</v>
      </c>
    </row>
    <row r="37" spans="1:11">
      <c r="A37" s="2">
        <v>46183</v>
      </c>
      <c r="B37" t="s">
        <v>126</v>
      </c>
      <c r="C37" t="s">
        <v>74</v>
      </c>
      <c r="D37" t="s">
        <v>127</v>
      </c>
      <c r="E37" t="str">
        <f>VLOOKUP(TablaObra[[#This Row],[Equipo]],Catalogos!I$4:J$34,2,FALSE)</f>
        <v>BD-01</v>
      </c>
      <c r="F37" s="3">
        <v>100</v>
      </c>
      <c r="G37" s="4">
        <v>28.3</v>
      </c>
      <c r="H37" s="4">
        <f t="shared" si="0"/>
        <v>2830</v>
      </c>
    </row>
    <row r="38" spans="1:11">
      <c r="A38" s="2">
        <v>46184</v>
      </c>
      <c r="B38" t="s">
        <v>1</v>
      </c>
      <c r="C38" t="s">
        <v>54</v>
      </c>
      <c r="D38" t="s">
        <v>51</v>
      </c>
      <c r="E38" t="str">
        <f>VLOOKUP(TablaObra[[#This Row],[Equipo]],Catalogos!I$4:J$34,2,FALSE)</f>
        <v>CP-01</v>
      </c>
      <c r="F38" s="3">
        <v>30</v>
      </c>
      <c r="G38" s="4">
        <v>28.3</v>
      </c>
      <c r="H38" s="4">
        <f t="shared" si="0"/>
        <v>849</v>
      </c>
      <c r="K38" t="s">
        <v>142</v>
      </c>
    </row>
    <row r="39" spans="1:11">
      <c r="A39" s="2">
        <v>46184</v>
      </c>
      <c r="B39" t="s">
        <v>1</v>
      </c>
      <c r="C39" t="s">
        <v>54</v>
      </c>
      <c r="D39" t="s">
        <v>97</v>
      </c>
      <c r="E39" t="str">
        <f>VLOOKUP(TablaObra[[#This Row],[Equipo]],Catalogos!I$4:J$34,2,FALSE)</f>
        <v>NM-01</v>
      </c>
      <c r="F39" s="3">
        <v>30</v>
      </c>
      <c r="G39" s="4">
        <v>28.3</v>
      </c>
      <c r="H39" s="4">
        <f t="shared" si="0"/>
        <v>849</v>
      </c>
      <c r="K39" t="s">
        <v>142</v>
      </c>
    </row>
    <row r="40" spans="1:11">
      <c r="A40" s="2">
        <v>46184</v>
      </c>
      <c r="B40" t="s">
        <v>1</v>
      </c>
      <c r="C40" t="s">
        <v>54</v>
      </c>
      <c r="D40" t="s">
        <v>76</v>
      </c>
      <c r="E40" t="str">
        <f>VLOOKUP(TablaObra[[#This Row],[Equipo]],Catalogos!I$4:J$34,2,FALSE)</f>
        <v>VG-01</v>
      </c>
      <c r="F40" s="3">
        <v>136</v>
      </c>
      <c r="G40" s="4">
        <v>28.3</v>
      </c>
      <c r="H40" s="4">
        <f t="shared" si="0"/>
        <v>3848.8</v>
      </c>
      <c r="K40" t="s">
        <v>142</v>
      </c>
    </row>
    <row r="41" spans="1:11">
      <c r="A41" s="2">
        <v>46184</v>
      </c>
      <c r="B41" t="s">
        <v>1</v>
      </c>
      <c r="C41" t="s">
        <v>54</v>
      </c>
      <c r="D41" t="s">
        <v>81</v>
      </c>
      <c r="E41" t="str">
        <f>VLOOKUP(TablaObra[[#This Row],[Equipo]],Catalogos!I$4:J$34,2,FALSE)</f>
        <v>BR-01</v>
      </c>
      <c r="F41" s="3">
        <v>20</v>
      </c>
      <c r="G41" s="4">
        <v>28.3</v>
      </c>
      <c r="H41" s="4">
        <f t="shared" si="0"/>
        <v>566</v>
      </c>
      <c r="K41" t="s">
        <v>142</v>
      </c>
    </row>
    <row r="42" spans="1:11">
      <c r="A42" s="2">
        <v>46184</v>
      </c>
      <c r="B42" t="s">
        <v>1</v>
      </c>
      <c r="C42" t="s">
        <v>54</v>
      </c>
      <c r="D42" t="s">
        <v>60</v>
      </c>
      <c r="E42" t="str">
        <f>VLOOKUP(TablaObra[[#This Row],[Equipo]],Catalogos!I$4:J$34,2,FALSE)</f>
        <v>RT-01</v>
      </c>
      <c r="F42" s="3">
        <v>20</v>
      </c>
      <c r="G42" s="4">
        <v>28.3</v>
      </c>
      <c r="H42" s="4">
        <f t="shared" si="0"/>
        <v>566</v>
      </c>
      <c r="K42" t="s">
        <v>142</v>
      </c>
    </row>
    <row r="43" spans="1:11">
      <c r="A43" s="2">
        <v>46184</v>
      </c>
      <c r="B43" t="s">
        <v>1</v>
      </c>
      <c r="C43" t="s">
        <v>54</v>
      </c>
      <c r="D43" t="s">
        <v>108</v>
      </c>
      <c r="E43" t="str">
        <f>VLOOKUP(TablaObra[[#This Row],[Equipo]],Catalogos!I$4:J$34,2,FALSE)</f>
        <v>MX-01</v>
      </c>
      <c r="F43" s="3">
        <v>20</v>
      </c>
      <c r="G43" s="4">
        <v>28.3</v>
      </c>
      <c r="H43" s="4">
        <f t="shared" si="0"/>
        <v>566</v>
      </c>
      <c r="K43" t="s">
        <v>142</v>
      </c>
    </row>
    <row r="44" spans="1:11">
      <c r="A44" s="2">
        <v>46184</v>
      </c>
      <c r="B44" t="s">
        <v>130</v>
      </c>
      <c r="C44" t="s">
        <v>74</v>
      </c>
      <c r="D44" t="s">
        <v>133</v>
      </c>
      <c r="E44" t="str">
        <f>VLOOKUP(TablaObra[[#This Row],[Equipo]],Catalogos!I$4:J$34,2,FALSE)</f>
        <v>PL-01</v>
      </c>
      <c r="F44" s="3">
        <v>238</v>
      </c>
      <c r="G44" s="4">
        <v>28.3</v>
      </c>
      <c r="H44" s="4">
        <f t="shared" si="0"/>
        <v>6735.4000000000005</v>
      </c>
    </row>
    <row r="45" spans="1:11">
      <c r="A45" s="2">
        <v>46184</v>
      </c>
      <c r="B45" t="s">
        <v>2</v>
      </c>
      <c r="C45" t="s">
        <v>74</v>
      </c>
      <c r="D45" t="s">
        <v>65</v>
      </c>
      <c r="E45" t="str">
        <f>VLOOKUP(TablaObra[[#This Row],[Equipo]],Catalogos!I$4:J$34,2,FALSE)</f>
        <v>PT-01</v>
      </c>
      <c r="F45" s="3">
        <v>80</v>
      </c>
      <c r="G45" s="4">
        <v>28.3</v>
      </c>
      <c r="H45" s="4">
        <f t="shared" si="0"/>
        <v>2264</v>
      </c>
    </row>
    <row r="46" spans="1:11">
      <c r="A46" s="2">
        <v>46184</v>
      </c>
      <c r="B46" t="s">
        <v>2</v>
      </c>
      <c r="C46" t="s">
        <v>74</v>
      </c>
      <c r="D46" t="s">
        <v>110</v>
      </c>
      <c r="E46" t="str">
        <f>VLOOKUP(TablaObra[[#This Row],[Equipo]],Catalogos!I$4:J$34,2,FALSE)</f>
        <v>CPR-01</v>
      </c>
      <c r="F46" s="3">
        <v>50</v>
      </c>
      <c r="G46" s="4">
        <v>28.3</v>
      </c>
      <c r="H46" s="4">
        <f t="shared" si="0"/>
        <v>1415</v>
      </c>
    </row>
    <row r="47" spans="1:11">
      <c r="A47" s="2">
        <v>46184</v>
      </c>
      <c r="B47" t="s">
        <v>2</v>
      </c>
      <c r="C47" t="s">
        <v>74</v>
      </c>
      <c r="D47" t="s">
        <v>60</v>
      </c>
      <c r="E47" t="str">
        <f>VLOOKUP(TablaObra[[#This Row],[Equipo]],Catalogos!I$4:J$34,2,FALSE)</f>
        <v>RT-01</v>
      </c>
      <c r="F47" s="3">
        <v>70</v>
      </c>
      <c r="G47" s="4">
        <v>28.3</v>
      </c>
      <c r="H47" s="4">
        <f t="shared" si="0"/>
        <v>1981</v>
      </c>
    </row>
    <row r="48" spans="1:11">
      <c r="A48" s="2">
        <v>46184</v>
      </c>
      <c r="B48" t="s">
        <v>2</v>
      </c>
      <c r="C48" t="s">
        <v>74</v>
      </c>
      <c r="D48" t="s">
        <v>106</v>
      </c>
      <c r="E48" t="str">
        <f>VLOOKUP(TablaObra[[#This Row],[Equipo]],Catalogos!I$4:J$34,2,FALSE)</f>
        <v>CI-01</v>
      </c>
      <c r="F48" s="3">
        <v>80</v>
      </c>
      <c r="G48" s="4">
        <v>28.3</v>
      </c>
      <c r="H48" s="4">
        <f t="shared" si="0"/>
        <v>2264</v>
      </c>
    </row>
    <row r="49" spans="1:8">
      <c r="A49" s="2">
        <v>46184</v>
      </c>
      <c r="B49" t="s">
        <v>2</v>
      </c>
      <c r="C49" t="s">
        <v>74</v>
      </c>
      <c r="D49" t="s">
        <v>76</v>
      </c>
      <c r="E49" t="str">
        <f>VLOOKUP(TablaObra[[#This Row],[Equipo]],Catalogos!I$4:J$34,2,FALSE)</f>
        <v>VG-01</v>
      </c>
      <c r="F49" s="3">
        <v>185</v>
      </c>
      <c r="G49" s="4">
        <v>28.3</v>
      </c>
      <c r="H49" s="4">
        <f t="shared" si="0"/>
        <v>5235.5</v>
      </c>
    </row>
    <row r="50" spans="1:8">
      <c r="A50" s="2">
        <v>46184</v>
      </c>
      <c r="B50" t="s">
        <v>2</v>
      </c>
      <c r="C50" t="s">
        <v>74</v>
      </c>
      <c r="D50" t="s">
        <v>116</v>
      </c>
      <c r="E50" t="str">
        <f>VLOOKUP(TablaObra[[#This Row],[Equipo]],Catalogos!I$4:J$34,2,FALSE)</f>
        <v>DR-01</v>
      </c>
      <c r="F50" s="3">
        <v>50</v>
      </c>
      <c r="G50" s="4">
        <v>28.3</v>
      </c>
      <c r="H50" s="4">
        <f t="shared" si="0"/>
        <v>1415</v>
      </c>
    </row>
    <row r="51" spans="1:8">
      <c r="A51" s="2">
        <v>46184</v>
      </c>
      <c r="B51" t="s">
        <v>2</v>
      </c>
      <c r="C51" t="s">
        <v>74</v>
      </c>
      <c r="D51" t="s">
        <v>116</v>
      </c>
      <c r="E51" t="str">
        <f>VLOOKUP(TablaObra[[#This Row],[Equipo]],Catalogos!I$4:J$34,2,FALSE)</f>
        <v>DR-01</v>
      </c>
      <c r="F51" s="3">
        <v>40</v>
      </c>
      <c r="G51" s="4">
        <v>28.3</v>
      </c>
      <c r="H51" s="4">
        <f t="shared" si="0"/>
        <v>1132</v>
      </c>
    </row>
    <row r="52" spans="1:8">
      <c r="A52" s="2">
        <v>46184</v>
      </c>
      <c r="B52" t="s">
        <v>2</v>
      </c>
      <c r="C52" t="s">
        <v>74</v>
      </c>
      <c r="D52" t="s">
        <v>97</v>
      </c>
      <c r="E52" t="str">
        <f>VLOOKUP(TablaObra[[#This Row],[Equipo]],Catalogos!I$4:J$34,2,FALSE)</f>
        <v>NM-01</v>
      </c>
      <c r="F52" s="3">
        <v>40</v>
      </c>
      <c r="G52" s="4">
        <v>28.3</v>
      </c>
      <c r="H52" s="4">
        <f t="shared" si="0"/>
        <v>1132</v>
      </c>
    </row>
    <row r="53" spans="1:8">
      <c r="A53" s="2">
        <v>46185</v>
      </c>
      <c r="B53" t="s">
        <v>3</v>
      </c>
      <c r="C53" t="s">
        <v>54</v>
      </c>
      <c r="D53" t="s">
        <v>100</v>
      </c>
      <c r="E53" t="str">
        <f>VLOOKUP(TablaObra[[#This Row],[Equipo]],Catalogos!I$4:J$34,2,FALSE)</f>
        <v>TD-01</v>
      </c>
      <c r="F53" s="3">
        <v>32</v>
      </c>
      <c r="G53" s="4">
        <v>28.3</v>
      </c>
      <c r="H53" s="4">
        <f t="shared" si="0"/>
        <v>905.6</v>
      </c>
    </row>
    <row r="54" spans="1:8">
      <c r="A54" s="2">
        <v>46185</v>
      </c>
      <c r="B54" t="s">
        <v>3</v>
      </c>
      <c r="C54" t="s">
        <v>54</v>
      </c>
      <c r="D54" t="s">
        <v>102</v>
      </c>
      <c r="E54" t="str">
        <f>VLOOKUP(TablaObra[[#This Row],[Equipo]],Catalogos!I$4:J$34,2,FALSE)</f>
        <v>NM-02</v>
      </c>
      <c r="F54" s="3">
        <v>30</v>
      </c>
      <c r="G54" s="4">
        <v>28.3</v>
      </c>
      <c r="H54" s="4">
        <f t="shared" si="0"/>
        <v>849</v>
      </c>
    </row>
    <row r="55" spans="1:8">
      <c r="A55" s="2">
        <v>46185</v>
      </c>
      <c r="B55" t="s">
        <v>3</v>
      </c>
      <c r="C55" t="s">
        <v>54</v>
      </c>
      <c r="D55" t="s">
        <v>91</v>
      </c>
      <c r="E55" t="str">
        <f>VLOOKUP(TablaObra[[#This Row],[Equipo]],Catalogos!I$4:J$34,2,FALSE)</f>
        <v>BR-02</v>
      </c>
      <c r="F55" s="3">
        <v>30</v>
      </c>
      <c r="G55" s="4">
        <v>28.3</v>
      </c>
      <c r="H55" s="4">
        <f t="shared" si="0"/>
        <v>849</v>
      </c>
    </row>
    <row r="56" spans="1:8">
      <c r="A56" s="2">
        <v>46185</v>
      </c>
      <c r="B56" t="s">
        <v>3</v>
      </c>
      <c r="C56" t="s">
        <v>54</v>
      </c>
      <c r="D56" t="s">
        <v>93</v>
      </c>
      <c r="E56" t="str">
        <f>VLOOKUP(TablaObra[[#This Row],[Equipo]],Catalogos!I$4:J$34,2,FALSE)</f>
        <v>RT-02</v>
      </c>
      <c r="F56" s="3">
        <v>50</v>
      </c>
      <c r="G56" s="4">
        <v>28.3</v>
      </c>
      <c r="H56" s="4">
        <f t="shared" si="0"/>
        <v>1415</v>
      </c>
    </row>
    <row r="57" spans="1:8">
      <c r="A57" s="2">
        <v>46185</v>
      </c>
      <c r="B57" t="s">
        <v>3</v>
      </c>
      <c r="C57" t="s">
        <v>54</v>
      </c>
      <c r="D57" t="s">
        <v>98</v>
      </c>
      <c r="E57" t="str">
        <f>VLOOKUP(TablaObra[[#This Row],[Equipo]],Catalogos!I$4:J$34,2,FALSE)</f>
        <v>VG-02</v>
      </c>
      <c r="F57" s="3">
        <v>120</v>
      </c>
      <c r="G57" s="4">
        <v>28.3</v>
      </c>
      <c r="H57" s="4">
        <f t="shared" si="0"/>
        <v>3396</v>
      </c>
    </row>
    <row r="58" spans="1:8">
      <c r="A58" s="2">
        <v>46185</v>
      </c>
      <c r="B58" t="s">
        <v>3</v>
      </c>
      <c r="C58" t="s">
        <v>54</v>
      </c>
      <c r="D58" t="s">
        <v>104</v>
      </c>
      <c r="E58" t="str">
        <f>VLOOKUP(TablaObra[[#This Row],[Equipo]],Catalogos!I$4:J$34,2,FALSE)</f>
        <v>PT-02</v>
      </c>
      <c r="F58" s="3">
        <v>40</v>
      </c>
      <c r="G58" s="4">
        <v>28.3</v>
      </c>
      <c r="H58" s="4">
        <f t="shared" si="0"/>
        <v>1132</v>
      </c>
    </row>
    <row r="59" spans="1:8">
      <c r="A59" s="2">
        <v>46185</v>
      </c>
      <c r="B59" t="s">
        <v>3</v>
      </c>
      <c r="C59" t="s">
        <v>54</v>
      </c>
      <c r="D59" t="s">
        <v>87</v>
      </c>
      <c r="E59" t="str">
        <f>VLOOKUP(TablaObra[[#This Row],[Equipo]],Catalogos!I$4:J$34,2,FALSE)</f>
        <v>PR-02</v>
      </c>
      <c r="F59" s="3">
        <v>200</v>
      </c>
      <c r="G59" s="4">
        <v>28.3</v>
      </c>
      <c r="H59" s="4">
        <f t="shared" si="0"/>
        <v>5660</v>
      </c>
    </row>
    <row r="60" spans="1:8">
      <c r="A60" s="2">
        <v>46185</v>
      </c>
      <c r="B60" t="s">
        <v>1</v>
      </c>
      <c r="C60" t="s">
        <v>54</v>
      </c>
      <c r="D60" t="s">
        <v>81</v>
      </c>
      <c r="E60" t="str">
        <f>VLOOKUP(TablaObra[[#This Row],[Equipo]],Catalogos!I$4:J$34,2,FALSE)</f>
        <v>BR-01</v>
      </c>
      <c r="F60" s="3">
        <v>20</v>
      </c>
      <c r="G60" s="4">
        <v>28.3</v>
      </c>
      <c r="H60" s="4">
        <f t="shared" si="0"/>
        <v>566</v>
      </c>
    </row>
    <row r="61" spans="1:8">
      <c r="A61" s="2">
        <v>46185</v>
      </c>
      <c r="B61" t="s">
        <v>1</v>
      </c>
      <c r="C61" t="s">
        <v>54</v>
      </c>
      <c r="D61" t="s">
        <v>97</v>
      </c>
      <c r="E61" t="str">
        <f>VLOOKUP(TablaObra[[#This Row],[Equipo]],Catalogos!I$4:J$34,2,FALSE)</f>
        <v>NM-01</v>
      </c>
      <c r="F61" s="3">
        <v>30</v>
      </c>
      <c r="G61" s="4">
        <v>28.3</v>
      </c>
      <c r="H61" s="4">
        <f t="shared" si="0"/>
        <v>849</v>
      </c>
    </row>
    <row r="62" spans="1:8">
      <c r="A62" s="2">
        <v>46185</v>
      </c>
      <c r="B62" t="s">
        <v>1</v>
      </c>
      <c r="C62" t="s">
        <v>54</v>
      </c>
      <c r="D62" t="s">
        <v>108</v>
      </c>
      <c r="E62" t="str">
        <f>VLOOKUP(TablaObra[[#This Row],[Equipo]],Catalogos!I$4:J$34,2,FALSE)</f>
        <v>MX-01</v>
      </c>
      <c r="F62" s="3">
        <v>20</v>
      </c>
      <c r="G62" s="4">
        <v>28.3</v>
      </c>
      <c r="H62" s="4">
        <f t="shared" si="0"/>
        <v>566</v>
      </c>
    </row>
    <row r="63" spans="1:8">
      <c r="A63" s="2">
        <v>46185</v>
      </c>
      <c r="B63" t="s">
        <v>1</v>
      </c>
      <c r="C63" t="s">
        <v>54</v>
      </c>
      <c r="D63" t="s">
        <v>51</v>
      </c>
      <c r="E63" t="str">
        <f>VLOOKUP(TablaObra[[#This Row],[Equipo]],Catalogos!I$4:J$34,2,FALSE)</f>
        <v>CP-01</v>
      </c>
      <c r="F63" s="3">
        <v>40</v>
      </c>
      <c r="G63" s="4">
        <v>28.3</v>
      </c>
      <c r="H63" s="4">
        <f t="shared" si="0"/>
        <v>1132</v>
      </c>
    </row>
    <row r="64" spans="1:8">
      <c r="A64" s="2">
        <v>46185</v>
      </c>
      <c r="B64" t="s">
        <v>1</v>
      </c>
      <c r="C64" t="s">
        <v>54</v>
      </c>
      <c r="D64" t="s">
        <v>80</v>
      </c>
      <c r="E64" t="str">
        <f>VLOOKUP(TablaObra[[#This Row],[Equipo]],Catalogos!I$4:J$34,2,FALSE)</f>
        <v>PR-01</v>
      </c>
      <c r="F64" s="3">
        <v>250</v>
      </c>
      <c r="G64" s="4">
        <v>28.3</v>
      </c>
      <c r="H64" s="4">
        <f t="shared" si="0"/>
        <v>7075</v>
      </c>
    </row>
    <row r="65" spans="1:8">
      <c r="A65" s="2"/>
      <c r="E65" t="e">
        <f>VLOOKUP(TablaObra[[#This Row],[Equipo]],Catalogos!I$4:J$34,2,FALSE)</f>
        <v>#N/A</v>
      </c>
      <c r="F65" s="3"/>
      <c r="G65" s="4">
        <v>28.3</v>
      </c>
      <c r="H65" s="4">
        <f t="shared" si="0"/>
        <v>0</v>
      </c>
    </row>
    <row r="66" spans="1:8">
      <c r="A66" s="2"/>
      <c r="E66" t="e">
        <f>VLOOKUP(TablaObra[[#This Row],[Equipo]],Catalogos!I$4:J$34,2,FALSE)</f>
        <v>#N/A</v>
      </c>
      <c r="F66" s="3"/>
      <c r="G66" s="4">
        <v>28.3</v>
      </c>
      <c r="H66" s="4">
        <f t="shared" si="0"/>
        <v>0</v>
      </c>
    </row>
    <row r="67" spans="1:8">
      <c r="A67" s="2"/>
      <c r="E67" t="e">
        <f>VLOOKUP(TablaObra[[#This Row],[Equipo]],Catalogos!I$4:J$34,2,FALSE)</f>
        <v>#N/A</v>
      </c>
      <c r="F67" s="3"/>
      <c r="G67" s="4">
        <v>28.3</v>
      </c>
      <c r="H67" s="4">
        <f t="shared" si="0"/>
        <v>0</v>
      </c>
    </row>
    <row r="68" spans="1:8">
      <c r="A68" s="2"/>
      <c r="E68" t="e">
        <f>VLOOKUP(TablaObra[[#This Row],[Equipo]],Catalogos!I$4:J$34,2,FALSE)</f>
        <v>#N/A</v>
      </c>
      <c r="F68" s="3"/>
      <c r="G68" s="4">
        <v>28.3</v>
      </c>
      <c r="H68" s="4">
        <f t="shared" si="0"/>
        <v>0</v>
      </c>
    </row>
    <row r="69" spans="1:8">
      <c r="A69" s="2"/>
      <c r="E69" t="e">
        <f>VLOOKUP(TablaObra[[#This Row],[Equipo]],Catalogos!I$4:J$34,2,FALSE)</f>
        <v>#N/A</v>
      </c>
      <c r="F69" s="3"/>
      <c r="G69" s="4">
        <v>28.3</v>
      </c>
      <c r="H69" s="4">
        <f t="shared" ref="H69:H132" si="1">IFERROR(F69*G69,0)</f>
        <v>0</v>
      </c>
    </row>
    <row r="70" spans="1:8">
      <c r="A70" s="2"/>
      <c r="E70" t="e">
        <f>VLOOKUP(TablaObra[[#This Row],[Equipo]],Catalogos!I$4:J$34,2,FALSE)</f>
        <v>#N/A</v>
      </c>
      <c r="F70" s="3"/>
      <c r="G70" s="4">
        <v>28.3</v>
      </c>
      <c r="H70" s="4">
        <f t="shared" si="1"/>
        <v>0</v>
      </c>
    </row>
    <row r="71" spans="1:8">
      <c r="A71" s="2"/>
      <c r="E71" t="e">
        <f>VLOOKUP(TablaObra[[#This Row],[Equipo]],Catalogos!I$4:J$34,2,FALSE)</f>
        <v>#N/A</v>
      </c>
      <c r="F71" s="3"/>
      <c r="G71" s="4">
        <v>28.3</v>
      </c>
      <c r="H71" s="4">
        <f t="shared" si="1"/>
        <v>0</v>
      </c>
    </row>
    <row r="72" spans="1:8">
      <c r="A72" s="2"/>
      <c r="E72" t="e">
        <f>VLOOKUP(TablaObra[[#This Row],[Equipo]],Catalogos!I$4:J$34,2,FALSE)</f>
        <v>#N/A</v>
      </c>
      <c r="F72" s="3"/>
      <c r="G72" s="4">
        <v>28.3</v>
      </c>
      <c r="H72" s="4">
        <f t="shared" si="1"/>
        <v>0</v>
      </c>
    </row>
    <row r="73" spans="1:8">
      <c r="A73" s="2"/>
      <c r="E73" t="e">
        <f>VLOOKUP(TablaObra[[#This Row],[Equipo]],Catalogos!I$4:J$34,2,FALSE)</f>
        <v>#N/A</v>
      </c>
      <c r="F73" s="3"/>
      <c r="G73" s="4">
        <v>28.3</v>
      </c>
      <c r="H73" s="4">
        <f t="shared" si="1"/>
        <v>0</v>
      </c>
    </row>
    <row r="74" spans="1:8">
      <c r="A74" s="2"/>
      <c r="E74" t="e">
        <f>VLOOKUP(TablaObra[[#This Row],[Equipo]],Catalogos!I$4:J$34,2,FALSE)</f>
        <v>#N/A</v>
      </c>
      <c r="F74" s="3"/>
      <c r="G74" s="4">
        <v>28.3</v>
      </c>
      <c r="H74" s="4">
        <f t="shared" si="1"/>
        <v>0</v>
      </c>
    </row>
    <row r="75" spans="1:8">
      <c r="A75" s="2"/>
      <c r="E75" t="e">
        <f>VLOOKUP(TablaObra[[#This Row],[Equipo]],Catalogos!I$4:J$34,2,FALSE)</f>
        <v>#N/A</v>
      </c>
      <c r="F75" s="3"/>
      <c r="G75" s="4">
        <v>28.3</v>
      </c>
      <c r="H75" s="4">
        <f t="shared" si="1"/>
        <v>0</v>
      </c>
    </row>
    <row r="76" spans="1:8">
      <c r="A76" s="2"/>
      <c r="E76" t="e">
        <f>VLOOKUP(TablaObra[[#This Row],[Equipo]],Catalogos!I$4:J$34,2,FALSE)</f>
        <v>#N/A</v>
      </c>
      <c r="F76" s="3"/>
      <c r="G76" s="4">
        <v>28.3</v>
      </c>
      <c r="H76" s="4">
        <f t="shared" si="1"/>
        <v>0</v>
      </c>
    </row>
    <row r="77" spans="1:8">
      <c r="A77" s="2"/>
      <c r="E77" t="e">
        <f>VLOOKUP(TablaObra[[#This Row],[Equipo]],Catalogos!I$4:J$34,2,FALSE)</f>
        <v>#N/A</v>
      </c>
      <c r="F77" s="3"/>
      <c r="G77" s="4">
        <v>28.3</v>
      </c>
      <c r="H77" s="4">
        <f t="shared" si="1"/>
        <v>0</v>
      </c>
    </row>
    <row r="78" spans="1:8">
      <c r="A78" s="2"/>
      <c r="E78" t="e">
        <f>VLOOKUP(TablaObra[[#This Row],[Equipo]],Catalogos!I$4:J$34,2,FALSE)</f>
        <v>#N/A</v>
      </c>
      <c r="F78" s="3"/>
      <c r="G78" s="4">
        <v>28.3</v>
      </c>
      <c r="H78" s="4">
        <f t="shared" si="1"/>
        <v>0</v>
      </c>
    </row>
    <row r="79" spans="1:8">
      <c r="A79" s="2"/>
      <c r="E79" t="e">
        <f>VLOOKUP(TablaObra[[#This Row],[Equipo]],Catalogos!I$4:J$34,2,FALSE)</f>
        <v>#N/A</v>
      </c>
      <c r="F79" s="3"/>
      <c r="G79" s="4">
        <v>28.3</v>
      </c>
      <c r="H79" s="4">
        <f t="shared" si="1"/>
        <v>0</v>
      </c>
    </row>
    <row r="80" spans="1:8">
      <c r="A80" s="2"/>
      <c r="E80" t="e">
        <f>VLOOKUP(TablaObra[[#This Row],[Equipo]],Catalogos!I$4:J$34,2,FALSE)</f>
        <v>#N/A</v>
      </c>
      <c r="F80" s="3"/>
      <c r="G80" s="4">
        <v>28.3</v>
      </c>
      <c r="H80" s="4">
        <f t="shared" si="1"/>
        <v>0</v>
      </c>
    </row>
    <row r="81" spans="1:8">
      <c r="A81" s="2"/>
      <c r="E81" t="e">
        <f>VLOOKUP(TablaObra[[#This Row],[Equipo]],Catalogos!I$4:J$34,2,FALSE)</f>
        <v>#N/A</v>
      </c>
      <c r="F81" s="3"/>
      <c r="G81" s="4">
        <v>28.3</v>
      </c>
      <c r="H81" s="4">
        <f t="shared" si="1"/>
        <v>0</v>
      </c>
    </row>
    <row r="82" spans="1:8">
      <c r="A82" s="2"/>
      <c r="E82" t="e">
        <f>VLOOKUP(TablaObra[[#This Row],[Equipo]],Catalogos!I$4:J$34,2,FALSE)</f>
        <v>#N/A</v>
      </c>
      <c r="F82" s="3"/>
      <c r="G82" s="4">
        <v>28.3</v>
      </c>
      <c r="H82" s="4">
        <f t="shared" si="1"/>
        <v>0</v>
      </c>
    </row>
    <row r="83" spans="1:8">
      <c r="A83" s="2"/>
      <c r="E83" t="e">
        <f>VLOOKUP(TablaObra[[#This Row],[Equipo]],Catalogos!I$4:J$34,2,FALSE)</f>
        <v>#N/A</v>
      </c>
      <c r="F83" s="3"/>
      <c r="G83" s="4">
        <v>28.3</v>
      </c>
      <c r="H83" s="4">
        <f t="shared" si="1"/>
        <v>0</v>
      </c>
    </row>
    <row r="84" spans="1:8">
      <c r="A84" s="2"/>
      <c r="E84" t="e">
        <f>VLOOKUP(TablaObra[[#This Row],[Equipo]],Catalogos!I$4:J$34,2,FALSE)</f>
        <v>#N/A</v>
      </c>
      <c r="F84" s="3"/>
      <c r="G84" s="4">
        <v>28.3</v>
      </c>
      <c r="H84" s="4">
        <f t="shared" si="1"/>
        <v>0</v>
      </c>
    </row>
    <row r="85" spans="1:8">
      <c r="A85" s="2"/>
      <c r="E85" t="e">
        <f>VLOOKUP(TablaObra[[#This Row],[Equipo]],Catalogos!I$4:J$34,2,FALSE)</f>
        <v>#N/A</v>
      </c>
      <c r="F85" s="3"/>
      <c r="G85" s="4">
        <v>28.3</v>
      </c>
      <c r="H85" s="4">
        <f t="shared" si="1"/>
        <v>0</v>
      </c>
    </row>
    <row r="86" spans="1:8">
      <c r="A86" s="2"/>
      <c r="E86" t="e">
        <f>VLOOKUP(TablaObra[[#This Row],[Equipo]],Catalogos!I$4:J$34,2,FALSE)</f>
        <v>#N/A</v>
      </c>
      <c r="F86" s="3"/>
      <c r="G86" s="4">
        <v>28.3</v>
      </c>
      <c r="H86" s="4">
        <f t="shared" si="1"/>
        <v>0</v>
      </c>
    </row>
    <row r="87" spans="1:8">
      <c r="A87" s="2"/>
      <c r="E87" t="e">
        <f>VLOOKUP(TablaObra[[#This Row],[Equipo]],Catalogos!I$4:J$34,2,FALSE)</f>
        <v>#N/A</v>
      </c>
      <c r="F87" s="3"/>
      <c r="G87" s="4">
        <v>28.3</v>
      </c>
      <c r="H87" s="4">
        <f t="shared" si="1"/>
        <v>0</v>
      </c>
    </row>
    <row r="88" spans="1:8">
      <c r="A88" s="2"/>
      <c r="E88" t="e">
        <f>VLOOKUP(TablaObra[[#This Row],[Equipo]],Catalogos!I$4:J$34,2,FALSE)</f>
        <v>#N/A</v>
      </c>
      <c r="F88" s="3"/>
      <c r="G88" s="4">
        <v>28.3</v>
      </c>
      <c r="H88" s="4">
        <f t="shared" si="1"/>
        <v>0</v>
      </c>
    </row>
    <row r="89" spans="1:8">
      <c r="A89" s="2"/>
      <c r="E89" t="e">
        <f>VLOOKUP(TablaObra[[#This Row],[Equipo]],Catalogos!I$4:J$34,2,FALSE)</f>
        <v>#N/A</v>
      </c>
      <c r="F89" s="3"/>
      <c r="G89" s="4">
        <v>28.3</v>
      </c>
      <c r="H89" s="4">
        <f t="shared" si="1"/>
        <v>0</v>
      </c>
    </row>
    <row r="90" spans="1:8">
      <c r="A90" s="2"/>
      <c r="E90" t="e">
        <f>VLOOKUP(TablaObra[[#This Row],[Equipo]],Catalogos!I$4:J$34,2,FALSE)</f>
        <v>#N/A</v>
      </c>
      <c r="F90" s="3"/>
      <c r="G90" s="4">
        <v>28.3</v>
      </c>
      <c r="H90" s="4">
        <f t="shared" si="1"/>
        <v>0</v>
      </c>
    </row>
    <row r="91" spans="1:8">
      <c r="A91" s="2"/>
      <c r="E91" t="e">
        <f>VLOOKUP(TablaObra[[#This Row],[Equipo]],Catalogos!I$4:J$34,2,FALSE)</f>
        <v>#N/A</v>
      </c>
      <c r="F91" s="3"/>
      <c r="G91" s="4">
        <v>28.3</v>
      </c>
      <c r="H91" s="4">
        <f t="shared" si="1"/>
        <v>0</v>
      </c>
    </row>
    <row r="92" spans="1:8">
      <c r="A92" s="2"/>
      <c r="E92" t="e">
        <f>VLOOKUP(TablaObra[[#This Row],[Equipo]],Catalogos!I$4:J$34,2,FALSE)</f>
        <v>#N/A</v>
      </c>
      <c r="F92" s="3"/>
      <c r="G92" s="4">
        <v>28.3</v>
      </c>
      <c r="H92" s="4">
        <f t="shared" si="1"/>
        <v>0</v>
      </c>
    </row>
    <row r="93" spans="1:8">
      <c r="A93" s="2"/>
      <c r="E93" t="e">
        <f>VLOOKUP(TablaObra[[#This Row],[Equipo]],Catalogos!I$4:J$34,2,FALSE)</f>
        <v>#N/A</v>
      </c>
      <c r="F93" s="3"/>
      <c r="G93" s="4">
        <v>28.3</v>
      </c>
      <c r="H93" s="4">
        <f t="shared" si="1"/>
        <v>0</v>
      </c>
    </row>
    <row r="94" spans="1:8">
      <c r="A94" s="2"/>
      <c r="E94" t="e">
        <f>VLOOKUP(TablaObra[[#This Row],[Equipo]],Catalogos!I$4:J$34,2,FALSE)</f>
        <v>#N/A</v>
      </c>
      <c r="F94" s="3"/>
      <c r="G94" s="4">
        <v>28.3</v>
      </c>
      <c r="H94" s="4">
        <f t="shared" si="1"/>
        <v>0</v>
      </c>
    </row>
    <row r="95" spans="1:8">
      <c r="A95" s="2"/>
      <c r="E95" t="e">
        <f>VLOOKUP(TablaObra[[#This Row],[Equipo]],Catalogos!I$4:J$34,2,FALSE)</f>
        <v>#N/A</v>
      </c>
      <c r="F95" s="3"/>
      <c r="G95" s="4">
        <v>28.3</v>
      </c>
      <c r="H95" s="4">
        <f t="shared" si="1"/>
        <v>0</v>
      </c>
    </row>
    <row r="96" spans="1:8">
      <c r="A96" s="2"/>
      <c r="E96" t="e">
        <f>VLOOKUP(TablaObra[[#This Row],[Equipo]],Catalogos!I$4:J$34,2,FALSE)</f>
        <v>#N/A</v>
      </c>
      <c r="F96" s="3"/>
      <c r="G96" s="4">
        <v>28.3</v>
      </c>
      <c r="H96" s="4">
        <f t="shared" si="1"/>
        <v>0</v>
      </c>
    </row>
    <row r="97" spans="1:8">
      <c r="A97" s="2"/>
      <c r="E97" t="e">
        <f>VLOOKUP(TablaObra[[#This Row],[Equipo]],Catalogos!I$4:J$34,2,FALSE)</f>
        <v>#N/A</v>
      </c>
      <c r="F97" s="3"/>
      <c r="G97" s="4">
        <v>28.3</v>
      </c>
      <c r="H97" s="4">
        <f t="shared" si="1"/>
        <v>0</v>
      </c>
    </row>
    <row r="98" spans="1:8">
      <c r="A98" s="2"/>
      <c r="E98" t="e">
        <f>VLOOKUP(TablaObra[[#This Row],[Equipo]],Catalogos!I$4:J$34,2,FALSE)</f>
        <v>#N/A</v>
      </c>
      <c r="F98" s="3"/>
      <c r="G98" s="4">
        <v>28.3</v>
      </c>
      <c r="H98" s="4">
        <f t="shared" si="1"/>
        <v>0</v>
      </c>
    </row>
    <row r="99" spans="1:8">
      <c r="A99" s="2"/>
      <c r="E99" t="e">
        <f>VLOOKUP(TablaObra[[#This Row],[Equipo]],Catalogos!I$4:J$34,2,FALSE)</f>
        <v>#N/A</v>
      </c>
      <c r="F99" s="3"/>
      <c r="G99" s="4">
        <v>28.3</v>
      </c>
      <c r="H99" s="4">
        <f t="shared" si="1"/>
        <v>0</v>
      </c>
    </row>
    <row r="100" spans="1:8">
      <c r="A100" s="2"/>
      <c r="E100" t="e">
        <f>VLOOKUP(TablaObra[[#This Row],[Equipo]],Catalogos!I$4:J$34,2,FALSE)</f>
        <v>#N/A</v>
      </c>
      <c r="F100" s="3"/>
      <c r="G100" s="4">
        <v>28.3</v>
      </c>
      <c r="H100" s="4">
        <f t="shared" si="1"/>
        <v>0</v>
      </c>
    </row>
    <row r="101" spans="1:8">
      <c r="A101" s="2"/>
      <c r="E101" t="e">
        <f>VLOOKUP(TablaObra[[#This Row],[Equipo]],Catalogos!I$4:J$34,2,FALSE)</f>
        <v>#N/A</v>
      </c>
      <c r="F101" s="3"/>
      <c r="G101" s="4">
        <v>28.3</v>
      </c>
      <c r="H101" s="4">
        <f t="shared" si="1"/>
        <v>0</v>
      </c>
    </row>
    <row r="102" spans="1:8">
      <c r="A102" s="2"/>
      <c r="E102" t="e">
        <f>VLOOKUP(TablaObra[[#This Row],[Equipo]],Catalogos!I$4:J$34,2,FALSE)</f>
        <v>#N/A</v>
      </c>
      <c r="F102" s="3"/>
      <c r="G102" s="4">
        <v>28.3</v>
      </c>
      <c r="H102" s="4">
        <f t="shared" si="1"/>
        <v>0</v>
      </c>
    </row>
    <row r="103" spans="1:8">
      <c r="A103" s="2"/>
      <c r="E103" t="e">
        <f>VLOOKUP(TablaObra[[#This Row],[Equipo]],Catalogos!I$4:J$34,2,FALSE)</f>
        <v>#N/A</v>
      </c>
      <c r="F103" s="3"/>
      <c r="G103" s="4">
        <v>28.3</v>
      </c>
      <c r="H103" s="4">
        <f t="shared" si="1"/>
        <v>0</v>
      </c>
    </row>
    <row r="104" spans="1:8">
      <c r="A104" s="2"/>
      <c r="E104" t="e">
        <f>VLOOKUP(TablaObra[[#This Row],[Equipo]],Catalogos!I$4:J$34,2,FALSE)</f>
        <v>#N/A</v>
      </c>
      <c r="F104" s="3"/>
      <c r="G104" s="4">
        <v>28.3</v>
      </c>
      <c r="H104" s="4">
        <f t="shared" si="1"/>
        <v>0</v>
      </c>
    </row>
    <row r="105" spans="1:8">
      <c r="A105" s="2"/>
      <c r="E105" t="e">
        <f>VLOOKUP(TablaObra[[#This Row],[Equipo]],Catalogos!I$4:J$34,2,FALSE)</f>
        <v>#N/A</v>
      </c>
      <c r="F105" s="3"/>
      <c r="G105" s="4">
        <v>28.3</v>
      </c>
      <c r="H105" s="4">
        <f t="shared" si="1"/>
        <v>0</v>
      </c>
    </row>
    <row r="106" spans="1:8">
      <c r="A106" s="2"/>
      <c r="E106" t="e">
        <f>VLOOKUP(TablaObra[[#This Row],[Equipo]],Catalogos!I$4:J$34,2,FALSE)</f>
        <v>#N/A</v>
      </c>
      <c r="F106" s="3"/>
      <c r="G106" s="4">
        <v>28.3</v>
      </c>
      <c r="H106" s="4">
        <f t="shared" si="1"/>
        <v>0</v>
      </c>
    </row>
    <row r="107" spans="1:8">
      <c r="A107" s="2"/>
      <c r="E107" t="e">
        <f>VLOOKUP(TablaObra[[#This Row],[Equipo]],Catalogos!I$4:J$34,2,FALSE)</f>
        <v>#N/A</v>
      </c>
      <c r="F107" s="3"/>
      <c r="G107" s="4">
        <v>28.3</v>
      </c>
      <c r="H107" s="4">
        <f t="shared" si="1"/>
        <v>0</v>
      </c>
    </row>
    <row r="108" spans="1:8">
      <c r="A108" s="2"/>
      <c r="E108" t="e">
        <f>VLOOKUP(TablaObra[[#This Row],[Equipo]],Catalogos!I$4:J$34,2,FALSE)</f>
        <v>#N/A</v>
      </c>
      <c r="F108" s="3"/>
      <c r="G108" s="4">
        <v>28.3</v>
      </c>
      <c r="H108" s="4">
        <f t="shared" si="1"/>
        <v>0</v>
      </c>
    </row>
    <row r="109" spans="1:8">
      <c r="A109" s="2"/>
      <c r="E109" t="e">
        <f>VLOOKUP(TablaObra[[#This Row],[Equipo]],Catalogos!I$4:J$34,2,FALSE)</f>
        <v>#N/A</v>
      </c>
      <c r="F109" s="3"/>
      <c r="G109" s="4">
        <v>28.3</v>
      </c>
      <c r="H109" s="4">
        <f t="shared" si="1"/>
        <v>0</v>
      </c>
    </row>
    <row r="110" spans="1:8">
      <c r="A110" s="2"/>
      <c r="E110" t="e">
        <f>VLOOKUP(TablaObra[[#This Row],[Equipo]],Catalogos!I$4:J$34,2,FALSE)</f>
        <v>#N/A</v>
      </c>
      <c r="F110" s="3"/>
      <c r="G110" s="4">
        <v>28.3</v>
      </c>
      <c r="H110" s="4">
        <f t="shared" si="1"/>
        <v>0</v>
      </c>
    </row>
    <row r="111" spans="1:8">
      <c r="A111" s="2"/>
      <c r="E111" t="e">
        <f>VLOOKUP(TablaObra[[#This Row],[Equipo]],Catalogos!I$4:J$34,2,FALSE)</f>
        <v>#N/A</v>
      </c>
      <c r="F111" s="3"/>
      <c r="G111" s="4">
        <v>28.3</v>
      </c>
      <c r="H111" s="4">
        <f t="shared" si="1"/>
        <v>0</v>
      </c>
    </row>
    <row r="112" spans="1:8">
      <c r="A112" s="2"/>
      <c r="E112" t="e">
        <f>VLOOKUP(TablaObra[[#This Row],[Equipo]],Catalogos!I$4:J$34,2,FALSE)</f>
        <v>#N/A</v>
      </c>
      <c r="F112" s="3"/>
      <c r="G112" s="4">
        <v>28.3</v>
      </c>
      <c r="H112" s="4">
        <f t="shared" si="1"/>
        <v>0</v>
      </c>
    </row>
    <row r="113" spans="1:8">
      <c r="A113" s="2"/>
      <c r="E113" t="e">
        <f>VLOOKUP(TablaObra[[#This Row],[Equipo]],Catalogos!I$4:J$34,2,FALSE)</f>
        <v>#N/A</v>
      </c>
      <c r="F113" s="3"/>
      <c r="G113" s="4">
        <v>28.3</v>
      </c>
      <c r="H113" s="4">
        <f t="shared" si="1"/>
        <v>0</v>
      </c>
    </row>
    <row r="114" spans="1:8">
      <c r="A114" s="2"/>
      <c r="E114" t="e">
        <f>VLOOKUP(TablaObra[[#This Row],[Equipo]],Catalogos!I$4:J$34,2,FALSE)</f>
        <v>#N/A</v>
      </c>
      <c r="F114" s="3"/>
      <c r="G114" s="4">
        <v>28.3</v>
      </c>
      <c r="H114" s="4">
        <f t="shared" si="1"/>
        <v>0</v>
      </c>
    </row>
    <row r="115" spans="1:8">
      <c r="A115" s="2"/>
      <c r="E115" t="e">
        <f>VLOOKUP(TablaObra[[#This Row],[Equipo]],Catalogos!I$4:J$34,2,FALSE)</f>
        <v>#N/A</v>
      </c>
      <c r="F115" s="3"/>
      <c r="G115" s="4">
        <v>28.3</v>
      </c>
      <c r="H115" s="4">
        <f t="shared" si="1"/>
        <v>0</v>
      </c>
    </row>
    <row r="116" spans="1:8">
      <c r="A116" s="2"/>
      <c r="E116" t="e">
        <f>VLOOKUP(TablaObra[[#This Row],[Equipo]],Catalogos!I$4:J$34,2,FALSE)</f>
        <v>#N/A</v>
      </c>
      <c r="F116" s="3"/>
      <c r="G116" s="4">
        <v>28.3</v>
      </c>
      <c r="H116" s="4">
        <f t="shared" si="1"/>
        <v>0</v>
      </c>
    </row>
    <row r="117" spans="1:8">
      <c r="A117" s="2"/>
      <c r="E117" t="e">
        <f>VLOOKUP(TablaObra[[#This Row],[Equipo]],Catalogos!I$4:J$34,2,FALSE)</f>
        <v>#N/A</v>
      </c>
      <c r="F117" s="3"/>
      <c r="G117" s="4">
        <v>28.3</v>
      </c>
      <c r="H117" s="4">
        <f t="shared" si="1"/>
        <v>0</v>
      </c>
    </row>
    <row r="118" spans="1:8">
      <c r="A118" s="2"/>
      <c r="E118" t="e">
        <f>VLOOKUP(TablaObra[[#This Row],[Equipo]],Catalogos!I$4:J$34,2,FALSE)</f>
        <v>#N/A</v>
      </c>
      <c r="F118" s="3"/>
      <c r="G118" s="4">
        <v>28.3</v>
      </c>
      <c r="H118" s="4">
        <f t="shared" si="1"/>
        <v>0</v>
      </c>
    </row>
    <row r="119" spans="1:8">
      <c r="A119" s="2"/>
      <c r="E119" t="e">
        <f>VLOOKUP(TablaObra[[#This Row],[Equipo]],Catalogos!I$4:J$34,2,FALSE)</f>
        <v>#N/A</v>
      </c>
      <c r="F119" s="3"/>
      <c r="G119" s="4">
        <v>28.3</v>
      </c>
      <c r="H119" s="4">
        <f t="shared" si="1"/>
        <v>0</v>
      </c>
    </row>
    <row r="120" spans="1:8">
      <c r="A120" s="2"/>
      <c r="E120" t="e">
        <f>VLOOKUP(TablaObra[[#This Row],[Equipo]],Catalogos!I$4:J$34,2,FALSE)</f>
        <v>#N/A</v>
      </c>
      <c r="F120" s="3"/>
      <c r="G120" s="4">
        <v>28.3</v>
      </c>
      <c r="H120" s="4">
        <f t="shared" si="1"/>
        <v>0</v>
      </c>
    </row>
    <row r="121" spans="1:8">
      <c r="A121" s="2"/>
      <c r="E121" t="e">
        <f>VLOOKUP(TablaObra[[#This Row],[Equipo]],Catalogos!I$4:J$34,2,FALSE)</f>
        <v>#N/A</v>
      </c>
      <c r="F121" s="3"/>
      <c r="G121" s="4">
        <v>28.3</v>
      </c>
      <c r="H121" s="4">
        <f t="shared" si="1"/>
        <v>0</v>
      </c>
    </row>
    <row r="122" spans="1:8">
      <c r="A122" s="2"/>
      <c r="E122" t="e">
        <f>VLOOKUP(TablaObra[[#This Row],[Equipo]],Catalogos!I$4:J$34,2,FALSE)</f>
        <v>#N/A</v>
      </c>
      <c r="F122" s="3"/>
      <c r="G122" s="4">
        <v>28.3</v>
      </c>
      <c r="H122" s="4">
        <f t="shared" si="1"/>
        <v>0</v>
      </c>
    </row>
    <row r="123" spans="1:8">
      <c r="A123" s="2"/>
      <c r="E123" t="e">
        <f>VLOOKUP(TablaObra[[#This Row],[Equipo]],Catalogos!I$4:J$34,2,FALSE)</f>
        <v>#N/A</v>
      </c>
      <c r="F123" s="3"/>
      <c r="G123" s="4">
        <v>28.3</v>
      </c>
      <c r="H123" s="4">
        <f t="shared" si="1"/>
        <v>0</v>
      </c>
    </row>
    <row r="124" spans="1:8">
      <c r="A124" s="2"/>
      <c r="E124" t="e">
        <f>VLOOKUP(TablaObra[[#This Row],[Equipo]],Catalogos!I$4:J$34,2,FALSE)</f>
        <v>#N/A</v>
      </c>
      <c r="F124" s="3"/>
      <c r="G124" s="4">
        <v>28.3</v>
      </c>
      <c r="H124" s="4">
        <f t="shared" si="1"/>
        <v>0</v>
      </c>
    </row>
    <row r="125" spans="1:8">
      <c r="A125" s="2"/>
      <c r="E125" t="e">
        <f>VLOOKUP(TablaObra[[#This Row],[Equipo]],Catalogos!I$4:J$34,2,FALSE)</f>
        <v>#N/A</v>
      </c>
      <c r="F125" s="3"/>
      <c r="G125" s="4">
        <v>28.3</v>
      </c>
      <c r="H125" s="4">
        <f t="shared" si="1"/>
        <v>0</v>
      </c>
    </row>
    <row r="126" spans="1:8">
      <c r="A126" s="2"/>
      <c r="E126" t="e">
        <f>VLOOKUP(TablaObra[[#This Row],[Equipo]],Catalogos!I$4:J$34,2,FALSE)</f>
        <v>#N/A</v>
      </c>
      <c r="F126" s="3"/>
      <c r="G126" s="4">
        <v>28.3</v>
      </c>
      <c r="H126" s="4">
        <f t="shared" si="1"/>
        <v>0</v>
      </c>
    </row>
    <row r="127" spans="1:8">
      <c r="A127" s="2"/>
      <c r="E127" t="e">
        <f>VLOOKUP(TablaObra[[#This Row],[Equipo]],Catalogos!I$4:J$34,2,FALSE)</f>
        <v>#N/A</v>
      </c>
      <c r="F127" s="3"/>
      <c r="G127" s="4">
        <v>28.3</v>
      </c>
      <c r="H127" s="4">
        <f t="shared" si="1"/>
        <v>0</v>
      </c>
    </row>
    <row r="128" spans="1:8">
      <c r="A128" s="2"/>
      <c r="E128" t="e">
        <f>VLOOKUP(TablaObra[[#This Row],[Equipo]],Catalogos!I$4:J$34,2,FALSE)</f>
        <v>#N/A</v>
      </c>
      <c r="F128" s="3"/>
      <c r="G128" s="4">
        <v>28.3</v>
      </c>
      <c r="H128" s="4">
        <f t="shared" si="1"/>
        <v>0</v>
      </c>
    </row>
    <row r="129" spans="1:8">
      <c r="A129" s="2"/>
      <c r="E129" t="e">
        <f>VLOOKUP(TablaObra[[#This Row],[Equipo]],Catalogos!I$4:J$34,2,FALSE)</f>
        <v>#N/A</v>
      </c>
      <c r="F129" s="3"/>
      <c r="G129" s="4">
        <v>28.3</v>
      </c>
      <c r="H129" s="4">
        <f t="shared" si="1"/>
        <v>0</v>
      </c>
    </row>
    <row r="130" spans="1:8">
      <c r="A130" s="2"/>
      <c r="E130" t="e">
        <f>VLOOKUP(TablaObra[[#This Row],[Equipo]],Catalogos!I$4:J$34,2,FALSE)</f>
        <v>#N/A</v>
      </c>
      <c r="F130" s="3"/>
      <c r="G130" s="4">
        <v>28.3</v>
      </c>
      <c r="H130" s="4">
        <f t="shared" si="1"/>
        <v>0</v>
      </c>
    </row>
    <row r="131" spans="1:8">
      <c r="A131" s="2"/>
      <c r="E131" t="e">
        <f>VLOOKUP(TablaObra[[#This Row],[Equipo]],Catalogos!I$4:J$34,2,FALSE)</f>
        <v>#N/A</v>
      </c>
      <c r="F131" s="3"/>
      <c r="G131" s="4">
        <v>28.3</v>
      </c>
      <c r="H131" s="4">
        <f t="shared" si="1"/>
        <v>0</v>
      </c>
    </row>
    <row r="132" spans="1:8">
      <c r="A132" s="2"/>
      <c r="E132" t="e">
        <f>VLOOKUP(TablaObra[[#This Row],[Equipo]],Catalogos!I$4:J$34,2,FALSE)</f>
        <v>#N/A</v>
      </c>
      <c r="F132" s="3"/>
      <c r="G132" s="4">
        <v>28.3</v>
      </c>
      <c r="H132" s="4">
        <f t="shared" si="1"/>
        <v>0</v>
      </c>
    </row>
    <row r="133" spans="1:8">
      <c r="A133" s="2"/>
      <c r="E133" t="e">
        <f>VLOOKUP(TablaObra[[#This Row],[Equipo]],Catalogos!I$4:J$34,2,FALSE)</f>
        <v>#N/A</v>
      </c>
      <c r="F133" s="3"/>
      <c r="G133" s="4">
        <v>28.3</v>
      </c>
      <c r="H133" s="4">
        <f t="shared" ref="H133:H196" si="2">IFERROR(F133*G133,0)</f>
        <v>0</v>
      </c>
    </row>
    <row r="134" spans="1:8">
      <c r="A134" s="2"/>
      <c r="E134" t="e">
        <f>VLOOKUP(TablaObra[[#This Row],[Equipo]],Catalogos!I$4:J$34,2,FALSE)</f>
        <v>#N/A</v>
      </c>
      <c r="F134" s="3"/>
      <c r="G134" s="4">
        <v>28.3</v>
      </c>
      <c r="H134" s="4">
        <f t="shared" si="2"/>
        <v>0</v>
      </c>
    </row>
    <row r="135" spans="1:8">
      <c r="A135" s="2"/>
      <c r="E135" t="e">
        <f>VLOOKUP(TablaObra[[#This Row],[Equipo]],Catalogos!I$4:J$34,2,FALSE)</f>
        <v>#N/A</v>
      </c>
      <c r="F135" s="3"/>
      <c r="G135" s="4">
        <v>28.3</v>
      </c>
      <c r="H135" s="4">
        <f t="shared" si="2"/>
        <v>0</v>
      </c>
    </row>
    <row r="136" spans="1:8">
      <c r="A136" s="2"/>
      <c r="E136" t="e">
        <f>VLOOKUP(TablaObra[[#This Row],[Equipo]],Catalogos!I$4:J$34,2,FALSE)</f>
        <v>#N/A</v>
      </c>
      <c r="F136" s="3"/>
      <c r="G136" s="4">
        <v>28.3</v>
      </c>
      <c r="H136" s="4">
        <f t="shared" si="2"/>
        <v>0</v>
      </c>
    </row>
    <row r="137" spans="1:8">
      <c r="A137" s="2"/>
      <c r="E137" t="e">
        <f>VLOOKUP(TablaObra[[#This Row],[Equipo]],Catalogos!I$4:J$34,2,FALSE)</f>
        <v>#N/A</v>
      </c>
      <c r="F137" s="3"/>
      <c r="G137" s="4">
        <v>28.3</v>
      </c>
      <c r="H137" s="4">
        <f t="shared" si="2"/>
        <v>0</v>
      </c>
    </row>
    <row r="138" spans="1:8">
      <c r="A138" s="2"/>
      <c r="E138" t="e">
        <f>VLOOKUP(TablaObra[[#This Row],[Equipo]],Catalogos!I$4:J$34,2,FALSE)</f>
        <v>#N/A</v>
      </c>
      <c r="F138" s="3"/>
      <c r="G138" s="4">
        <v>28.3</v>
      </c>
      <c r="H138" s="4">
        <f t="shared" si="2"/>
        <v>0</v>
      </c>
    </row>
    <row r="139" spans="1:8">
      <c r="A139" s="2"/>
      <c r="E139" t="e">
        <f>VLOOKUP(TablaObra[[#This Row],[Equipo]],Catalogos!I$4:J$34,2,FALSE)</f>
        <v>#N/A</v>
      </c>
      <c r="F139" s="3"/>
      <c r="G139" s="4">
        <v>28.3</v>
      </c>
      <c r="H139" s="4">
        <f t="shared" si="2"/>
        <v>0</v>
      </c>
    </row>
    <row r="140" spans="1:8">
      <c r="A140" s="2"/>
      <c r="E140" t="e">
        <f>VLOOKUP(TablaObra[[#This Row],[Equipo]],Catalogos!I$4:J$34,2,FALSE)</f>
        <v>#N/A</v>
      </c>
      <c r="F140" s="3"/>
      <c r="G140" s="4">
        <v>28.3</v>
      </c>
      <c r="H140" s="4">
        <f t="shared" si="2"/>
        <v>0</v>
      </c>
    </row>
    <row r="141" spans="1:8">
      <c r="A141" s="2"/>
      <c r="E141" t="e">
        <f>VLOOKUP(TablaObra[[#This Row],[Equipo]],Catalogos!I$4:J$34,2,FALSE)</f>
        <v>#N/A</v>
      </c>
      <c r="F141" s="3"/>
      <c r="G141" s="4">
        <v>28.3</v>
      </c>
      <c r="H141" s="4">
        <f t="shared" si="2"/>
        <v>0</v>
      </c>
    </row>
    <row r="142" spans="1:8">
      <c r="A142" s="2"/>
      <c r="E142" t="e">
        <f>VLOOKUP(TablaObra[[#This Row],[Equipo]],Catalogos!I$4:J$34,2,FALSE)</f>
        <v>#N/A</v>
      </c>
      <c r="F142" s="3"/>
      <c r="G142" s="4">
        <v>28.3</v>
      </c>
      <c r="H142" s="4">
        <f t="shared" si="2"/>
        <v>0</v>
      </c>
    </row>
    <row r="143" spans="1:8">
      <c r="A143" s="2"/>
      <c r="E143" t="e">
        <f>VLOOKUP(TablaObra[[#This Row],[Equipo]],Catalogos!I$4:J$34,2,FALSE)</f>
        <v>#N/A</v>
      </c>
      <c r="F143" s="3"/>
      <c r="G143" s="4">
        <v>28.3</v>
      </c>
      <c r="H143" s="4">
        <f t="shared" si="2"/>
        <v>0</v>
      </c>
    </row>
    <row r="144" spans="1:8">
      <c r="A144" s="2"/>
      <c r="E144" t="e">
        <f>VLOOKUP(TablaObra[[#This Row],[Equipo]],Catalogos!I$4:J$34,2,FALSE)</f>
        <v>#N/A</v>
      </c>
      <c r="F144" s="3"/>
      <c r="G144" s="4">
        <v>28.3</v>
      </c>
      <c r="H144" s="4">
        <f t="shared" si="2"/>
        <v>0</v>
      </c>
    </row>
    <row r="145" spans="1:8">
      <c r="A145" s="2"/>
      <c r="E145" t="e">
        <f>VLOOKUP(TablaObra[[#This Row],[Equipo]],Catalogos!I$4:J$34,2,FALSE)</f>
        <v>#N/A</v>
      </c>
      <c r="F145" s="3"/>
      <c r="G145" s="4">
        <v>28.3</v>
      </c>
      <c r="H145" s="4">
        <f t="shared" si="2"/>
        <v>0</v>
      </c>
    </row>
    <row r="146" spans="1:8">
      <c r="A146" s="2"/>
      <c r="E146" t="e">
        <f>VLOOKUP(TablaObra[[#This Row],[Equipo]],Catalogos!I$4:J$34,2,FALSE)</f>
        <v>#N/A</v>
      </c>
      <c r="F146" s="3"/>
      <c r="G146" s="4"/>
      <c r="H146" s="4">
        <f t="shared" si="2"/>
        <v>0</v>
      </c>
    </row>
    <row r="147" spans="1:8">
      <c r="A147" s="2"/>
      <c r="E147" t="e">
        <f>VLOOKUP(TablaObra[[#This Row],[Equipo]],Catalogos!I$4:J$34,2,FALSE)</f>
        <v>#N/A</v>
      </c>
      <c r="F147" s="3"/>
      <c r="G147" s="4"/>
      <c r="H147" s="4">
        <f t="shared" si="2"/>
        <v>0</v>
      </c>
    </row>
    <row r="148" spans="1:8">
      <c r="A148" s="2"/>
      <c r="E148" t="e">
        <f>VLOOKUP(TablaObra[[#This Row],[Equipo]],Catalogos!I$4:J$34,2,FALSE)</f>
        <v>#N/A</v>
      </c>
      <c r="F148" s="3"/>
      <c r="G148" s="4"/>
      <c r="H148" s="4">
        <f t="shared" si="2"/>
        <v>0</v>
      </c>
    </row>
    <row r="149" spans="1:8">
      <c r="A149" s="2"/>
      <c r="E149" t="e">
        <f>VLOOKUP(TablaObra[[#This Row],[Equipo]],Catalogos!I$4:J$34,2,FALSE)</f>
        <v>#N/A</v>
      </c>
      <c r="F149" s="3"/>
      <c r="G149" s="4"/>
      <c r="H149" s="4">
        <f t="shared" si="2"/>
        <v>0</v>
      </c>
    </row>
    <row r="150" spans="1:8">
      <c r="A150" s="2"/>
      <c r="E150" t="e">
        <f>VLOOKUP(TablaObra[[#This Row],[Equipo]],Catalogos!I$4:J$34,2,FALSE)</f>
        <v>#N/A</v>
      </c>
      <c r="F150" s="3"/>
      <c r="G150" s="4"/>
      <c r="H150" s="4">
        <f t="shared" si="2"/>
        <v>0</v>
      </c>
    </row>
    <row r="151" spans="1:8">
      <c r="A151" s="2"/>
      <c r="E151" t="e">
        <f>VLOOKUP(TablaObra[[#This Row],[Equipo]],Catalogos!I$4:J$34,2,FALSE)</f>
        <v>#N/A</v>
      </c>
      <c r="F151" s="3"/>
      <c r="G151" s="4"/>
      <c r="H151" s="4">
        <f t="shared" si="2"/>
        <v>0</v>
      </c>
    </row>
    <row r="152" spans="1:8">
      <c r="A152" s="2"/>
      <c r="E152" t="e">
        <f>VLOOKUP(TablaObra[[#This Row],[Equipo]],Catalogos!I$4:J$34,2,FALSE)</f>
        <v>#N/A</v>
      </c>
      <c r="F152" s="3"/>
      <c r="G152" s="4"/>
      <c r="H152" s="4">
        <f t="shared" si="2"/>
        <v>0</v>
      </c>
    </row>
    <row r="153" spans="1:8">
      <c r="A153" s="2"/>
      <c r="E153" t="e">
        <f>VLOOKUP(TablaObra[[#This Row],[Equipo]],Catalogos!I$4:J$34,2,FALSE)</f>
        <v>#N/A</v>
      </c>
      <c r="F153" s="3"/>
      <c r="G153" s="4"/>
      <c r="H153" s="4">
        <f t="shared" si="2"/>
        <v>0</v>
      </c>
    </row>
    <row r="154" spans="1:8">
      <c r="A154" s="2"/>
      <c r="E154" t="e">
        <f>VLOOKUP(TablaObra[[#This Row],[Equipo]],Catalogos!I$4:J$34,2,FALSE)</f>
        <v>#N/A</v>
      </c>
      <c r="F154" s="3"/>
      <c r="G154" s="4"/>
      <c r="H154" s="4">
        <f t="shared" si="2"/>
        <v>0</v>
      </c>
    </row>
    <row r="155" spans="1:8">
      <c r="A155" s="2"/>
      <c r="E155" t="e">
        <f>VLOOKUP(TablaObra[[#This Row],[Equipo]],Catalogos!I$4:J$34,2,FALSE)</f>
        <v>#N/A</v>
      </c>
      <c r="F155" s="3"/>
      <c r="G155" s="4"/>
      <c r="H155" s="4">
        <f t="shared" si="2"/>
        <v>0</v>
      </c>
    </row>
    <row r="156" spans="1:8">
      <c r="A156" s="2"/>
      <c r="E156" t="e">
        <f>VLOOKUP(TablaObra[[#This Row],[Equipo]],Catalogos!I$4:J$34,2,FALSE)</f>
        <v>#N/A</v>
      </c>
      <c r="F156" s="3"/>
      <c r="G156" s="4"/>
      <c r="H156" s="4">
        <f t="shared" si="2"/>
        <v>0</v>
      </c>
    </row>
    <row r="157" spans="1:8">
      <c r="A157" s="2"/>
      <c r="E157" t="e">
        <f>VLOOKUP(TablaObra[[#This Row],[Equipo]],Catalogos!I$4:J$34,2,FALSE)</f>
        <v>#N/A</v>
      </c>
      <c r="F157" s="3"/>
      <c r="G157" s="4"/>
      <c r="H157" s="4">
        <f t="shared" si="2"/>
        <v>0</v>
      </c>
    </row>
    <row r="158" spans="1:8">
      <c r="A158" s="2"/>
      <c r="E158" t="e">
        <f>VLOOKUP(TablaObra[[#This Row],[Equipo]],Catalogos!I$4:J$34,2,FALSE)</f>
        <v>#N/A</v>
      </c>
      <c r="F158" s="3"/>
      <c r="G158" s="4"/>
      <c r="H158" s="4">
        <f t="shared" si="2"/>
        <v>0</v>
      </c>
    </row>
    <row r="159" spans="1:8">
      <c r="A159" s="2"/>
      <c r="E159" t="e">
        <f>VLOOKUP(TablaObra[[#This Row],[Equipo]],Catalogos!I$4:J$34,2,FALSE)</f>
        <v>#N/A</v>
      </c>
      <c r="F159" s="3"/>
      <c r="G159" s="4"/>
      <c r="H159" s="4">
        <f t="shared" si="2"/>
        <v>0</v>
      </c>
    </row>
    <row r="160" spans="1:8">
      <c r="A160" s="2"/>
      <c r="E160" t="e">
        <f>VLOOKUP(TablaObra[[#This Row],[Equipo]],Catalogos!I$4:J$34,2,FALSE)</f>
        <v>#N/A</v>
      </c>
      <c r="F160" s="3"/>
      <c r="G160" s="4"/>
      <c r="H160" s="4">
        <f t="shared" si="2"/>
        <v>0</v>
      </c>
    </row>
    <row r="161" spans="1:8">
      <c r="A161" s="2"/>
      <c r="E161" t="e">
        <f>VLOOKUP(TablaObra[[#This Row],[Equipo]],Catalogos!I$4:J$34,2,FALSE)</f>
        <v>#N/A</v>
      </c>
      <c r="F161" s="3"/>
      <c r="G161" s="4"/>
      <c r="H161" s="4">
        <f t="shared" si="2"/>
        <v>0</v>
      </c>
    </row>
    <row r="162" spans="1:8">
      <c r="A162" s="2"/>
      <c r="E162" t="e">
        <f>VLOOKUP(TablaObra[[#This Row],[Equipo]],Catalogos!I$4:J$34,2,FALSE)</f>
        <v>#N/A</v>
      </c>
      <c r="F162" s="3"/>
      <c r="G162" s="4"/>
      <c r="H162" s="4">
        <f t="shared" si="2"/>
        <v>0</v>
      </c>
    </row>
    <row r="163" spans="1:8">
      <c r="A163" s="2"/>
      <c r="E163" t="e">
        <f>VLOOKUP(TablaObra[[#This Row],[Equipo]],Catalogos!I$4:J$34,2,FALSE)</f>
        <v>#N/A</v>
      </c>
      <c r="F163" s="3"/>
      <c r="G163" s="4"/>
      <c r="H163" s="4">
        <f t="shared" si="2"/>
        <v>0</v>
      </c>
    </row>
    <row r="164" spans="1:8">
      <c r="A164" s="2"/>
      <c r="E164" t="e">
        <f>VLOOKUP(TablaObra[[#This Row],[Equipo]],Catalogos!I$4:J$34,2,FALSE)</f>
        <v>#N/A</v>
      </c>
      <c r="F164" s="3"/>
      <c r="G164" s="4"/>
      <c r="H164" s="4">
        <f t="shared" si="2"/>
        <v>0</v>
      </c>
    </row>
    <row r="165" spans="1:8">
      <c r="A165" s="2"/>
      <c r="E165" t="e">
        <f>VLOOKUP(TablaObra[[#This Row],[Equipo]],Catalogos!I$4:J$34,2,FALSE)</f>
        <v>#N/A</v>
      </c>
      <c r="F165" s="3"/>
      <c r="G165" s="4"/>
      <c r="H165" s="4">
        <f t="shared" si="2"/>
        <v>0</v>
      </c>
    </row>
    <row r="166" spans="1:8">
      <c r="A166" s="2"/>
      <c r="E166" t="e">
        <f>VLOOKUP(TablaObra[[#This Row],[Equipo]],Catalogos!I$4:J$34,2,FALSE)</f>
        <v>#N/A</v>
      </c>
      <c r="F166" s="3"/>
      <c r="G166" s="4"/>
      <c r="H166" s="4">
        <f t="shared" si="2"/>
        <v>0</v>
      </c>
    </row>
    <row r="167" spans="1:8">
      <c r="A167" s="2"/>
      <c r="E167" t="e">
        <f>VLOOKUP(TablaObra[[#This Row],[Equipo]],Catalogos!I$4:J$34,2,FALSE)</f>
        <v>#N/A</v>
      </c>
      <c r="F167" s="3"/>
      <c r="G167" s="4"/>
      <c r="H167" s="4">
        <f t="shared" si="2"/>
        <v>0</v>
      </c>
    </row>
    <row r="168" spans="1:8">
      <c r="A168" s="2"/>
      <c r="E168" t="e">
        <f>VLOOKUP(TablaObra[[#This Row],[Equipo]],Catalogos!I$4:J$34,2,FALSE)</f>
        <v>#N/A</v>
      </c>
      <c r="F168" s="3"/>
      <c r="G168" s="4"/>
      <c r="H168" s="4">
        <f t="shared" si="2"/>
        <v>0</v>
      </c>
    </row>
    <row r="169" spans="1:8">
      <c r="A169" s="2"/>
      <c r="E169" t="e">
        <f>VLOOKUP(TablaObra[[#This Row],[Equipo]],Catalogos!I$4:J$34,2,FALSE)</f>
        <v>#N/A</v>
      </c>
      <c r="F169" s="3"/>
      <c r="G169" s="4"/>
      <c r="H169" s="4">
        <f t="shared" si="2"/>
        <v>0</v>
      </c>
    </row>
    <row r="170" spans="1:8">
      <c r="A170" s="2"/>
      <c r="E170" t="e">
        <f>VLOOKUP(TablaObra[[#This Row],[Equipo]],Catalogos!I$4:J$34,2,FALSE)</f>
        <v>#N/A</v>
      </c>
      <c r="F170" s="3"/>
      <c r="G170" s="4"/>
      <c r="H170" s="4">
        <f t="shared" si="2"/>
        <v>0</v>
      </c>
    </row>
    <row r="171" spans="1:8">
      <c r="A171" s="2"/>
      <c r="E171" t="e">
        <f>VLOOKUP(TablaObra[[#This Row],[Equipo]],Catalogos!I$4:J$34,2,FALSE)</f>
        <v>#N/A</v>
      </c>
      <c r="F171" s="3"/>
      <c r="G171" s="4"/>
      <c r="H171" s="4">
        <f t="shared" si="2"/>
        <v>0</v>
      </c>
    </row>
    <row r="172" spans="1:8">
      <c r="A172" s="2"/>
      <c r="E172" t="e">
        <f>VLOOKUP(TablaObra[[#This Row],[Equipo]],Catalogos!I$4:J$34,2,FALSE)</f>
        <v>#N/A</v>
      </c>
      <c r="F172" s="3"/>
      <c r="G172" s="4"/>
      <c r="H172" s="4">
        <f t="shared" si="2"/>
        <v>0</v>
      </c>
    </row>
    <row r="173" spans="1:8">
      <c r="A173" s="2"/>
      <c r="E173" t="e">
        <f>VLOOKUP(TablaObra[[#This Row],[Equipo]],Catalogos!I$4:J$34,2,FALSE)</f>
        <v>#N/A</v>
      </c>
      <c r="F173" s="3"/>
      <c r="G173" s="4"/>
      <c r="H173" s="4">
        <f t="shared" si="2"/>
        <v>0</v>
      </c>
    </row>
    <row r="174" spans="1:8">
      <c r="A174" s="2"/>
      <c r="E174" t="e">
        <f>VLOOKUP(TablaObra[[#This Row],[Equipo]],Catalogos!I$4:J$34,2,FALSE)</f>
        <v>#N/A</v>
      </c>
      <c r="F174" s="3"/>
      <c r="G174" s="4"/>
      <c r="H174" s="4">
        <f t="shared" si="2"/>
        <v>0</v>
      </c>
    </row>
    <row r="175" spans="1:8">
      <c r="A175" s="2"/>
      <c r="E175" t="e">
        <f>VLOOKUP(TablaObra[[#This Row],[Equipo]],Catalogos!I$4:J$34,2,FALSE)</f>
        <v>#N/A</v>
      </c>
      <c r="F175" s="3"/>
      <c r="G175" s="4"/>
      <c r="H175" s="4">
        <f t="shared" si="2"/>
        <v>0</v>
      </c>
    </row>
    <row r="176" spans="1:8">
      <c r="A176" s="2"/>
      <c r="E176" t="e">
        <f>VLOOKUP(TablaObra[[#This Row],[Equipo]],Catalogos!I$4:J$34,2,FALSE)</f>
        <v>#N/A</v>
      </c>
      <c r="F176" s="3"/>
      <c r="G176" s="4"/>
      <c r="H176" s="4">
        <f t="shared" si="2"/>
        <v>0</v>
      </c>
    </row>
    <row r="177" spans="1:8">
      <c r="A177" s="2"/>
      <c r="E177" t="e">
        <f>VLOOKUP(TablaObra[[#This Row],[Equipo]],Catalogos!I$4:J$34,2,FALSE)</f>
        <v>#N/A</v>
      </c>
      <c r="F177" s="3"/>
      <c r="G177" s="4"/>
      <c r="H177" s="4">
        <f t="shared" si="2"/>
        <v>0</v>
      </c>
    </row>
    <row r="178" spans="1:8">
      <c r="A178" s="2"/>
      <c r="E178" t="e">
        <f>VLOOKUP(TablaObra[[#This Row],[Equipo]],Catalogos!I$4:J$34,2,FALSE)</f>
        <v>#N/A</v>
      </c>
      <c r="F178" s="3"/>
      <c r="G178" s="4"/>
      <c r="H178" s="4">
        <f t="shared" si="2"/>
        <v>0</v>
      </c>
    </row>
    <row r="179" spans="1:8">
      <c r="A179" s="2"/>
      <c r="E179" t="e">
        <f>VLOOKUP(TablaObra[[#This Row],[Equipo]],Catalogos!I$4:J$34,2,FALSE)</f>
        <v>#N/A</v>
      </c>
      <c r="F179" s="3"/>
      <c r="G179" s="4"/>
      <c r="H179" s="4">
        <f t="shared" si="2"/>
        <v>0</v>
      </c>
    </row>
    <row r="180" spans="1:8">
      <c r="A180" s="2"/>
      <c r="E180" t="e">
        <f>VLOOKUP(TablaObra[[#This Row],[Equipo]],Catalogos!I$4:J$34,2,FALSE)</f>
        <v>#N/A</v>
      </c>
      <c r="F180" s="3"/>
      <c r="G180" s="4"/>
      <c r="H180" s="4">
        <f t="shared" si="2"/>
        <v>0</v>
      </c>
    </row>
    <row r="181" spans="1:8">
      <c r="A181" s="2"/>
      <c r="E181" t="e">
        <f>VLOOKUP(TablaObra[[#This Row],[Equipo]],Catalogos!I$4:J$34,2,FALSE)</f>
        <v>#N/A</v>
      </c>
      <c r="F181" s="3"/>
      <c r="G181" s="4"/>
      <c r="H181" s="4">
        <f t="shared" si="2"/>
        <v>0</v>
      </c>
    </row>
    <row r="182" spans="1:8">
      <c r="A182" s="2"/>
      <c r="E182" t="e">
        <f>VLOOKUP(TablaObra[[#This Row],[Equipo]],Catalogos!I$4:J$34,2,FALSE)</f>
        <v>#N/A</v>
      </c>
      <c r="F182" s="3"/>
      <c r="G182" s="4"/>
      <c r="H182" s="4">
        <f t="shared" si="2"/>
        <v>0</v>
      </c>
    </row>
    <row r="183" spans="1:8">
      <c r="A183" s="2"/>
      <c r="E183" t="e">
        <f>VLOOKUP(TablaObra[[#This Row],[Equipo]],Catalogos!I$4:J$34,2,FALSE)</f>
        <v>#N/A</v>
      </c>
      <c r="F183" s="3"/>
      <c r="G183" s="4"/>
      <c r="H183" s="4">
        <f t="shared" si="2"/>
        <v>0</v>
      </c>
    </row>
    <row r="184" spans="1:8">
      <c r="A184" s="2"/>
      <c r="E184" t="e">
        <f>VLOOKUP(TablaObra[[#This Row],[Equipo]],Catalogos!I$4:J$34,2,FALSE)</f>
        <v>#N/A</v>
      </c>
      <c r="F184" s="3"/>
      <c r="G184" s="4"/>
      <c r="H184" s="4">
        <f t="shared" si="2"/>
        <v>0</v>
      </c>
    </row>
    <row r="185" spans="1:8">
      <c r="A185" s="2"/>
      <c r="E185" t="e">
        <f>VLOOKUP(TablaObra[[#This Row],[Equipo]],Catalogos!I$4:J$34,2,FALSE)</f>
        <v>#N/A</v>
      </c>
      <c r="F185" s="3"/>
      <c r="G185" s="4"/>
      <c r="H185" s="4">
        <f t="shared" si="2"/>
        <v>0</v>
      </c>
    </row>
    <row r="186" spans="1:8">
      <c r="A186" s="2"/>
      <c r="E186" t="e">
        <f>VLOOKUP(TablaObra[[#This Row],[Equipo]],Catalogos!I$4:J$34,2,FALSE)</f>
        <v>#N/A</v>
      </c>
      <c r="F186" s="3"/>
      <c r="G186" s="4"/>
      <c r="H186" s="4">
        <f t="shared" si="2"/>
        <v>0</v>
      </c>
    </row>
    <row r="187" spans="1:8">
      <c r="A187" s="2"/>
      <c r="E187" t="e">
        <f>VLOOKUP(TablaObra[[#This Row],[Equipo]],Catalogos!I$4:J$34,2,FALSE)</f>
        <v>#N/A</v>
      </c>
      <c r="F187" s="3"/>
      <c r="G187" s="4"/>
      <c r="H187" s="4">
        <f t="shared" si="2"/>
        <v>0</v>
      </c>
    </row>
    <row r="188" spans="1:8">
      <c r="A188" s="2"/>
      <c r="E188" t="e">
        <f>VLOOKUP(TablaObra[[#This Row],[Equipo]],Catalogos!I$4:J$34,2,FALSE)</f>
        <v>#N/A</v>
      </c>
      <c r="F188" s="3"/>
      <c r="G188" s="4"/>
      <c r="H188" s="4">
        <f t="shared" si="2"/>
        <v>0</v>
      </c>
    </row>
    <row r="189" spans="1:8">
      <c r="A189" s="2"/>
      <c r="E189" t="e">
        <f>VLOOKUP(TablaObra[[#This Row],[Equipo]],Catalogos!I$4:J$34,2,FALSE)</f>
        <v>#N/A</v>
      </c>
      <c r="F189" s="3"/>
      <c r="G189" s="4"/>
      <c r="H189" s="4">
        <f t="shared" si="2"/>
        <v>0</v>
      </c>
    </row>
    <row r="190" spans="1:8">
      <c r="A190" s="2"/>
      <c r="E190" t="e">
        <f>VLOOKUP(TablaObra[[#This Row],[Equipo]],Catalogos!I$4:J$34,2,FALSE)</f>
        <v>#N/A</v>
      </c>
      <c r="F190" s="3"/>
      <c r="G190" s="4"/>
      <c r="H190" s="4">
        <f t="shared" si="2"/>
        <v>0</v>
      </c>
    </row>
    <row r="191" spans="1:8">
      <c r="A191" s="2"/>
      <c r="E191" t="e">
        <f>VLOOKUP(TablaObra[[#This Row],[Equipo]],Catalogos!I$4:J$34,2,FALSE)</f>
        <v>#N/A</v>
      </c>
      <c r="F191" s="3"/>
      <c r="G191" s="4"/>
      <c r="H191" s="4">
        <f t="shared" si="2"/>
        <v>0</v>
      </c>
    </row>
    <row r="192" spans="1:8">
      <c r="A192" s="2"/>
      <c r="E192" t="e">
        <f>VLOOKUP(TablaObra[[#This Row],[Equipo]],Catalogos!I$4:J$34,2,FALSE)</f>
        <v>#N/A</v>
      </c>
      <c r="F192" s="3"/>
      <c r="G192" s="4"/>
      <c r="H192" s="4">
        <f t="shared" si="2"/>
        <v>0</v>
      </c>
    </row>
    <row r="193" spans="1:8">
      <c r="A193" s="2"/>
      <c r="E193" t="e">
        <f>VLOOKUP(TablaObra[[#This Row],[Equipo]],Catalogos!I$4:J$34,2,FALSE)</f>
        <v>#N/A</v>
      </c>
      <c r="F193" s="3"/>
      <c r="G193" s="4"/>
      <c r="H193" s="4">
        <f t="shared" si="2"/>
        <v>0</v>
      </c>
    </row>
    <row r="194" spans="1:8">
      <c r="A194" s="2"/>
      <c r="E194" t="e">
        <f>VLOOKUP(TablaObra[[#This Row],[Equipo]],Catalogos!I$4:J$34,2,FALSE)</f>
        <v>#N/A</v>
      </c>
      <c r="F194" s="3"/>
      <c r="G194" s="4"/>
      <c r="H194" s="4">
        <f t="shared" si="2"/>
        <v>0</v>
      </c>
    </row>
    <row r="195" spans="1:8">
      <c r="A195" s="2"/>
      <c r="E195" t="e">
        <f>VLOOKUP(TablaObra[[#This Row],[Equipo]],Catalogos!I$4:J$34,2,FALSE)</f>
        <v>#N/A</v>
      </c>
      <c r="F195" s="3"/>
      <c r="G195" s="4"/>
      <c r="H195" s="4">
        <f t="shared" si="2"/>
        <v>0</v>
      </c>
    </row>
    <row r="196" spans="1:8">
      <c r="A196" s="2"/>
      <c r="E196" t="e">
        <f>VLOOKUP(TablaObra[[#This Row],[Equipo]],Catalogos!I$4:J$34,2,FALSE)</f>
        <v>#N/A</v>
      </c>
      <c r="F196" s="3"/>
      <c r="G196" s="4"/>
      <c r="H196" s="4">
        <f t="shared" si="2"/>
        <v>0</v>
      </c>
    </row>
    <row r="197" spans="1:8">
      <c r="A197" s="2"/>
      <c r="E197" t="e">
        <f>VLOOKUP(TablaObra[[#This Row],[Equipo]],Catalogos!I$4:J$34,2,FALSE)</f>
        <v>#N/A</v>
      </c>
      <c r="F197" s="3"/>
      <c r="G197" s="4"/>
      <c r="H197" s="4">
        <f t="shared" ref="H197:H260" si="3">IFERROR(F197*G197,0)</f>
        <v>0</v>
      </c>
    </row>
    <row r="198" spans="1:8">
      <c r="A198" s="2"/>
      <c r="E198" t="e">
        <f>VLOOKUP(TablaObra[[#This Row],[Equipo]],Catalogos!I$4:J$34,2,FALSE)</f>
        <v>#N/A</v>
      </c>
      <c r="F198" s="3"/>
      <c r="G198" s="4"/>
      <c r="H198" s="4">
        <f t="shared" si="3"/>
        <v>0</v>
      </c>
    </row>
    <row r="199" spans="1:8">
      <c r="A199" s="2"/>
      <c r="E199" t="e">
        <f>VLOOKUP(TablaObra[[#This Row],[Equipo]],Catalogos!I$4:J$34,2,FALSE)</f>
        <v>#N/A</v>
      </c>
      <c r="F199" s="3"/>
      <c r="G199" s="4"/>
      <c r="H199" s="4">
        <f t="shared" si="3"/>
        <v>0</v>
      </c>
    </row>
    <row r="200" spans="1:8">
      <c r="A200" s="2"/>
      <c r="E200" t="e">
        <f>VLOOKUP(TablaObra[[#This Row],[Equipo]],Catalogos!I$4:J$34,2,FALSE)</f>
        <v>#N/A</v>
      </c>
      <c r="F200" s="3"/>
      <c r="G200" s="4"/>
      <c r="H200" s="4">
        <f t="shared" si="3"/>
        <v>0</v>
      </c>
    </row>
    <row r="201" spans="1:8">
      <c r="A201" s="2"/>
      <c r="E201" t="e">
        <f>VLOOKUP(TablaObra[[#This Row],[Equipo]],Catalogos!I$4:J$34,2,FALSE)</f>
        <v>#N/A</v>
      </c>
      <c r="F201" s="3"/>
      <c r="G201" s="4"/>
      <c r="H201" s="4">
        <f t="shared" si="3"/>
        <v>0</v>
      </c>
    </row>
    <row r="202" spans="1:8">
      <c r="A202" s="2"/>
      <c r="E202" t="e">
        <f>VLOOKUP(TablaObra[[#This Row],[Equipo]],Catalogos!I$4:J$34,2,FALSE)</f>
        <v>#N/A</v>
      </c>
      <c r="F202" s="3"/>
      <c r="G202" s="4"/>
      <c r="H202" s="4">
        <f t="shared" si="3"/>
        <v>0</v>
      </c>
    </row>
    <row r="203" spans="1:8">
      <c r="A203" s="2"/>
      <c r="E203" t="e">
        <f>VLOOKUP(TablaObra[[#This Row],[Equipo]],Catalogos!I$4:J$34,2,FALSE)</f>
        <v>#N/A</v>
      </c>
      <c r="F203" s="3"/>
      <c r="G203" s="4"/>
      <c r="H203" s="4">
        <f t="shared" si="3"/>
        <v>0</v>
      </c>
    </row>
    <row r="204" spans="1:8">
      <c r="A204" s="2"/>
      <c r="E204" t="e">
        <f>VLOOKUP(TablaObra[[#This Row],[Equipo]],Catalogos!I$4:J$34,2,FALSE)</f>
        <v>#N/A</v>
      </c>
      <c r="F204" s="3"/>
      <c r="G204" s="4"/>
      <c r="H204" s="4">
        <f t="shared" si="3"/>
        <v>0</v>
      </c>
    </row>
    <row r="205" spans="1:8">
      <c r="A205" s="2"/>
      <c r="E205" t="e">
        <f>VLOOKUP(TablaObra[[#This Row],[Equipo]],Catalogos!I$4:J$34,2,FALSE)</f>
        <v>#N/A</v>
      </c>
      <c r="F205" s="3"/>
      <c r="G205" s="4"/>
      <c r="H205" s="4">
        <f t="shared" si="3"/>
        <v>0</v>
      </c>
    </row>
    <row r="206" spans="1:8">
      <c r="A206" s="2"/>
      <c r="E206" t="e">
        <f>VLOOKUP(TablaObra[[#This Row],[Equipo]],Catalogos!I$4:J$34,2,FALSE)</f>
        <v>#N/A</v>
      </c>
      <c r="F206" s="3"/>
      <c r="G206" s="4"/>
      <c r="H206" s="4">
        <f t="shared" si="3"/>
        <v>0</v>
      </c>
    </row>
    <row r="207" spans="1:8">
      <c r="A207" s="2"/>
      <c r="E207" t="e">
        <f>VLOOKUP(TablaObra[[#This Row],[Equipo]],Catalogos!I$4:J$34,2,FALSE)</f>
        <v>#N/A</v>
      </c>
      <c r="F207" s="3"/>
      <c r="G207" s="4"/>
      <c r="H207" s="4">
        <f t="shared" si="3"/>
        <v>0</v>
      </c>
    </row>
    <row r="208" spans="1:8">
      <c r="A208" s="2"/>
      <c r="E208" t="e">
        <f>VLOOKUP(TablaObra[[#This Row],[Equipo]],Catalogos!I$4:J$34,2,FALSE)</f>
        <v>#N/A</v>
      </c>
      <c r="F208" s="3"/>
      <c r="G208" s="4"/>
      <c r="H208" s="4">
        <f t="shared" si="3"/>
        <v>0</v>
      </c>
    </row>
    <row r="209" spans="1:8">
      <c r="A209" s="2"/>
      <c r="E209" t="e">
        <f>VLOOKUP(TablaObra[[#This Row],[Equipo]],Catalogos!I$4:J$34,2,FALSE)</f>
        <v>#N/A</v>
      </c>
      <c r="F209" s="3"/>
      <c r="G209" s="4"/>
      <c r="H209" s="4">
        <f t="shared" si="3"/>
        <v>0</v>
      </c>
    </row>
    <row r="210" spans="1:8">
      <c r="A210" s="2"/>
      <c r="E210" t="e">
        <f>VLOOKUP(TablaObra[[#This Row],[Equipo]],Catalogos!I$4:J$34,2,FALSE)</f>
        <v>#N/A</v>
      </c>
      <c r="F210" s="3"/>
      <c r="G210" s="4"/>
      <c r="H210" s="4">
        <f t="shared" si="3"/>
        <v>0</v>
      </c>
    </row>
    <row r="211" spans="1:8">
      <c r="A211" s="2"/>
      <c r="E211" t="e">
        <f>VLOOKUP(TablaObra[[#This Row],[Equipo]],Catalogos!I$4:J$34,2,FALSE)</f>
        <v>#N/A</v>
      </c>
      <c r="F211" s="3"/>
      <c r="G211" s="4"/>
      <c r="H211" s="4">
        <f t="shared" si="3"/>
        <v>0</v>
      </c>
    </row>
    <row r="212" spans="1:8">
      <c r="A212" s="2"/>
      <c r="E212" t="e">
        <f>VLOOKUP(TablaObra[[#This Row],[Equipo]],Catalogos!I$4:J$34,2,FALSE)</f>
        <v>#N/A</v>
      </c>
      <c r="F212" s="3"/>
      <c r="G212" s="4"/>
      <c r="H212" s="4">
        <f t="shared" si="3"/>
        <v>0</v>
      </c>
    </row>
    <row r="213" spans="1:8">
      <c r="A213" s="2"/>
      <c r="E213" t="e">
        <f>VLOOKUP(TablaObra[[#This Row],[Equipo]],Catalogos!I$4:J$34,2,FALSE)</f>
        <v>#N/A</v>
      </c>
      <c r="F213" s="3"/>
      <c r="G213" s="4"/>
      <c r="H213" s="4">
        <f t="shared" si="3"/>
        <v>0</v>
      </c>
    </row>
    <row r="214" spans="1:8">
      <c r="A214" s="2"/>
      <c r="E214" t="e">
        <f>VLOOKUP(TablaObra[[#This Row],[Equipo]],Catalogos!I$4:J$34,2,FALSE)</f>
        <v>#N/A</v>
      </c>
      <c r="F214" s="3"/>
      <c r="G214" s="4"/>
      <c r="H214" s="4">
        <f t="shared" si="3"/>
        <v>0</v>
      </c>
    </row>
    <row r="215" spans="1:8">
      <c r="A215" s="2"/>
      <c r="E215" t="e">
        <f>VLOOKUP(TablaObra[[#This Row],[Equipo]],Catalogos!I$4:J$34,2,FALSE)</f>
        <v>#N/A</v>
      </c>
      <c r="F215" s="3"/>
      <c r="G215" s="4"/>
      <c r="H215" s="4">
        <f t="shared" si="3"/>
        <v>0</v>
      </c>
    </row>
    <row r="216" spans="1:8">
      <c r="A216" s="2"/>
      <c r="E216" t="e">
        <f>VLOOKUP(TablaObra[[#This Row],[Equipo]],Catalogos!I$4:J$34,2,FALSE)</f>
        <v>#N/A</v>
      </c>
      <c r="F216" s="3"/>
      <c r="G216" s="4"/>
      <c r="H216" s="4">
        <f t="shared" si="3"/>
        <v>0</v>
      </c>
    </row>
    <row r="217" spans="1:8">
      <c r="A217" s="2"/>
      <c r="E217" t="e">
        <f>VLOOKUP(TablaObra[[#This Row],[Equipo]],Catalogos!I$4:J$34,2,FALSE)</f>
        <v>#N/A</v>
      </c>
      <c r="F217" s="3"/>
      <c r="G217" s="4"/>
      <c r="H217" s="4">
        <f t="shared" si="3"/>
        <v>0</v>
      </c>
    </row>
    <row r="218" spans="1:8">
      <c r="A218" s="2"/>
      <c r="E218" t="e">
        <f>VLOOKUP(TablaObra[[#This Row],[Equipo]],Catalogos!I$4:J$34,2,FALSE)</f>
        <v>#N/A</v>
      </c>
      <c r="F218" s="3"/>
      <c r="G218" s="4"/>
      <c r="H218" s="4">
        <f t="shared" si="3"/>
        <v>0</v>
      </c>
    </row>
    <row r="219" spans="1:8">
      <c r="A219" s="2"/>
      <c r="E219" t="e">
        <f>VLOOKUP(TablaObra[[#This Row],[Equipo]],Catalogos!I$4:J$34,2,FALSE)</f>
        <v>#N/A</v>
      </c>
      <c r="F219" s="3"/>
      <c r="G219" s="4"/>
      <c r="H219" s="4">
        <f t="shared" si="3"/>
        <v>0</v>
      </c>
    </row>
    <row r="220" spans="1:8">
      <c r="A220" s="2"/>
      <c r="E220" t="e">
        <f>VLOOKUP(TablaObra[[#This Row],[Equipo]],Catalogos!I$4:J$34,2,FALSE)</f>
        <v>#N/A</v>
      </c>
      <c r="F220" s="3"/>
      <c r="G220" s="4"/>
      <c r="H220" s="4">
        <f t="shared" si="3"/>
        <v>0</v>
      </c>
    </row>
    <row r="221" spans="1:8">
      <c r="A221" s="2"/>
      <c r="E221" t="e">
        <f>VLOOKUP(TablaObra[[#This Row],[Equipo]],Catalogos!I$4:J$34,2,FALSE)</f>
        <v>#N/A</v>
      </c>
      <c r="F221" s="3"/>
      <c r="G221" s="4"/>
      <c r="H221" s="4">
        <f t="shared" si="3"/>
        <v>0</v>
      </c>
    </row>
    <row r="222" spans="1:8">
      <c r="A222" s="2"/>
      <c r="E222" t="e">
        <f>VLOOKUP(TablaObra[[#This Row],[Equipo]],Catalogos!I$4:J$34,2,FALSE)</f>
        <v>#N/A</v>
      </c>
      <c r="F222" s="3"/>
      <c r="G222" s="4"/>
      <c r="H222" s="4">
        <f t="shared" si="3"/>
        <v>0</v>
      </c>
    </row>
    <row r="223" spans="1:8">
      <c r="A223" s="2"/>
      <c r="E223" t="e">
        <f>VLOOKUP(TablaObra[[#This Row],[Equipo]],Catalogos!I$4:J$34,2,FALSE)</f>
        <v>#N/A</v>
      </c>
      <c r="F223" s="3"/>
      <c r="G223" s="4"/>
      <c r="H223" s="4">
        <f t="shared" si="3"/>
        <v>0</v>
      </c>
    </row>
    <row r="224" spans="1:8">
      <c r="A224" s="2"/>
      <c r="E224" t="e">
        <f>VLOOKUP(TablaObra[[#This Row],[Equipo]],Catalogos!I$4:J$34,2,FALSE)</f>
        <v>#N/A</v>
      </c>
      <c r="F224" s="3"/>
      <c r="G224" s="4"/>
      <c r="H224" s="4">
        <f t="shared" si="3"/>
        <v>0</v>
      </c>
    </row>
    <row r="225" spans="1:8">
      <c r="A225" s="2"/>
      <c r="E225" t="e">
        <f>VLOOKUP(TablaObra[[#This Row],[Equipo]],Catalogos!I$4:J$34,2,FALSE)</f>
        <v>#N/A</v>
      </c>
      <c r="F225" s="3"/>
      <c r="G225" s="4"/>
      <c r="H225" s="4">
        <f t="shared" si="3"/>
        <v>0</v>
      </c>
    </row>
    <row r="226" spans="1:8">
      <c r="A226" s="2"/>
      <c r="E226" t="e">
        <f>VLOOKUP(TablaObra[[#This Row],[Equipo]],Catalogos!I$4:J$34,2,FALSE)</f>
        <v>#N/A</v>
      </c>
      <c r="F226" s="3"/>
      <c r="G226" s="4"/>
      <c r="H226" s="4">
        <f t="shared" si="3"/>
        <v>0</v>
      </c>
    </row>
    <row r="227" spans="1:8">
      <c r="A227" s="2"/>
      <c r="E227" t="e">
        <f>VLOOKUP(TablaObra[[#This Row],[Equipo]],Catalogos!I$4:J$34,2,FALSE)</f>
        <v>#N/A</v>
      </c>
      <c r="F227" s="3"/>
      <c r="G227" s="4"/>
      <c r="H227" s="4">
        <f t="shared" si="3"/>
        <v>0</v>
      </c>
    </row>
    <row r="228" spans="1:8">
      <c r="A228" s="2"/>
      <c r="E228" t="e">
        <f>VLOOKUP(TablaObra[[#This Row],[Equipo]],Catalogos!I$4:J$34,2,FALSE)</f>
        <v>#N/A</v>
      </c>
      <c r="F228" s="3"/>
      <c r="G228" s="4"/>
      <c r="H228" s="4">
        <f t="shared" si="3"/>
        <v>0</v>
      </c>
    </row>
    <row r="229" spans="1:8">
      <c r="A229" s="2"/>
      <c r="E229" t="e">
        <f>VLOOKUP(TablaObra[[#This Row],[Equipo]],Catalogos!I$4:J$34,2,FALSE)</f>
        <v>#N/A</v>
      </c>
      <c r="F229" s="3"/>
      <c r="G229" s="4"/>
      <c r="H229" s="4">
        <f t="shared" si="3"/>
        <v>0</v>
      </c>
    </row>
    <row r="230" spans="1:8">
      <c r="A230" s="2"/>
      <c r="E230" t="e">
        <f>VLOOKUP(TablaObra[[#This Row],[Equipo]],Catalogos!I$4:J$34,2,FALSE)</f>
        <v>#N/A</v>
      </c>
      <c r="F230" s="3"/>
      <c r="G230" s="4"/>
      <c r="H230" s="4">
        <f t="shared" si="3"/>
        <v>0</v>
      </c>
    </row>
    <row r="231" spans="1:8">
      <c r="A231" s="2"/>
      <c r="E231" t="e">
        <f>VLOOKUP(TablaObra[[#This Row],[Equipo]],Catalogos!I$4:J$34,2,FALSE)</f>
        <v>#N/A</v>
      </c>
      <c r="F231" s="3"/>
      <c r="G231" s="4"/>
      <c r="H231" s="4">
        <f t="shared" si="3"/>
        <v>0</v>
      </c>
    </row>
    <row r="232" spans="1:8">
      <c r="A232" s="2"/>
      <c r="E232" t="e">
        <f>VLOOKUP(TablaObra[[#This Row],[Equipo]],Catalogos!I$4:J$34,2,FALSE)</f>
        <v>#N/A</v>
      </c>
      <c r="F232" s="3"/>
      <c r="G232" s="4"/>
      <c r="H232" s="4">
        <f t="shared" si="3"/>
        <v>0</v>
      </c>
    </row>
    <row r="233" spans="1:8">
      <c r="A233" s="2"/>
      <c r="E233" t="e">
        <f>VLOOKUP(TablaObra[[#This Row],[Equipo]],Catalogos!I$4:J$34,2,FALSE)</f>
        <v>#N/A</v>
      </c>
      <c r="F233" s="3"/>
      <c r="G233" s="4"/>
      <c r="H233" s="4">
        <f t="shared" si="3"/>
        <v>0</v>
      </c>
    </row>
    <row r="234" spans="1:8">
      <c r="A234" s="2"/>
      <c r="E234" t="e">
        <f>VLOOKUP(TablaObra[[#This Row],[Equipo]],Catalogos!I$4:J$34,2,FALSE)</f>
        <v>#N/A</v>
      </c>
      <c r="F234" s="3"/>
      <c r="G234" s="4"/>
      <c r="H234" s="4">
        <f t="shared" si="3"/>
        <v>0</v>
      </c>
    </row>
    <row r="235" spans="1:8">
      <c r="A235" s="2"/>
      <c r="E235" t="e">
        <f>VLOOKUP(TablaObra[[#This Row],[Equipo]],Catalogos!I$4:J$34,2,FALSE)</f>
        <v>#N/A</v>
      </c>
      <c r="F235" s="3"/>
      <c r="G235" s="4"/>
      <c r="H235" s="4">
        <f t="shared" si="3"/>
        <v>0</v>
      </c>
    </row>
    <row r="236" spans="1:8">
      <c r="A236" s="2"/>
      <c r="E236" t="e">
        <f>VLOOKUP(TablaObra[[#This Row],[Equipo]],Catalogos!I$4:J$34,2,FALSE)</f>
        <v>#N/A</v>
      </c>
      <c r="F236" s="3"/>
      <c r="G236" s="4"/>
      <c r="H236" s="4">
        <f t="shared" si="3"/>
        <v>0</v>
      </c>
    </row>
    <row r="237" spans="1:8">
      <c r="A237" s="2"/>
      <c r="E237" t="e">
        <f>VLOOKUP(TablaObra[[#This Row],[Equipo]],Catalogos!I$4:J$34,2,FALSE)</f>
        <v>#N/A</v>
      </c>
      <c r="F237" s="3"/>
      <c r="G237" s="4"/>
      <c r="H237" s="4">
        <f t="shared" si="3"/>
        <v>0</v>
      </c>
    </row>
    <row r="238" spans="1:8">
      <c r="A238" s="2"/>
      <c r="E238" t="e">
        <f>VLOOKUP(TablaObra[[#This Row],[Equipo]],Catalogos!I$4:J$34,2,FALSE)</f>
        <v>#N/A</v>
      </c>
      <c r="F238" s="3"/>
      <c r="G238" s="4"/>
      <c r="H238" s="4">
        <f t="shared" si="3"/>
        <v>0</v>
      </c>
    </row>
    <row r="239" spans="1:8">
      <c r="A239" s="2"/>
      <c r="E239" t="e">
        <f>VLOOKUP(TablaObra[[#This Row],[Equipo]],Catalogos!I$4:J$34,2,FALSE)</f>
        <v>#N/A</v>
      </c>
      <c r="F239" s="3"/>
      <c r="G239" s="4"/>
      <c r="H239" s="4">
        <f t="shared" si="3"/>
        <v>0</v>
      </c>
    </row>
    <row r="240" spans="1:8">
      <c r="A240" s="2"/>
      <c r="E240" t="e">
        <f>VLOOKUP(TablaObra[[#This Row],[Equipo]],Catalogos!I$4:J$34,2,FALSE)</f>
        <v>#N/A</v>
      </c>
      <c r="F240" s="3"/>
      <c r="G240" s="4"/>
      <c r="H240" s="4">
        <f t="shared" si="3"/>
        <v>0</v>
      </c>
    </row>
    <row r="241" spans="1:8">
      <c r="A241" s="2"/>
      <c r="E241" t="e">
        <f>VLOOKUP(TablaObra[[#This Row],[Equipo]],Catalogos!I$4:J$34,2,FALSE)</f>
        <v>#N/A</v>
      </c>
      <c r="F241" s="3"/>
      <c r="G241" s="4"/>
      <c r="H241" s="4">
        <f t="shared" si="3"/>
        <v>0</v>
      </c>
    </row>
    <row r="242" spans="1:8">
      <c r="A242" s="2"/>
      <c r="E242" t="e">
        <f>VLOOKUP(TablaObra[[#This Row],[Equipo]],Catalogos!I$4:J$34,2,FALSE)</f>
        <v>#N/A</v>
      </c>
      <c r="F242" s="3"/>
      <c r="G242" s="4"/>
      <c r="H242" s="4">
        <f t="shared" si="3"/>
        <v>0</v>
      </c>
    </row>
    <row r="243" spans="1:8">
      <c r="A243" s="2"/>
      <c r="E243" t="e">
        <f>VLOOKUP(TablaObra[[#This Row],[Equipo]],Catalogos!I$4:J$34,2,FALSE)</f>
        <v>#N/A</v>
      </c>
      <c r="F243" s="3"/>
      <c r="G243" s="4"/>
      <c r="H243" s="4">
        <f t="shared" si="3"/>
        <v>0</v>
      </c>
    </row>
    <row r="244" spans="1:8">
      <c r="A244" s="2"/>
      <c r="E244" t="e">
        <f>VLOOKUP(TablaObra[[#This Row],[Equipo]],Catalogos!I$4:J$34,2,FALSE)</f>
        <v>#N/A</v>
      </c>
      <c r="F244" s="3"/>
      <c r="G244" s="4"/>
      <c r="H244" s="4">
        <f t="shared" si="3"/>
        <v>0</v>
      </c>
    </row>
    <row r="245" spans="1:8">
      <c r="A245" s="2"/>
      <c r="E245" t="e">
        <f>VLOOKUP(TablaObra[[#This Row],[Equipo]],Catalogos!I$4:J$34,2,FALSE)</f>
        <v>#N/A</v>
      </c>
      <c r="F245" s="3"/>
      <c r="G245" s="4"/>
      <c r="H245" s="4">
        <f t="shared" si="3"/>
        <v>0</v>
      </c>
    </row>
    <row r="246" spans="1:8">
      <c r="A246" s="2"/>
      <c r="E246" t="e">
        <f>VLOOKUP(TablaObra[[#This Row],[Equipo]],Catalogos!I$4:J$34,2,FALSE)</f>
        <v>#N/A</v>
      </c>
      <c r="F246" s="3"/>
      <c r="G246" s="4"/>
      <c r="H246" s="4">
        <f t="shared" si="3"/>
        <v>0</v>
      </c>
    </row>
    <row r="247" spans="1:8">
      <c r="A247" s="2"/>
      <c r="E247" t="e">
        <f>VLOOKUP(TablaObra[[#This Row],[Equipo]],Catalogos!I$4:J$34,2,FALSE)</f>
        <v>#N/A</v>
      </c>
      <c r="F247" s="3"/>
      <c r="G247" s="4"/>
      <c r="H247" s="4">
        <f t="shared" si="3"/>
        <v>0</v>
      </c>
    </row>
    <row r="248" spans="1:8">
      <c r="A248" s="2"/>
      <c r="E248" t="e">
        <f>VLOOKUP(TablaObra[[#This Row],[Equipo]],Catalogos!I$4:J$34,2,FALSE)</f>
        <v>#N/A</v>
      </c>
      <c r="F248" s="3"/>
      <c r="G248" s="4"/>
      <c r="H248" s="4">
        <f t="shared" si="3"/>
        <v>0</v>
      </c>
    </row>
    <row r="249" spans="1:8">
      <c r="A249" s="2"/>
      <c r="E249" t="e">
        <f>VLOOKUP(TablaObra[[#This Row],[Equipo]],Catalogos!I$4:J$34,2,FALSE)</f>
        <v>#N/A</v>
      </c>
      <c r="F249" s="3"/>
      <c r="G249" s="4"/>
      <c r="H249" s="4">
        <f t="shared" si="3"/>
        <v>0</v>
      </c>
    </row>
    <row r="250" spans="1:8">
      <c r="A250" s="2"/>
      <c r="E250" t="e">
        <f>VLOOKUP(TablaObra[[#This Row],[Equipo]],Catalogos!I$4:J$34,2,FALSE)</f>
        <v>#N/A</v>
      </c>
      <c r="F250" s="3"/>
      <c r="G250" s="4"/>
      <c r="H250" s="4">
        <f t="shared" si="3"/>
        <v>0</v>
      </c>
    </row>
    <row r="251" spans="1:8">
      <c r="A251" s="2"/>
      <c r="E251" t="e">
        <f>VLOOKUP(TablaObra[[#This Row],[Equipo]],Catalogos!I$4:J$34,2,FALSE)</f>
        <v>#N/A</v>
      </c>
      <c r="F251" s="3"/>
      <c r="G251" s="4"/>
      <c r="H251" s="4">
        <f t="shared" si="3"/>
        <v>0</v>
      </c>
    </row>
    <row r="252" spans="1:8">
      <c r="A252" s="2"/>
      <c r="E252" t="e">
        <f>VLOOKUP(TablaObra[[#This Row],[Equipo]],Catalogos!I$4:J$34,2,FALSE)</f>
        <v>#N/A</v>
      </c>
      <c r="F252" s="3"/>
      <c r="G252" s="4"/>
      <c r="H252" s="4">
        <f t="shared" si="3"/>
        <v>0</v>
      </c>
    </row>
    <row r="253" spans="1:8">
      <c r="A253" s="2"/>
      <c r="E253" t="e">
        <f>VLOOKUP(TablaObra[[#This Row],[Equipo]],Catalogos!I$4:J$34,2,FALSE)</f>
        <v>#N/A</v>
      </c>
      <c r="F253" s="3"/>
      <c r="G253" s="4"/>
      <c r="H253" s="4">
        <f t="shared" si="3"/>
        <v>0</v>
      </c>
    </row>
    <row r="254" spans="1:8">
      <c r="A254" s="2"/>
      <c r="E254" t="e">
        <f>VLOOKUP(TablaObra[[#This Row],[Equipo]],Catalogos!I$4:J$34,2,FALSE)</f>
        <v>#N/A</v>
      </c>
      <c r="F254" s="3"/>
      <c r="G254" s="4"/>
      <c r="H254" s="4">
        <f t="shared" si="3"/>
        <v>0</v>
      </c>
    </row>
    <row r="255" spans="1:8">
      <c r="A255" s="2"/>
      <c r="E255" t="e">
        <f>VLOOKUP(TablaObra[[#This Row],[Equipo]],Catalogos!I$4:J$34,2,FALSE)</f>
        <v>#N/A</v>
      </c>
      <c r="F255" s="3"/>
      <c r="G255" s="4"/>
      <c r="H255" s="4">
        <f t="shared" si="3"/>
        <v>0</v>
      </c>
    </row>
    <row r="256" spans="1:8">
      <c r="A256" s="2"/>
      <c r="E256" t="e">
        <f>VLOOKUP(TablaObra[[#This Row],[Equipo]],Catalogos!I$4:J$34,2,FALSE)</f>
        <v>#N/A</v>
      </c>
      <c r="F256" s="3"/>
      <c r="G256" s="4"/>
      <c r="H256" s="4">
        <f t="shared" si="3"/>
        <v>0</v>
      </c>
    </row>
    <row r="257" spans="1:8">
      <c r="A257" s="2"/>
      <c r="E257" t="e">
        <f>VLOOKUP(TablaObra[[#This Row],[Equipo]],Catalogos!I$4:J$34,2,FALSE)</f>
        <v>#N/A</v>
      </c>
      <c r="F257" s="3"/>
      <c r="G257" s="4"/>
      <c r="H257" s="4">
        <f t="shared" si="3"/>
        <v>0</v>
      </c>
    </row>
    <row r="258" spans="1:8">
      <c r="A258" s="2"/>
      <c r="E258" t="e">
        <f>VLOOKUP(TablaObra[[#This Row],[Equipo]],Catalogos!I$4:J$34,2,FALSE)</f>
        <v>#N/A</v>
      </c>
      <c r="F258" s="3"/>
      <c r="G258" s="4"/>
      <c r="H258" s="4">
        <f t="shared" si="3"/>
        <v>0</v>
      </c>
    </row>
    <row r="259" spans="1:8">
      <c r="A259" s="2"/>
      <c r="E259" t="e">
        <f>VLOOKUP(TablaObra[[#This Row],[Equipo]],Catalogos!I$4:J$34,2,FALSE)</f>
        <v>#N/A</v>
      </c>
      <c r="F259" s="3"/>
      <c r="G259" s="4"/>
      <c r="H259" s="4">
        <f t="shared" si="3"/>
        <v>0</v>
      </c>
    </row>
    <row r="260" spans="1:8">
      <c r="A260" s="2"/>
      <c r="E260" t="e">
        <f>VLOOKUP(TablaObra[[#This Row],[Equipo]],Catalogos!I$4:J$34,2,FALSE)</f>
        <v>#N/A</v>
      </c>
      <c r="F260" s="3"/>
      <c r="G260" s="4"/>
      <c r="H260" s="4">
        <f t="shared" si="3"/>
        <v>0</v>
      </c>
    </row>
    <row r="261" spans="1:8">
      <c r="A261" s="2"/>
      <c r="E261" t="e">
        <f>VLOOKUP(TablaObra[[#This Row],[Equipo]],Catalogos!I$4:J$34,2,FALSE)</f>
        <v>#N/A</v>
      </c>
      <c r="F261" s="3"/>
      <c r="G261" s="4"/>
      <c r="H261" s="4">
        <f t="shared" ref="H261:H304" si="4">IFERROR(F261*G261,0)</f>
        <v>0</v>
      </c>
    </row>
    <row r="262" spans="1:8">
      <c r="A262" s="2"/>
      <c r="E262" t="e">
        <f>VLOOKUP(TablaObra[[#This Row],[Equipo]],Catalogos!I$4:J$34,2,FALSE)</f>
        <v>#N/A</v>
      </c>
      <c r="F262" s="3"/>
      <c r="G262" s="4"/>
      <c r="H262" s="4">
        <f t="shared" si="4"/>
        <v>0</v>
      </c>
    </row>
    <row r="263" spans="1:8">
      <c r="A263" s="2"/>
      <c r="E263" t="e">
        <f>VLOOKUP(TablaObra[[#This Row],[Equipo]],Catalogos!I$4:J$34,2,FALSE)</f>
        <v>#N/A</v>
      </c>
      <c r="F263" s="3"/>
      <c r="G263" s="4"/>
      <c r="H263" s="4">
        <f t="shared" si="4"/>
        <v>0</v>
      </c>
    </row>
    <row r="264" spans="1:8">
      <c r="A264" s="2"/>
      <c r="E264" t="e">
        <f>VLOOKUP(TablaObra[[#This Row],[Equipo]],Catalogos!I$4:J$34,2,FALSE)</f>
        <v>#N/A</v>
      </c>
      <c r="F264" s="3"/>
      <c r="G264" s="4"/>
      <c r="H264" s="4">
        <f t="shared" si="4"/>
        <v>0</v>
      </c>
    </row>
    <row r="265" spans="1:8">
      <c r="A265" s="2"/>
      <c r="E265" t="e">
        <f>VLOOKUP(TablaObra[[#This Row],[Equipo]],Catalogos!I$4:J$34,2,FALSE)</f>
        <v>#N/A</v>
      </c>
      <c r="F265" s="3"/>
      <c r="G265" s="4"/>
      <c r="H265" s="4">
        <f t="shared" si="4"/>
        <v>0</v>
      </c>
    </row>
    <row r="266" spans="1:8">
      <c r="A266" s="2"/>
      <c r="E266" t="e">
        <f>VLOOKUP(TablaObra[[#This Row],[Equipo]],Catalogos!I$4:J$34,2,FALSE)</f>
        <v>#N/A</v>
      </c>
      <c r="F266" s="3"/>
      <c r="G266" s="4"/>
      <c r="H266" s="4">
        <f t="shared" si="4"/>
        <v>0</v>
      </c>
    </row>
    <row r="267" spans="1:8">
      <c r="A267" s="2"/>
      <c r="E267" t="e">
        <f>VLOOKUP(TablaObra[[#This Row],[Equipo]],Catalogos!I$4:J$34,2,FALSE)</f>
        <v>#N/A</v>
      </c>
      <c r="F267" s="3"/>
      <c r="G267" s="4"/>
      <c r="H267" s="4">
        <f t="shared" si="4"/>
        <v>0</v>
      </c>
    </row>
    <row r="268" spans="1:8">
      <c r="A268" s="2"/>
      <c r="E268" t="e">
        <f>VLOOKUP(TablaObra[[#This Row],[Equipo]],Catalogos!I$4:J$34,2,FALSE)</f>
        <v>#N/A</v>
      </c>
      <c r="F268" s="3"/>
      <c r="G268" s="4"/>
      <c r="H268" s="4">
        <f t="shared" si="4"/>
        <v>0</v>
      </c>
    </row>
    <row r="269" spans="1:8">
      <c r="A269" s="2"/>
      <c r="E269" t="e">
        <f>VLOOKUP(TablaObra[[#This Row],[Equipo]],Catalogos!I$4:J$34,2,FALSE)</f>
        <v>#N/A</v>
      </c>
      <c r="F269" s="3"/>
      <c r="G269" s="4"/>
      <c r="H269" s="4">
        <f t="shared" si="4"/>
        <v>0</v>
      </c>
    </row>
    <row r="270" spans="1:8">
      <c r="A270" s="2"/>
      <c r="E270" t="e">
        <f>VLOOKUP(TablaObra[[#This Row],[Equipo]],Catalogos!I$4:J$34,2,FALSE)</f>
        <v>#N/A</v>
      </c>
      <c r="F270" s="3"/>
      <c r="G270" s="4"/>
      <c r="H270" s="4">
        <f t="shared" si="4"/>
        <v>0</v>
      </c>
    </row>
    <row r="271" spans="1:8">
      <c r="A271" s="2"/>
      <c r="E271" t="e">
        <f>VLOOKUP(TablaObra[[#This Row],[Equipo]],Catalogos!I$4:J$34,2,FALSE)</f>
        <v>#N/A</v>
      </c>
      <c r="F271" s="3"/>
      <c r="G271" s="4"/>
      <c r="H271" s="4">
        <f t="shared" si="4"/>
        <v>0</v>
      </c>
    </row>
    <row r="272" spans="1:8">
      <c r="A272" s="2"/>
      <c r="E272" t="e">
        <f>VLOOKUP(TablaObra[[#This Row],[Equipo]],Catalogos!I$4:J$34,2,FALSE)</f>
        <v>#N/A</v>
      </c>
      <c r="F272" s="3"/>
      <c r="G272" s="4"/>
      <c r="H272" s="4">
        <f t="shared" si="4"/>
        <v>0</v>
      </c>
    </row>
    <row r="273" spans="1:8">
      <c r="A273" s="2"/>
      <c r="E273" t="e">
        <f>VLOOKUP(TablaObra[[#This Row],[Equipo]],Catalogos!I$4:J$34,2,FALSE)</f>
        <v>#N/A</v>
      </c>
      <c r="F273" s="3"/>
      <c r="G273" s="4"/>
      <c r="H273" s="4">
        <f t="shared" si="4"/>
        <v>0</v>
      </c>
    </row>
    <row r="274" spans="1:8">
      <c r="A274" s="2"/>
      <c r="E274" t="e">
        <f>VLOOKUP(TablaObra[[#This Row],[Equipo]],Catalogos!I$4:J$34,2,FALSE)</f>
        <v>#N/A</v>
      </c>
      <c r="F274" s="3"/>
      <c r="G274" s="4"/>
      <c r="H274" s="4">
        <f t="shared" si="4"/>
        <v>0</v>
      </c>
    </row>
    <row r="275" spans="1:8">
      <c r="A275" s="2"/>
      <c r="E275" t="e">
        <f>VLOOKUP(TablaObra[[#This Row],[Equipo]],Catalogos!I$4:J$34,2,FALSE)</f>
        <v>#N/A</v>
      </c>
      <c r="F275" s="3"/>
      <c r="G275" s="4"/>
      <c r="H275" s="4">
        <f t="shared" si="4"/>
        <v>0</v>
      </c>
    </row>
    <row r="276" spans="1:8">
      <c r="A276" s="2"/>
      <c r="E276" t="e">
        <f>VLOOKUP(TablaObra[[#This Row],[Equipo]],Catalogos!I$4:J$34,2,FALSE)</f>
        <v>#N/A</v>
      </c>
      <c r="F276" s="3"/>
      <c r="G276" s="4"/>
      <c r="H276" s="4">
        <f t="shared" si="4"/>
        <v>0</v>
      </c>
    </row>
    <row r="277" spans="1:8">
      <c r="A277" s="2"/>
      <c r="E277" t="e">
        <f>VLOOKUP(TablaObra[[#This Row],[Equipo]],Catalogos!I$4:J$34,2,FALSE)</f>
        <v>#N/A</v>
      </c>
      <c r="F277" s="3"/>
      <c r="G277" s="4"/>
      <c r="H277" s="4">
        <f t="shared" si="4"/>
        <v>0</v>
      </c>
    </row>
    <row r="278" spans="1:8">
      <c r="A278" s="2"/>
      <c r="E278" t="e">
        <f>VLOOKUP(TablaObra[[#This Row],[Equipo]],Catalogos!I$4:J$34,2,FALSE)</f>
        <v>#N/A</v>
      </c>
      <c r="F278" s="3"/>
      <c r="G278" s="4"/>
      <c r="H278" s="4">
        <f t="shared" si="4"/>
        <v>0</v>
      </c>
    </row>
    <row r="279" spans="1:8">
      <c r="A279" s="2"/>
      <c r="E279" t="e">
        <f>VLOOKUP(TablaObra[[#This Row],[Equipo]],Catalogos!I$4:J$34,2,FALSE)</f>
        <v>#N/A</v>
      </c>
      <c r="F279" s="3"/>
      <c r="G279" s="4"/>
      <c r="H279" s="4">
        <f t="shared" si="4"/>
        <v>0</v>
      </c>
    </row>
    <row r="280" spans="1:8">
      <c r="A280" s="2"/>
      <c r="E280" t="e">
        <f>VLOOKUP(TablaObra[[#This Row],[Equipo]],Catalogos!I$4:J$34,2,FALSE)</f>
        <v>#N/A</v>
      </c>
      <c r="F280" s="3"/>
      <c r="G280" s="4"/>
      <c r="H280" s="4">
        <f t="shared" si="4"/>
        <v>0</v>
      </c>
    </row>
    <row r="281" spans="1:8">
      <c r="A281" s="2"/>
      <c r="E281" t="e">
        <f>VLOOKUP(TablaObra[[#This Row],[Equipo]],Catalogos!I$4:J$34,2,FALSE)</f>
        <v>#N/A</v>
      </c>
      <c r="F281" s="3"/>
      <c r="G281" s="4"/>
      <c r="H281" s="4">
        <f t="shared" si="4"/>
        <v>0</v>
      </c>
    </row>
    <row r="282" spans="1:8">
      <c r="A282" s="2"/>
      <c r="E282" t="e">
        <f>VLOOKUP(TablaObra[[#This Row],[Equipo]],Catalogos!I$4:J$34,2,FALSE)</f>
        <v>#N/A</v>
      </c>
      <c r="F282" s="3"/>
      <c r="G282" s="4"/>
      <c r="H282" s="4">
        <f t="shared" si="4"/>
        <v>0</v>
      </c>
    </row>
    <row r="283" spans="1:8">
      <c r="A283" s="2"/>
      <c r="E283" t="e">
        <f>VLOOKUP(TablaObra[[#This Row],[Equipo]],Catalogos!I$4:J$34,2,FALSE)</f>
        <v>#N/A</v>
      </c>
      <c r="F283" s="3"/>
      <c r="G283" s="4"/>
      <c r="H283" s="4">
        <f t="shared" si="4"/>
        <v>0</v>
      </c>
    </row>
    <row r="284" spans="1:8">
      <c r="A284" s="2"/>
      <c r="E284" t="e">
        <f>VLOOKUP(TablaObra[[#This Row],[Equipo]],Catalogos!I$4:J$34,2,FALSE)</f>
        <v>#N/A</v>
      </c>
      <c r="F284" s="3"/>
      <c r="G284" s="4"/>
      <c r="H284" s="4">
        <f t="shared" si="4"/>
        <v>0</v>
      </c>
    </row>
    <row r="285" spans="1:8">
      <c r="A285" s="2"/>
      <c r="E285" t="e">
        <f>VLOOKUP(TablaObra[[#This Row],[Equipo]],Catalogos!I$4:J$34,2,FALSE)</f>
        <v>#N/A</v>
      </c>
      <c r="F285" s="3"/>
      <c r="G285" s="4"/>
      <c r="H285" s="4">
        <f t="shared" si="4"/>
        <v>0</v>
      </c>
    </row>
    <row r="286" spans="1:8">
      <c r="A286" s="2"/>
      <c r="E286" t="e">
        <f>VLOOKUP(TablaObra[[#This Row],[Equipo]],Catalogos!I$4:J$34,2,FALSE)</f>
        <v>#N/A</v>
      </c>
      <c r="F286" s="3"/>
      <c r="G286" s="4"/>
      <c r="H286" s="4">
        <f t="shared" si="4"/>
        <v>0</v>
      </c>
    </row>
    <row r="287" spans="1:8">
      <c r="A287" s="2"/>
      <c r="E287" t="e">
        <f>VLOOKUP(TablaObra[[#This Row],[Equipo]],Catalogos!I$4:J$34,2,FALSE)</f>
        <v>#N/A</v>
      </c>
      <c r="F287" s="3"/>
      <c r="G287" s="4"/>
      <c r="H287" s="4">
        <f t="shared" si="4"/>
        <v>0</v>
      </c>
    </row>
    <row r="288" spans="1:8">
      <c r="A288" s="2"/>
      <c r="E288" t="e">
        <f>VLOOKUP(TablaObra[[#This Row],[Equipo]],Catalogos!I$4:J$34,2,FALSE)</f>
        <v>#N/A</v>
      </c>
      <c r="F288" s="3"/>
      <c r="G288" s="4"/>
      <c r="H288" s="4">
        <f t="shared" si="4"/>
        <v>0</v>
      </c>
    </row>
    <row r="289" spans="1:8">
      <c r="A289" s="2"/>
      <c r="E289" t="e">
        <f>VLOOKUP(TablaObra[[#This Row],[Equipo]],Catalogos!I$4:J$34,2,FALSE)</f>
        <v>#N/A</v>
      </c>
      <c r="F289" s="3"/>
      <c r="G289" s="4"/>
      <c r="H289" s="4">
        <f t="shared" si="4"/>
        <v>0</v>
      </c>
    </row>
    <row r="290" spans="1:8">
      <c r="A290" s="2"/>
      <c r="E290" t="e">
        <f>VLOOKUP(TablaObra[[#This Row],[Equipo]],Catalogos!I$4:J$34,2,FALSE)</f>
        <v>#N/A</v>
      </c>
      <c r="F290" s="3"/>
      <c r="G290" s="4"/>
      <c r="H290" s="4">
        <f t="shared" si="4"/>
        <v>0</v>
      </c>
    </row>
    <row r="291" spans="1:8">
      <c r="A291" s="2"/>
      <c r="E291" t="e">
        <f>VLOOKUP(TablaObra[[#This Row],[Equipo]],Catalogos!I$4:J$34,2,FALSE)</f>
        <v>#N/A</v>
      </c>
      <c r="F291" s="3"/>
      <c r="G291" s="4"/>
      <c r="H291" s="4">
        <f t="shared" si="4"/>
        <v>0</v>
      </c>
    </row>
    <row r="292" spans="1:8">
      <c r="A292" s="2"/>
      <c r="E292" t="e">
        <f>VLOOKUP(TablaObra[[#This Row],[Equipo]],Catalogos!I$4:J$34,2,FALSE)</f>
        <v>#N/A</v>
      </c>
      <c r="F292" s="3"/>
      <c r="G292" s="4"/>
      <c r="H292" s="4">
        <f t="shared" si="4"/>
        <v>0</v>
      </c>
    </row>
    <row r="293" spans="1:8">
      <c r="A293" s="2"/>
      <c r="E293" t="e">
        <f>VLOOKUP(TablaObra[[#This Row],[Equipo]],Catalogos!I$4:J$34,2,FALSE)</f>
        <v>#N/A</v>
      </c>
      <c r="F293" s="3"/>
      <c r="G293" s="4"/>
      <c r="H293" s="4">
        <f t="shared" si="4"/>
        <v>0</v>
      </c>
    </row>
    <row r="294" spans="1:8">
      <c r="A294" s="2"/>
      <c r="E294" t="e">
        <f>VLOOKUP(TablaObra[[#This Row],[Equipo]],Catalogos!I$4:J$34,2,FALSE)</f>
        <v>#N/A</v>
      </c>
      <c r="F294" s="3"/>
      <c r="G294" s="4"/>
      <c r="H294" s="4">
        <f t="shared" si="4"/>
        <v>0</v>
      </c>
    </row>
    <row r="295" spans="1:8">
      <c r="A295" s="2"/>
      <c r="E295" t="e">
        <f>VLOOKUP(TablaObra[[#This Row],[Equipo]],Catalogos!I$4:J$34,2,FALSE)</f>
        <v>#N/A</v>
      </c>
      <c r="F295" s="3"/>
      <c r="G295" s="4"/>
      <c r="H295" s="4">
        <f t="shared" si="4"/>
        <v>0</v>
      </c>
    </row>
    <row r="296" spans="1:8">
      <c r="A296" s="2"/>
      <c r="E296" t="e">
        <f>VLOOKUP(TablaObra[[#This Row],[Equipo]],Catalogos!I$4:J$34,2,FALSE)</f>
        <v>#N/A</v>
      </c>
      <c r="F296" s="3"/>
      <c r="G296" s="4"/>
      <c r="H296" s="4">
        <f t="shared" si="4"/>
        <v>0</v>
      </c>
    </row>
    <row r="297" spans="1:8">
      <c r="A297" s="2"/>
      <c r="E297" t="e">
        <f>VLOOKUP(TablaObra[[#This Row],[Equipo]],Catalogos!I$4:J$34,2,FALSE)</f>
        <v>#N/A</v>
      </c>
      <c r="F297" s="3"/>
      <c r="G297" s="4"/>
      <c r="H297" s="4">
        <f t="shared" si="4"/>
        <v>0</v>
      </c>
    </row>
    <row r="298" spans="1:8">
      <c r="A298" s="2"/>
      <c r="E298" t="e">
        <f>VLOOKUP(TablaObra[[#This Row],[Equipo]],Catalogos!I$4:J$34,2,FALSE)</f>
        <v>#N/A</v>
      </c>
      <c r="F298" s="3"/>
      <c r="G298" s="4"/>
      <c r="H298" s="4">
        <f t="shared" si="4"/>
        <v>0</v>
      </c>
    </row>
    <row r="299" spans="1:8">
      <c r="A299" s="2"/>
      <c r="E299" t="e">
        <f>VLOOKUP(TablaObra[[#This Row],[Equipo]],Catalogos!I$4:J$34,2,FALSE)</f>
        <v>#N/A</v>
      </c>
      <c r="F299" s="3"/>
      <c r="G299" s="4"/>
      <c r="H299" s="4">
        <f t="shared" si="4"/>
        <v>0</v>
      </c>
    </row>
    <row r="300" spans="1:8">
      <c r="A300" s="2"/>
      <c r="E300" t="e">
        <f>VLOOKUP(TablaObra[[#This Row],[Equipo]],Catalogos!I$4:J$34,2,FALSE)</f>
        <v>#N/A</v>
      </c>
      <c r="F300" s="3"/>
      <c r="G300" s="4"/>
      <c r="H300" s="4">
        <f t="shared" si="4"/>
        <v>0</v>
      </c>
    </row>
    <row r="301" spans="1:8">
      <c r="A301" s="2"/>
      <c r="E301" t="e">
        <f>VLOOKUP(TablaObra[[#This Row],[Equipo]],Catalogos!I$4:J$34,2,FALSE)</f>
        <v>#N/A</v>
      </c>
      <c r="F301" s="3"/>
      <c r="G301" s="4"/>
      <c r="H301" s="4">
        <f t="shared" si="4"/>
        <v>0</v>
      </c>
    </row>
    <row r="302" spans="1:8">
      <c r="A302" s="2"/>
      <c r="E302" t="e">
        <f>VLOOKUP(TablaObra[[#This Row],[Equipo]],Catalogos!I$4:J$34,2,FALSE)</f>
        <v>#N/A</v>
      </c>
      <c r="F302" s="3"/>
      <c r="G302" s="4"/>
      <c r="H302" s="4">
        <f t="shared" si="4"/>
        <v>0</v>
      </c>
    </row>
    <row r="303" spans="1:8">
      <c r="A303" s="2"/>
      <c r="E303" t="e">
        <f>VLOOKUP(TablaObra[[#This Row],[Equipo]],Catalogos!I$4:J$34,2,FALSE)</f>
        <v>#N/A</v>
      </c>
      <c r="F303" s="3"/>
      <c r="G303" s="4"/>
      <c r="H303" s="4">
        <f t="shared" si="4"/>
        <v>0</v>
      </c>
    </row>
    <row r="304" spans="1:8">
      <c r="A304" s="2"/>
      <c r="E304" t="e">
        <f>VLOOKUP(TablaObra[[#This Row],[Equipo]],Catalogos!I$4:J$34,2,FALSE)</f>
        <v>#N/A</v>
      </c>
      <c r="F304" s="3"/>
      <c r="G304" s="4"/>
      <c r="H304" s="4">
        <f t="shared" si="4"/>
        <v>0</v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Catalogos!$B$4:$B$7</xm:f>
          </x14:formula1>
          <xm:sqref>B5:B16 B20:B30 B34:B36 B53:B304 B38:B43</xm:sqref>
        </x14:dataValidation>
        <x14:dataValidation type="list" xr:uid="{00000000-0002-0000-0300-000002000000}">
          <x14:formula1>
            <xm:f>Catalogos!$J$4:$J$18</xm:f>
          </x14:formula1>
          <xm:sqref>E5:E304</xm:sqref>
        </x14:dataValidation>
        <x14:dataValidation type="list" allowBlank="1" showInputMessage="1" showErrorMessage="1" xr:uid="{0213A8B7-428E-4AE7-8F37-5C74E56EF22F}">
          <x14:formula1>
            <xm:f>Catalogos!$I$4:$I$34</xm:f>
          </x14:formula1>
          <xm:sqref>D5:D16 D20:D30 D34:D36 D38:D43 D53:D64</xm:sqref>
        </x14:dataValidation>
        <x14:dataValidation type="list" allowBlank="1" showInputMessage="1" showErrorMessage="1" xr:uid="{2900498E-9E6E-4E60-8E33-7E6D2B9F4253}">
          <x14:formula1>
            <xm:f>Catalogos!$B$4:$B$10</xm:f>
          </x14:formula1>
          <xm:sqref>B17:B19 B31:B33 B37 B44:B52</xm:sqref>
        </x14:dataValidation>
        <x14:dataValidation type="list" xr:uid="{BB7DC188-A8F4-4AD4-83EB-ADE54C2DEA41}">
          <x14:formula1>
            <xm:f>Catalogos!$I$4:$I$34</xm:f>
          </x14:formula1>
          <xm:sqref>D17:D19 D31:D33 D37 D44:D52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workbookViewId="0">
      <selection activeCell="B8" sqref="B8:B10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22" customWidth="1"/>
    <col min="10" max="10" width="12.09765625" customWidth="1"/>
  </cols>
  <sheetData>
    <row r="1" spans="1:12" ht="22.35" customHeight="1">
      <c r="A1" s="406" t="s">
        <v>37</v>
      </c>
      <c r="B1" s="407"/>
      <c r="C1" s="407"/>
      <c r="D1" s="407"/>
      <c r="E1" s="407"/>
      <c r="F1" s="407"/>
      <c r="G1" s="407"/>
      <c r="H1" s="407"/>
      <c r="I1" s="407"/>
      <c r="K1" s="326"/>
      <c r="L1" s="327"/>
    </row>
    <row r="2" spans="1:12" ht="16.8">
      <c r="K2" s="294" t="s">
        <v>194</v>
      </c>
      <c r="L2" s="295" t="s">
        <v>195</v>
      </c>
    </row>
    <row r="3" spans="1:12" ht="16.8">
      <c r="A3" s="1" t="s">
        <v>38</v>
      </c>
      <c r="B3" s="1" t="s">
        <v>0</v>
      </c>
      <c r="C3" s="1" t="s">
        <v>120</v>
      </c>
      <c r="E3" s="1" t="s">
        <v>39</v>
      </c>
      <c r="F3" s="1" t="s">
        <v>40</v>
      </c>
      <c r="I3" s="1" t="s">
        <v>41</v>
      </c>
      <c r="J3" s="1" t="s">
        <v>28</v>
      </c>
      <c r="K3" s="328"/>
      <c r="L3" s="329"/>
    </row>
    <row r="4" spans="1:12" ht="16.8">
      <c r="A4" t="s">
        <v>42</v>
      </c>
      <c r="B4" t="s">
        <v>1</v>
      </c>
      <c r="C4" t="s">
        <v>121</v>
      </c>
      <c r="E4" t="s">
        <v>43</v>
      </c>
      <c r="F4" t="s">
        <v>44</v>
      </c>
      <c r="I4" t="s">
        <v>46</v>
      </c>
      <c r="J4" t="s">
        <v>45</v>
      </c>
      <c r="K4" s="330" t="s">
        <v>1</v>
      </c>
      <c r="L4" s="296">
        <v>46181</v>
      </c>
    </row>
    <row r="5" spans="1:12" ht="16.8">
      <c r="A5" t="s">
        <v>47</v>
      </c>
      <c r="B5" t="s">
        <v>2</v>
      </c>
      <c r="C5" t="s">
        <v>122</v>
      </c>
      <c r="E5" t="s">
        <v>48</v>
      </c>
      <c r="F5" t="s">
        <v>49</v>
      </c>
      <c r="I5" t="s">
        <v>51</v>
      </c>
      <c r="J5" t="s">
        <v>50</v>
      </c>
      <c r="K5" s="331" t="s">
        <v>2</v>
      </c>
      <c r="L5" s="297">
        <v>46188</v>
      </c>
    </row>
    <row r="6" spans="1:12" ht="16.8">
      <c r="A6" t="s">
        <v>136</v>
      </c>
      <c r="B6" t="s">
        <v>129</v>
      </c>
      <c r="E6" t="s">
        <v>137</v>
      </c>
      <c r="F6" t="s">
        <v>130</v>
      </c>
      <c r="I6" t="s">
        <v>56</v>
      </c>
      <c r="J6" t="s">
        <v>55</v>
      </c>
      <c r="K6" s="332" t="s">
        <v>3</v>
      </c>
      <c r="L6" s="298">
        <v>46195</v>
      </c>
    </row>
    <row r="7" spans="1:12" ht="16.8">
      <c r="A7" t="s">
        <v>52</v>
      </c>
      <c r="B7" t="s">
        <v>3</v>
      </c>
      <c r="C7" t="s">
        <v>123</v>
      </c>
      <c r="E7" t="s">
        <v>53</v>
      </c>
      <c r="F7" t="s">
        <v>54</v>
      </c>
      <c r="I7" t="s">
        <v>60</v>
      </c>
      <c r="J7" t="s">
        <v>59</v>
      </c>
      <c r="K7" s="333" t="s">
        <v>126</v>
      </c>
      <c r="L7" s="299">
        <v>46202</v>
      </c>
    </row>
    <row r="8" spans="1:12" ht="16.8">
      <c r="A8" t="s">
        <v>135</v>
      </c>
      <c r="B8" t="s">
        <v>126</v>
      </c>
      <c r="C8" t="s">
        <v>139</v>
      </c>
      <c r="E8" t="s">
        <v>57</v>
      </c>
      <c r="F8" t="s">
        <v>58</v>
      </c>
      <c r="I8" t="s">
        <v>63</v>
      </c>
      <c r="J8" t="s">
        <v>62</v>
      </c>
      <c r="K8" s="334" t="s">
        <v>196</v>
      </c>
      <c r="L8" s="300">
        <v>46209</v>
      </c>
    </row>
    <row r="9" spans="1:12" ht="16.8">
      <c r="A9" t="s">
        <v>137</v>
      </c>
      <c r="B9" t="s">
        <v>130</v>
      </c>
      <c r="E9" t="s">
        <v>138</v>
      </c>
      <c r="F9" t="s">
        <v>131</v>
      </c>
      <c r="I9" t="s">
        <v>65</v>
      </c>
      <c r="J9" t="s">
        <v>64</v>
      </c>
      <c r="K9" s="335"/>
      <c r="L9" s="301">
        <v>46216</v>
      </c>
    </row>
    <row r="10" spans="1:12" ht="16.8">
      <c r="A10" s="6" t="s">
        <v>138</v>
      </c>
      <c r="B10" s="6" t="s">
        <v>140</v>
      </c>
      <c r="C10" s="5"/>
      <c r="E10" t="s">
        <v>132</v>
      </c>
      <c r="F10" t="s">
        <v>61</v>
      </c>
      <c r="I10" t="s">
        <v>67</v>
      </c>
      <c r="J10" t="s">
        <v>66</v>
      </c>
      <c r="K10" s="336"/>
      <c r="L10" s="302">
        <v>46223</v>
      </c>
    </row>
    <row r="11" spans="1:12" ht="16.8">
      <c r="I11" t="s">
        <v>69</v>
      </c>
      <c r="J11" t="s">
        <v>68</v>
      </c>
      <c r="K11" s="337"/>
      <c r="L11" s="303">
        <v>46230</v>
      </c>
    </row>
    <row r="12" spans="1:12" ht="16.8">
      <c r="I12" t="s">
        <v>87</v>
      </c>
      <c r="J12" t="s">
        <v>88</v>
      </c>
      <c r="K12" s="338"/>
      <c r="L12" s="304">
        <v>46237</v>
      </c>
    </row>
    <row r="13" spans="1:12" ht="16.8">
      <c r="I13" t="s">
        <v>89</v>
      </c>
      <c r="J13" t="s">
        <v>90</v>
      </c>
      <c r="K13" s="339"/>
      <c r="L13" s="305">
        <v>46244</v>
      </c>
    </row>
    <row r="14" spans="1:12" ht="16.8">
      <c r="I14" t="s">
        <v>91</v>
      </c>
      <c r="J14" t="s">
        <v>92</v>
      </c>
      <c r="K14" s="340"/>
      <c r="L14" s="306">
        <v>46251</v>
      </c>
    </row>
    <row r="15" spans="1:12" ht="16.8">
      <c r="I15" t="s">
        <v>93</v>
      </c>
      <c r="J15" t="s">
        <v>94</v>
      </c>
      <c r="K15" s="341"/>
      <c r="L15" s="307">
        <v>46258</v>
      </c>
    </row>
    <row r="16" spans="1:12" ht="16.8">
      <c r="I16" t="s">
        <v>95</v>
      </c>
      <c r="J16" t="s">
        <v>96</v>
      </c>
      <c r="K16" s="342"/>
      <c r="L16" s="308">
        <v>46265</v>
      </c>
    </row>
    <row r="17" spans="9:12" ht="16.8">
      <c r="I17" t="s">
        <v>71</v>
      </c>
      <c r="J17" t="s">
        <v>70</v>
      </c>
      <c r="K17" s="343"/>
      <c r="L17" s="309">
        <v>46272</v>
      </c>
    </row>
    <row r="18" spans="9:12" ht="16.8">
      <c r="I18" t="s">
        <v>76</v>
      </c>
      <c r="J18" t="s">
        <v>77</v>
      </c>
      <c r="K18" s="344"/>
      <c r="L18" s="310">
        <v>46279</v>
      </c>
    </row>
    <row r="19" spans="9:12" ht="16.8">
      <c r="I19" t="s">
        <v>80</v>
      </c>
      <c r="J19" t="s">
        <v>79</v>
      </c>
      <c r="K19" s="345"/>
      <c r="L19" s="311">
        <v>46286</v>
      </c>
    </row>
    <row r="20" spans="9:12" ht="16.8">
      <c r="I20" t="s">
        <v>81</v>
      </c>
      <c r="J20" t="s">
        <v>82</v>
      </c>
      <c r="K20" s="346"/>
      <c r="L20" s="312">
        <v>46293</v>
      </c>
    </row>
    <row r="21" spans="9:12" ht="16.8">
      <c r="I21" t="s">
        <v>97</v>
      </c>
      <c r="J21" t="s">
        <v>83</v>
      </c>
      <c r="K21" s="347"/>
      <c r="L21" s="313">
        <v>46300</v>
      </c>
    </row>
    <row r="22" spans="9:12" ht="16.8">
      <c r="I22" t="s">
        <v>98</v>
      </c>
      <c r="J22" t="s">
        <v>99</v>
      </c>
      <c r="K22" s="348"/>
      <c r="L22" s="314">
        <v>46307</v>
      </c>
    </row>
    <row r="23" spans="9:12" ht="16.8">
      <c r="I23" t="s">
        <v>100</v>
      </c>
      <c r="J23" t="s">
        <v>101</v>
      </c>
      <c r="K23" s="349"/>
      <c r="L23" s="315">
        <v>46314</v>
      </c>
    </row>
    <row r="24" spans="9:12" ht="16.8">
      <c r="I24" t="s">
        <v>102</v>
      </c>
      <c r="J24" t="s">
        <v>103</v>
      </c>
      <c r="K24" s="350"/>
      <c r="L24" s="316">
        <v>46321</v>
      </c>
    </row>
    <row r="25" spans="9:12" ht="16.8">
      <c r="I25" t="s">
        <v>104</v>
      </c>
      <c r="J25" t="s">
        <v>105</v>
      </c>
      <c r="K25" s="351"/>
      <c r="L25" s="317">
        <v>46328</v>
      </c>
    </row>
    <row r="26" spans="9:12" ht="16.8">
      <c r="I26" t="s">
        <v>106</v>
      </c>
      <c r="J26" t="s">
        <v>107</v>
      </c>
      <c r="K26" s="352"/>
      <c r="L26" s="318">
        <v>46335</v>
      </c>
    </row>
    <row r="27" spans="9:12" ht="16.8">
      <c r="I27" t="s">
        <v>108</v>
      </c>
      <c r="J27" t="s">
        <v>109</v>
      </c>
      <c r="K27" s="353"/>
      <c r="L27" s="319">
        <v>46342</v>
      </c>
    </row>
    <row r="28" spans="9:12" ht="16.8">
      <c r="I28" t="s">
        <v>110</v>
      </c>
      <c r="J28" t="s">
        <v>111</v>
      </c>
      <c r="K28" s="354"/>
      <c r="L28" s="320">
        <v>46349</v>
      </c>
    </row>
    <row r="29" spans="9:12" ht="16.8">
      <c r="I29" t="s">
        <v>114</v>
      </c>
      <c r="J29" t="s">
        <v>115</v>
      </c>
      <c r="K29" s="355"/>
      <c r="L29" s="321">
        <v>46356</v>
      </c>
    </row>
    <row r="30" spans="9:12" ht="16.8">
      <c r="I30" t="s">
        <v>112</v>
      </c>
      <c r="J30" t="s">
        <v>113</v>
      </c>
      <c r="K30" s="356"/>
      <c r="L30" s="322">
        <v>46363</v>
      </c>
    </row>
    <row r="31" spans="9:12" ht="16.8">
      <c r="I31" t="s">
        <v>116</v>
      </c>
      <c r="J31" t="s">
        <v>117</v>
      </c>
      <c r="K31" s="357"/>
      <c r="L31" s="323">
        <v>46370</v>
      </c>
    </row>
    <row r="32" spans="9:12" ht="16.8">
      <c r="I32" t="s">
        <v>127</v>
      </c>
      <c r="J32" t="s">
        <v>128</v>
      </c>
      <c r="K32" s="358"/>
      <c r="L32" s="324">
        <v>46377</v>
      </c>
    </row>
    <row r="33" spans="9:12" ht="16.8">
      <c r="I33" t="s">
        <v>133</v>
      </c>
      <c r="J33" t="s">
        <v>134</v>
      </c>
      <c r="K33" s="359"/>
      <c r="L33" s="325">
        <v>46384</v>
      </c>
    </row>
    <row r="34" spans="9:12" ht="16.8">
      <c r="I34" t="s">
        <v>61</v>
      </c>
      <c r="J34" t="s">
        <v>84</v>
      </c>
      <c r="K34" s="360"/>
      <c r="L34" s="361"/>
    </row>
    <row r="35" spans="9:12" ht="16.8">
      <c r="K35" s="362"/>
      <c r="L35" s="363"/>
    </row>
  </sheetData>
  <mergeCells count="1"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Resumen_Ejecutivo_Copia</vt:lpstr>
      <vt:lpstr>Dashboard_Copia</vt:lpstr>
      <vt:lpstr>Base_Datos</vt:lpstr>
      <vt:lpstr>Dashboard_Ejecutivo</vt:lpstr>
      <vt:lpstr>Captura_Pegaso</vt:lpstr>
      <vt:lpstr>Captura_Marimba_M01</vt:lpstr>
      <vt:lpstr>Solicitudes</vt:lpstr>
      <vt:lpstr>Captura_Obra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2026-07-01T16:56:13Z</dcterms:modified>
</cp:coreProperties>
</file>