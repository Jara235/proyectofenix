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formatos\"/>
    </mc:Choice>
  </mc:AlternateContent>
  <xr:revisionPtr revIDLastSave="0" documentId="13_ncr:1_{FF502FDC-6630-4D83-AA20-BF1A9F3806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Obra" sheetId="1" r:id="rId1"/>
    <sheet name="Catalogos" sheetId="2" r:id="rId2"/>
  </sheets>
  <definedNames>
    <definedName name="_xlnm.Print_Area" localSheetId="0">'Formato Obra'!$B$1:$L$90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B32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L31" i="1"/>
  <c r="J31" i="1"/>
  <c r="B31" i="1"/>
  <c r="E19" i="1"/>
</calcChain>
</file>

<file path=xl/sharedStrings.xml><?xml version="1.0" encoding="utf-8"?>
<sst xmlns="http://schemas.openxmlformats.org/spreadsheetml/2006/main" count="196" uniqueCount="167">
  <si>
    <t>GC-COMB-003: BITÁCORA SEMANAL DE CONTROL DE COMBUSTIBLE EN OBRA</t>
  </si>
  <si>
    <t>Semana No.:</t>
  </si>
  <si>
    <t>al:</t>
  </si>
  <si>
    <t>Ingeniero Responsable:</t>
  </si>
  <si>
    <t>1. COMBUSTIBLE RECIBIDO DURANTE LA SEMANA</t>
  </si>
  <si>
    <t>FECHA (DÍA)</t>
  </si>
  <si>
    <t>FUENTE (PEGASO / MARIMBA)</t>
  </si>
  <si>
    <t>LITROS RECIBIDOS</t>
  </si>
  <si>
    <t>LUNES</t>
  </si>
  <si>
    <t>MARTES</t>
  </si>
  <si>
    <t>MIERCOLES</t>
  </si>
  <si>
    <t>JUEVES</t>
  </si>
  <si>
    <t>VIERNES</t>
  </si>
  <si>
    <t>SÁBADO</t>
  </si>
  <si>
    <t>DOMINGO</t>
  </si>
  <si>
    <t>TOTAL RECIBIDO EN LA SEMANA:</t>
  </si>
  <si>
    <t>LUN</t>
  </si>
  <si>
    <t>MAR</t>
  </si>
  <si>
    <t>MIE</t>
  </si>
  <si>
    <t>JUE</t>
  </si>
  <si>
    <t>VIE</t>
  </si>
  <si>
    <t>SAB</t>
  </si>
  <si>
    <t>TOT HORAS</t>
  </si>
  <si>
    <t>9.</t>
  </si>
  <si>
    <t>10.</t>
  </si>
  <si>
    <t>11.</t>
  </si>
  <si>
    <t>12.</t>
  </si>
  <si>
    <t>13.</t>
  </si>
  <si>
    <t>14.</t>
  </si>
  <si>
    <t>15.</t>
  </si>
  <si>
    <t>16.</t>
  </si>
  <si>
    <t>2. REGISTRO TRANSACCIONAL DE COMBUSTIBLE (NUEVO MODELO)</t>
  </si>
  <si>
    <t>Folio Ticket</t>
  </si>
  <si>
    <t>Fecha (DD/MM)</t>
  </si>
  <si>
    <t>Hora (HH:MM)</t>
  </si>
  <si>
    <t>Origen (Suministro)</t>
  </si>
  <si>
    <t>Litros</t>
  </si>
  <si>
    <t>Operador/Firma</t>
  </si>
  <si>
    <t>3.TRABAJO POR HORA DE MAQUINARIA</t>
  </si>
  <si>
    <t>MAQUINARIA</t>
  </si>
  <si>
    <t>1.</t>
  </si>
  <si>
    <t>2.</t>
  </si>
  <si>
    <t>3.</t>
  </si>
  <si>
    <t>4.</t>
  </si>
  <si>
    <t>5.</t>
  </si>
  <si>
    <t>6.</t>
  </si>
  <si>
    <t>7.</t>
  </si>
  <si>
    <t>8.</t>
  </si>
  <si>
    <t>Obras</t>
  </si>
  <si>
    <t>Origen</t>
  </si>
  <si>
    <t>México-Toluca</t>
  </si>
  <si>
    <t>Gasolinera Huixquilucan</t>
  </si>
  <si>
    <t>RT-03</t>
  </si>
  <si>
    <t>Lerma - Tres Marías</t>
  </si>
  <si>
    <t>Tanque Pegaso</t>
  </si>
  <si>
    <t>VG-01</t>
  </si>
  <si>
    <t>No aplica</t>
  </si>
  <si>
    <t>Planta Asfalto Pegaso</t>
  </si>
  <si>
    <t>VG-02</t>
  </si>
  <si>
    <t>Chamapa-Lechería</t>
  </si>
  <si>
    <t>Marimba M-01</t>
  </si>
  <si>
    <t>VG-03</t>
  </si>
  <si>
    <t>Bacheo Toluca</t>
  </si>
  <si>
    <t>Carga directa</t>
  </si>
  <si>
    <t>PR-01</t>
  </si>
  <si>
    <t>Planta Asfaltos</t>
  </si>
  <si>
    <t>PR-02</t>
  </si>
  <si>
    <t>Planta Asflato Huixquilucan</t>
  </si>
  <si>
    <t>Entrada</t>
  </si>
  <si>
    <t>BR-01</t>
  </si>
  <si>
    <t>Dragones</t>
  </si>
  <si>
    <t>Salida</t>
  </si>
  <si>
    <t>BR-02</t>
  </si>
  <si>
    <t>Jalisco</t>
  </si>
  <si>
    <t>BR-03</t>
  </si>
  <si>
    <t>BR-04</t>
  </si>
  <si>
    <t>DR-01</t>
  </si>
  <si>
    <t>DR-02</t>
  </si>
  <si>
    <t>TD-01</t>
  </si>
  <si>
    <t>VC-01</t>
  </si>
  <si>
    <t>NM-01</t>
  </si>
  <si>
    <t>NM-02</t>
  </si>
  <si>
    <t>CPR-01</t>
  </si>
  <si>
    <t>CPR-02</t>
  </si>
  <si>
    <t>RT-04</t>
  </si>
  <si>
    <t>BR-05</t>
  </si>
  <si>
    <t>RT-05</t>
  </si>
  <si>
    <t>BR-06</t>
  </si>
  <si>
    <t>DR-03</t>
  </si>
  <si>
    <t>BG-01</t>
  </si>
  <si>
    <t>CI-01</t>
  </si>
  <si>
    <t>CI-02</t>
  </si>
  <si>
    <t>PT-01</t>
  </si>
  <si>
    <t>PT-02</t>
  </si>
  <si>
    <t>PP-01</t>
  </si>
  <si>
    <t>DR-04</t>
  </si>
  <si>
    <t>S/N (WIRGENT)</t>
  </si>
  <si>
    <t>S/N (IR185)</t>
  </si>
  <si>
    <t>Obra / Centro de Trabajo:</t>
  </si>
  <si>
    <t>Ingeniero</t>
  </si>
  <si>
    <t>Francisco Javier</t>
  </si>
  <si>
    <t>Apolinar</t>
  </si>
  <si>
    <t>Diego Carreola</t>
  </si>
  <si>
    <t>Janeth</t>
  </si>
  <si>
    <t>Luis</t>
  </si>
  <si>
    <t>No. Económico</t>
  </si>
  <si>
    <t>Tipo de Equipo</t>
  </si>
  <si>
    <t>Obra Asignada</t>
  </si>
  <si>
    <t>Operador Asignado</t>
  </si>
  <si>
    <t>RETROEXCAVADORA CASE 580 N</t>
  </si>
  <si>
    <t>PAVIMENTADORA  VOGELE 1800-3 i</t>
  </si>
  <si>
    <t>Gerardo Ezequiel Piña Fernández</t>
  </si>
  <si>
    <t>PAVIMENTADORA  VOGELE 1800-2 SJ</t>
  </si>
  <si>
    <t>PAVIMENTADORA  VOGELE SJ 1800-3</t>
  </si>
  <si>
    <t>Jose de Jesus Eusebio Martinez</t>
  </si>
  <si>
    <t>PERFILADORA RODATEC RX600-4-4008</t>
  </si>
  <si>
    <t>PERFILADORA RODATEC RX600E</t>
  </si>
  <si>
    <t>Alan Alexis Gutierrez Flores</t>
  </si>
  <si>
    <t>BARREDORA BROCE RJ350</t>
  </si>
  <si>
    <t>Edgar Rosales Martinez</t>
  </si>
  <si>
    <t>BARREDORA LAYMOR SM400</t>
  </si>
  <si>
    <t>BARREDORA SUPERIOR BROOM DT80J</t>
  </si>
  <si>
    <t>Fernando Angeles Reyes</t>
  </si>
  <si>
    <t>DOBLE RODILLO/VIBROCOMPACTADOR DE RODILLOS HAMM 120HD VV</t>
  </si>
  <si>
    <t>POR ASIGNAR</t>
  </si>
  <si>
    <t>DOBLE RODILLO/VIBROCOMPACTADOR DE RODILLOS HAMM 140HD</t>
  </si>
  <si>
    <t>Julián Piña Hernández</t>
  </si>
  <si>
    <t>TANDEM DOBLE RODILLO / VIBROCOMPACTOR RODILLO CAT CB54</t>
  </si>
  <si>
    <t>VIBROCOMPACTADOR CATERPILLAR CB66B</t>
  </si>
  <si>
    <t>Jose Manuel Reyes Flores</t>
  </si>
  <si>
    <t>NEUMATICO / COMPACTADOR DE NEUMATICOS DINAPAC CP271</t>
  </si>
  <si>
    <t>Marco Antonio Estrada Arellano</t>
  </si>
  <si>
    <t>NEUMATICO VOLVO PT-240R</t>
  </si>
  <si>
    <t>Luis Fernando Mendiola Vivero</t>
  </si>
  <si>
    <t>COMPRESOR  SULLIVAN PALATEK D2010</t>
  </si>
  <si>
    <t>Eduardo Guadarrama Garcia</t>
  </si>
  <si>
    <t>RETROEXCAVADORA CASE 420DN</t>
  </si>
  <si>
    <t>BARREDORA BROCE BROOM KR350</t>
  </si>
  <si>
    <t>RETROEXCAVADORA JHONDEREE 310SK</t>
  </si>
  <si>
    <t>Adolfo Nava Lopez</t>
  </si>
  <si>
    <t>DOBLE RODILLO   INGERSOLL RAND DD-108HF</t>
  </si>
  <si>
    <t>TRASFER BUGGI RODATEC</t>
  </si>
  <si>
    <t>IMPACTO FORD 4300</t>
  </si>
  <si>
    <t>IMPACTO FORD F800</t>
  </si>
  <si>
    <t>Marco Antonio Millan Centeno</t>
  </si>
  <si>
    <t>PETROLIZADORA (IMPACTO 04) FORD F800</t>
  </si>
  <si>
    <t>PETROLIZADORA    INTERNATIONAL</t>
  </si>
  <si>
    <t>Francisco Gomora Angeles / Elthon Eduardo</t>
  </si>
  <si>
    <t>PIPA DE AGUA (IMPACTO 01) FORD</t>
  </si>
  <si>
    <t>DOBLE RODILLO RAD ROLLER FILY-325 PRO</t>
  </si>
  <si>
    <t>PERFILADORA WIRGENT-W200i</t>
  </si>
  <si>
    <t>Alejandro de Jesus Fuentes Tapia</t>
  </si>
  <si>
    <t>COMPRESOR INGERSOLL RAND IR185</t>
  </si>
  <si>
    <t>Jose Carlos Romero Tellez</t>
  </si>
  <si>
    <t>Destino ( Maquinaria)</t>
  </si>
  <si>
    <t>Economico</t>
  </si>
  <si>
    <t>TOTAL DE HORAS</t>
  </si>
  <si>
    <t>Dia del:</t>
  </si>
  <si>
    <t>Obra</t>
  </si>
  <si>
    <t>Iniciales</t>
  </si>
  <si>
    <t>LT</t>
  </si>
  <si>
    <t>MT</t>
  </si>
  <si>
    <t>CL</t>
  </si>
  <si>
    <t>BT</t>
  </si>
  <si>
    <t>PAP</t>
  </si>
  <si>
    <t>DR</t>
  </si>
  <si>
    <t>TOTAL DE HORAS: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</si>
</sst>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413">
    <font>
      <sz val="11"/>
      <color theme="1"/>
      <name val="Calibri"/>
      <family val="2"/>
      <scheme val="minor"/>
    </font>
    <font>
      <b/>
      <sz val="10"/>
      <color rgb="FF595959"/>
      <name val="Segoe UI"/>
    </font>
    <font>
      <b/>
      <sz val="14"/>
      <color rgb="FFFFFFFF"/>
      <name val="Segoe U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1"/>
      <color rgb="FF1F4E78"/>
      <name val="Segoe UI"/>
    </font>
    <font>
      <b/>
      <sz val="10"/>
      <name val="Segoe UI"/>
    </font>
    <font>
      <b/>
      <sz val="10"/>
      <name val="Segoe UI"/>
    </font>
    <font>
      <b/>
      <sz val="10"/>
      <name val="Segoe U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1"/>
      <color rgb="FF1F4E78"/>
      <name val="Segoe UI"/>
    </font>
    <font>
      <b/>
      <sz val="9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9"/>
      <name val="Segoe UI"/>
    </font>
    <font>
      <sz val="9"/>
      <name val="Segoe UI"/>
    </font>
    <font>
      <sz val="9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Segoe UI"/>
    </font>
    <font>
      <sz val="9"/>
      <name val="Segoe UI"/>
    </font>
    <font>
      <sz val="9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.5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color rgb="FFFFFFFF"/>
      <name val="Segoe UI"/>
    </font>
    <font>
      <b/>
      <sz val="10"/>
      <name val="Segoe UI"/>
    </font>
    <font>
      <b/>
      <sz val="9"/>
      <color rgb="FFFFFFFF"/>
      <name val="Segoe UI"/>
    </font>
    <font>
      <b/>
      <sz val="9"/>
      <color rgb="FFFFFFFF"/>
      <name val="Segoe UI"/>
    </font>
    <font>
      <b/>
      <sz val="9"/>
      <color rgb="FFFFFFFF"/>
      <name val="Segoe UI"/>
    </font>
    <font>
      <b/>
      <sz val="9"/>
      <name val="Segoe UI"/>
    </font>
    <font>
      <b/>
      <sz val="9"/>
      <name val="Segoe UI"/>
    </font>
    <font>
      <b/>
      <sz val="9"/>
      <color rgb="FFFFFFFF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9"/>
      <name val="Segoe UI"/>
    </font>
    <font>
      <b/>
      <sz val="9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theme="0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b/>
      <sz val="9"/>
      <color rgb="FFFFFFFF"/>
      <name val="Segoe UI"/>
      <family val="2"/>
    </font>
    <font>
      <b/>
      <sz val="9"/>
      <color theme="0"/>
      <name val="Segoe UI"/>
      <family val="2"/>
    </font>
    <font>
      <b/>
      <sz val="11"/>
      <color rgb="FFFFFFFF"/>
      <name val="Calibri"/>
      <family val="2"/>
    </font>
    <font>
      <b/>
      <sz val="10"/>
      <name val="Segoe UI"/>
      <family val="2"/>
    </font>
  </fonts>
  <fills count="411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34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91">
    <xf numFmtId="0" fontId="0" fillId="0" borderId="0" xfId="0"/>
    <xf numFmtId="0" fontId="1" fillId="2" borderId="1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7" fillId="9" borderId="6" xfId="0" applyFont="1" applyFill="1" applyBorder="1"/>
    <xf numFmtId="0" fontId="8" fillId="10" borderId="7" xfId="0" applyFont="1" applyFill="1" applyBorder="1" applyAlignment="1">
      <alignment horizontal="center"/>
    </xf>
    <xf numFmtId="0" fontId="9" fillId="11" borderId="8" xfId="0" applyFont="1" applyFill="1" applyBorder="1"/>
    <xf numFmtId="0" fontId="33" fillId="35" borderId="11" xfId="0" applyFont="1" applyFill="1" applyBorder="1" applyAlignment="1">
      <alignment horizontal="center"/>
    </xf>
    <xf numFmtId="0" fontId="60" fillId="62" borderId="13" xfId="0" applyFont="1" applyFill="1" applyBorder="1"/>
    <xf numFmtId="0" fontId="63" fillId="65" borderId="16" xfId="0" applyFont="1" applyFill="1" applyBorder="1"/>
    <xf numFmtId="0" fontId="64" fillId="66" borderId="17" xfId="0" applyFont="1" applyFill="1" applyBorder="1"/>
    <xf numFmtId="0" fontId="65" fillId="67" borderId="18" xfId="0" applyFont="1" applyFill="1" applyBorder="1"/>
    <xf numFmtId="0" fontId="87" fillId="89" borderId="40" xfId="0" applyFont="1" applyFill="1" applyBorder="1" applyAlignment="1">
      <alignment vertical="center"/>
    </xf>
    <xf numFmtId="0" fontId="88" fillId="90" borderId="41" xfId="0" applyFont="1" applyFill="1" applyBorder="1"/>
    <xf numFmtId="0" fontId="89" fillId="91" borderId="42" xfId="0" applyFont="1" applyFill="1" applyBorder="1"/>
    <xf numFmtId="0" fontId="90" fillId="92" borderId="43" xfId="0" applyFont="1" applyFill="1" applyBorder="1"/>
    <xf numFmtId="0" fontId="91" fillId="93" borderId="44" xfId="0" applyFont="1" applyFill="1" applyBorder="1"/>
    <xf numFmtId="0" fontId="92" fillId="94" borderId="45" xfId="0" applyFont="1" applyFill="1" applyBorder="1"/>
    <xf numFmtId="0" fontId="93" fillId="95" borderId="46" xfId="0" applyFont="1" applyFill="1" applyBorder="1"/>
    <xf numFmtId="0" fontId="94" fillId="96" borderId="47" xfId="0" applyFont="1" applyFill="1" applyBorder="1"/>
    <xf numFmtId="0" fontId="95" fillId="97" borderId="48" xfId="0" applyFont="1" applyFill="1" applyBorder="1"/>
    <xf numFmtId="0" fontId="96" fillId="98" borderId="49" xfId="0" applyFont="1" applyFill="1" applyBorder="1"/>
    <xf numFmtId="0" fontId="61" fillId="63" borderId="14" xfId="0" applyFont="1" applyFill="1" applyBorder="1"/>
    <xf numFmtId="0" fontId="66" fillId="68" borderId="19" xfId="0" applyFont="1" applyFill="1" applyBorder="1"/>
    <xf numFmtId="0" fontId="67" fillId="69" borderId="20" xfId="0" applyFont="1" applyFill="1" applyBorder="1"/>
    <xf numFmtId="0" fontId="68" fillId="70" borderId="21" xfId="0" applyFont="1" applyFill="1" applyBorder="1"/>
    <xf numFmtId="0" fontId="62" fillId="64" borderId="15" xfId="0" applyFont="1" applyFill="1" applyBorder="1"/>
    <xf numFmtId="0" fontId="69" fillId="71" borderId="22" xfId="0" applyFont="1" applyFill="1" applyBorder="1"/>
    <xf numFmtId="0" fontId="70" fillId="72" borderId="23" xfId="0" applyFont="1" applyFill="1" applyBorder="1"/>
    <xf numFmtId="0" fontId="71" fillId="73" borderId="24" xfId="0" applyFont="1" applyFill="1" applyBorder="1"/>
    <xf numFmtId="0" fontId="72" fillId="74" borderId="25" xfId="0" applyFont="1" applyFill="1" applyBorder="1"/>
    <xf numFmtId="0" fontId="75" fillId="77" borderId="28" xfId="0" applyFont="1" applyFill="1" applyBorder="1"/>
    <xf numFmtId="0" fontId="76" fillId="78" borderId="29" xfId="0" applyFont="1" applyFill="1" applyBorder="1"/>
    <xf numFmtId="0" fontId="77" fillId="79" borderId="30" xfId="0" applyFont="1" applyFill="1" applyBorder="1"/>
    <xf numFmtId="0" fontId="78" fillId="80" borderId="31" xfId="0" applyFont="1" applyFill="1" applyBorder="1"/>
    <xf numFmtId="0" fontId="73" fillId="75" borderId="26" xfId="0" applyFont="1" applyFill="1" applyBorder="1"/>
    <xf numFmtId="0" fontId="79" fillId="81" borderId="32" xfId="0" applyFont="1" applyFill="1" applyBorder="1"/>
    <xf numFmtId="0" fontId="80" fillId="82" borderId="33" xfId="0" applyFont="1" applyFill="1" applyBorder="1"/>
    <xf numFmtId="0" fontId="81" fillId="83" borderId="34" xfId="0" applyFont="1" applyFill="1" applyBorder="1"/>
    <xf numFmtId="0" fontId="82" fillId="84" borderId="35" xfId="0" applyFont="1" applyFill="1" applyBorder="1"/>
    <xf numFmtId="0" fontId="74" fillId="76" borderId="27" xfId="0" applyFont="1" applyFill="1" applyBorder="1"/>
    <xf numFmtId="0" fontId="83" fillId="85" borderId="36" xfId="0" applyFont="1" applyFill="1" applyBorder="1"/>
    <xf numFmtId="0" fontId="84" fillId="86" borderId="37" xfId="0" applyFont="1" applyFill="1" applyBorder="1"/>
    <xf numFmtId="0" fontId="85" fillId="87" borderId="38" xfId="0" applyFont="1" applyFill="1" applyBorder="1"/>
    <xf numFmtId="0" fontId="86" fillId="88" borderId="39" xfId="0" applyFont="1" applyFill="1" applyBorder="1"/>
    <xf numFmtId="0" fontId="0" fillId="0" borderId="12" xfId="0" applyBorder="1" applyAlignment="1">
      <alignment horizontal="center"/>
    </xf>
    <xf numFmtId="4" fontId="31" fillId="33" borderId="12" xfId="0" applyNumberFormat="1" applyFont="1" applyFill="1" applyBorder="1" applyAlignment="1">
      <alignment horizontal="center"/>
    </xf>
    <xf numFmtId="0" fontId="30" fillId="32" borderId="12" xfId="0" applyFont="1" applyFill="1" applyBorder="1" applyAlignment="1">
      <alignment horizontal="center"/>
    </xf>
    <xf numFmtId="0" fontId="99" fillId="101" borderId="56" xfId="0" applyFont="1" applyFill="1" applyBorder="1" applyAlignment="1">
      <alignment horizontal="center" vertical="center"/>
    </xf>
    <xf numFmtId="0" fontId="100" fillId="102" borderId="57" xfId="0" applyFont="1" applyFill="1" applyBorder="1" applyAlignment="1">
      <alignment horizontal="center" vertical="center"/>
    </xf>
    <xf numFmtId="0" fontId="180" fillId="183" borderId="136" xfId="0" applyFont="1" applyFill="1" applyBorder="1"/>
    <xf numFmtId="0" fontId="182" fillId="185" borderId="137" xfId="0" applyFont="1" applyFill="1" applyBorder="1" applyAlignment="1">
      <alignment horizontal="center"/>
    </xf>
    <xf numFmtId="0" fontId="183" fillId="186" borderId="138" xfId="0" applyFont="1" applyFill="1" applyBorder="1" applyAlignment="1">
      <alignment horizontal="center"/>
    </xf>
    <xf numFmtId="0" fontId="184" fillId="187" borderId="139" xfId="0" applyFont="1" applyFill="1" applyBorder="1" applyAlignment="1">
      <alignment horizontal="center"/>
    </xf>
    <xf numFmtId="0" fontId="185" fillId="188" borderId="140" xfId="0" applyFont="1" applyFill="1" applyBorder="1" applyAlignment="1">
      <alignment horizontal="center"/>
    </xf>
    <xf numFmtId="0" fontId="186" fillId="189" borderId="141" xfId="0" applyFont="1" applyFill="1" applyBorder="1" applyAlignment="1">
      <alignment horizontal="center"/>
    </xf>
    <xf numFmtId="0" fontId="187" fillId="190" borderId="142" xfId="0" applyFont="1" applyFill="1" applyBorder="1" applyAlignment="1">
      <alignment horizontal="center"/>
    </xf>
    <xf numFmtId="0" fontId="190" fillId="194" borderId="143" xfId="0" applyFont="1" applyFill="1" applyBorder="1"/>
    <xf numFmtId="0" fontId="191" fillId="195" borderId="144" xfId="0" applyFont="1" applyFill="1" applyBorder="1"/>
    <xf numFmtId="0" fontId="192" fillId="196" borderId="145" xfId="0" applyFont="1" applyFill="1" applyBorder="1"/>
    <xf numFmtId="0" fontId="193" fillId="197" borderId="146" xfId="0" applyFont="1" applyFill="1" applyBorder="1"/>
    <xf numFmtId="0" fontId="194" fillId="198" borderId="147" xfId="0" applyFont="1" applyFill="1" applyBorder="1"/>
    <xf numFmtId="0" fontId="195" fillId="199" borderId="148" xfId="0" applyFont="1" applyFill="1" applyBorder="1"/>
    <xf numFmtId="0" fontId="197" fillId="201" borderId="149" xfId="0" applyFont="1" applyFill="1" applyBorder="1"/>
    <xf numFmtId="0" fontId="198" fillId="202" borderId="150" xfId="0" applyFont="1" applyFill="1" applyBorder="1"/>
    <xf numFmtId="0" fontId="199" fillId="203" borderId="151" xfId="0" applyFont="1" applyFill="1" applyBorder="1"/>
    <xf numFmtId="0" fontId="200" fillId="204" borderId="152" xfId="0" applyFont="1" applyFill="1" applyBorder="1"/>
    <xf numFmtId="0" fontId="201" fillId="205" borderId="153" xfId="0" applyFont="1" applyFill="1" applyBorder="1"/>
    <xf numFmtId="0" fontId="202" fillId="206" borderId="154" xfId="0" applyFont="1" applyFill="1" applyBorder="1"/>
    <xf numFmtId="0" fontId="204" fillId="208" borderId="155" xfId="0" applyFont="1" applyFill="1" applyBorder="1"/>
    <xf numFmtId="0" fontId="205" fillId="209" borderId="156" xfId="0" applyFont="1" applyFill="1" applyBorder="1"/>
    <xf numFmtId="0" fontId="206" fillId="210" borderId="157" xfId="0" applyFont="1" applyFill="1" applyBorder="1"/>
    <xf numFmtId="0" fontId="207" fillId="211" borderId="158" xfId="0" applyFont="1" applyFill="1" applyBorder="1"/>
    <xf numFmtId="0" fontId="208" fillId="212" borderId="159" xfId="0" applyFont="1" applyFill="1" applyBorder="1"/>
    <xf numFmtId="0" fontId="209" fillId="213" borderId="160" xfId="0" applyFont="1" applyFill="1" applyBorder="1"/>
    <xf numFmtId="0" fontId="211" fillId="215" borderId="161" xfId="0" applyFont="1" applyFill="1" applyBorder="1"/>
    <xf numFmtId="0" fontId="212" fillId="216" borderId="162" xfId="0" applyFont="1" applyFill="1" applyBorder="1"/>
    <xf numFmtId="0" fontId="213" fillId="217" borderId="163" xfId="0" applyFont="1" applyFill="1" applyBorder="1"/>
    <xf numFmtId="0" fontId="214" fillId="218" borderId="164" xfId="0" applyFont="1" applyFill="1" applyBorder="1"/>
    <xf numFmtId="0" fontId="215" fillId="219" borderId="165" xfId="0" applyFont="1" applyFill="1" applyBorder="1"/>
    <xf numFmtId="0" fontId="216" fillId="220" borderId="166" xfId="0" applyFont="1" applyFill="1" applyBorder="1"/>
    <xf numFmtId="0" fontId="218" fillId="222" borderId="167" xfId="0" applyFont="1" applyFill="1" applyBorder="1"/>
    <xf numFmtId="0" fontId="219" fillId="223" borderId="168" xfId="0" applyFont="1" applyFill="1" applyBorder="1"/>
    <xf numFmtId="0" fontId="220" fillId="224" borderId="169" xfId="0" applyFont="1" applyFill="1" applyBorder="1"/>
    <xf numFmtId="0" fontId="221" fillId="225" borderId="170" xfId="0" applyFont="1" applyFill="1" applyBorder="1"/>
    <xf numFmtId="0" fontId="222" fillId="226" borderId="171" xfId="0" applyFont="1" applyFill="1" applyBorder="1"/>
    <xf numFmtId="0" fontId="223" fillId="227" borderId="172" xfId="0" applyFont="1" applyFill="1" applyBorder="1"/>
    <xf numFmtId="0" fontId="225" fillId="229" borderId="173" xfId="0" applyFont="1" applyFill="1" applyBorder="1"/>
    <xf numFmtId="0" fontId="226" fillId="230" borderId="174" xfId="0" applyFont="1" applyFill="1" applyBorder="1"/>
    <xf numFmtId="0" fontId="227" fillId="231" borderId="175" xfId="0" applyFont="1" applyFill="1" applyBorder="1"/>
    <xf numFmtId="0" fontId="228" fillId="232" borderId="176" xfId="0" applyFont="1" applyFill="1" applyBorder="1"/>
    <xf numFmtId="0" fontId="229" fillId="233" borderId="177" xfId="0" applyFont="1" applyFill="1" applyBorder="1"/>
    <xf numFmtId="0" fontId="230" fillId="234" borderId="178" xfId="0" applyFont="1" applyFill="1" applyBorder="1"/>
    <xf numFmtId="0" fontId="232" fillId="236" borderId="179" xfId="0" applyFont="1" applyFill="1" applyBorder="1"/>
    <xf numFmtId="0" fontId="233" fillId="237" borderId="180" xfId="0" applyFont="1" applyFill="1" applyBorder="1"/>
    <xf numFmtId="0" fontId="234" fillId="238" borderId="181" xfId="0" applyFont="1" applyFill="1" applyBorder="1"/>
    <xf numFmtId="0" fontId="235" fillId="239" borderId="182" xfId="0" applyFont="1" applyFill="1" applyBorder="1"/>
    <xf numFmtId="0" fontId="236" fillId="240" borderId="183" xfId="0" applyFont="1" applyFill="1" applyBorder="1"/>
    <xf numFmtId="0" fontId="237" fillId="241" borderId="184" xfId="0" applyFont="1" applyFill="1" applyBorder="1"/>
    <xf numFmtId="0" fontId="239" fillId="243" borderId="185" xfId="0" applyFont="1" applyFill="1" applyBorder="1"/>
    <xf numFmtId="0" fontId="240" fillId="244" borderId="186" xfId="0" applyFont="1" applyFill="1" applyBorder="1"/>
    <xf numFmtId="0" fontId="241" fillId="245" borderId="187" xfId="0" applyFont="1" applyFill="1" applyBorder="1"/>
    <xf numFmtId="0" fontId="242" fillId="246" borderId="188" xfId="0" applyFont="1" applyFill="1" applyBorder="1"/>
    <xf numFmtId="0" fontId="243" fillId="247" borderId="189" xfId="0" applyFont="1" applyFill="1" applyBorder="1"/>
    <xf numFmtId="0" fontId="244" fillId="248" borderId="190" xfId="0" applyFont="1" applyFill="1" applyBorder="1"/>
    <xf numFmtId="0" fontId="246" fillId="250" borderId="191" xfId="0" applyFont="1" applyFill="1" applyBorder="1"/>
    <xf numFmtId="0" fontId="247" fillId="251" borderId="192" xfId="0" applyFont="1" applyFill="1" applyBorder="1"/>
    <xf numFmtId="0" fontId="248" fillId="252" borderId="193" xfId="0" applyFont="1" applyFill="1" applyBorder="1"/>
    <xf numFmtId="0" fontId="249" fillId="253" borderId="194" xfId="0" applyFont="1" applyFill="1" applyBorder="1"/>
    <xf numFmtId="0" fontId="250" fillId="254" borderId="195" xfId="0" applyFont="1" applyFill="1" applyBorder="1"/>
    <xf numFmtId="0" fontId="251" fillId="255" borderId="196" xfId="0" applyFont="1" applyFill="1" applyBorder="1"/>
    <xf numFmtId="0" fontId="253" fillId="257" borderId="197" xfId="0" applyFont="1" applyFill="1" applyBorder="1"/>
    <xf numFmtId="0" fontId="254" fillId="258" borderId="198" xfId="0" applyFont="1" applyFill="1" applyBorder="1"/>
    <xf numFmtId="0" fontId="255" fillId="259" borderId="199" xfId="0" applyFont="1" applyFill="1" applyBorder="1"/>
    <xf numFmtId="0" fontId="256" fillId="260" borderId="200" xfId="0" applyFont="1" applyFill="1" applyBorder="1"/>
    <xf numFmtId="0" fontId="257" fillId="261" borderId="201" xfId="0" applyFont="1" applyFill="1" applyBorder="1"/>
    <xf numFmtId="0" fontId="258" fillId="262" borderId="202" xfId="0" applyFont="1" applyFill="1" applyBorder="1"/>
    <xf numFmtId="0" fontId="260" fillId="264" borderId="203" xfId="0" applyFont="1" applyFill="1" applyBorder="1"/>
    <xf numFmtId="0" fontId="261" fillId="265" borderId="204" xfId="0" applyFont="1" applyFill="1" applyBorder="1"/>
    <xf numFmtId="0" fontId="262" fillId="266" borderId="205" xfId="0" applyFont="1" applyFill="1" applyBorder="1"/>
    <xf numFmtId="0" fontId="263" fillId="267" borderId="206" xfId="0" applyFont="1" applyFill="1" applyBorder="1"/>
    <xf numFmtId="0" fontId="264" fillId="268" borderId="207" xfId="0" applyFont="1" applyFill="1" applyBorder="1"/>
    <xf numFmtId="0" fontId="265" fillId="269" borderId="208" xfId="0" applyFont="1" applyFill="1" applyBorder="1"/>
    <xf numFmtId="0" fontId="267" fillId="271" borderId="209" xfId="0" applyFont="1" applyFill="1" applyBorder="1"/>
    <xf numFmtId="0" fontId="268" fillId="272" borderId="210" xfId="0" applyFont="1" applyFill="1" applyBorder="1"/>
    <xf numFmtId="0" fontId="269" fillId="273" borderId="211" xfId="0" applyFont="1" applyFill="1" applyBorder="1"/>
    <xf numFmtId="0" fontId="270" fillId="274" borderId="212" xfId="0" applyFont="1" applyFill="1" applyBorder="1"/>
    <xf numFmtId="0" fontId="271" fillId="275" borderId="213" xfId="0" applyFont="1" applyFill="1" applyBorder="1"/>
    <xf numFmtId="0" fontId="272" fillId="276" borderId="214" xfId="0" applyFont="1" applyFill="1" applyBorder="1"/>
    <xf numFmtId="0" fontId="274" fillId="278" borderId="215" xfId="0" applyFont="1" applyFill="1" applyBorder="1"/>
    <xf numFmtId="0" fontId="275" fillId="279" borderId="216" xfId="0" applyFont="1" applyFill="1" applyBorder="1"/>
    <xf numFmtId="0" fontId="276" fillId="280" borderId="217" xfId="0" applyFont="1" applyFill="1" applyBorder="1"/>
    <xf numFmtId="0" fontId="277" fillId="281" borderId="218" xfId="0" applyFont="1" applyFill="1" applyBorder="1"/>
    <xf numFmtId="0" fontId="278" fillId="282" borderId="219" xfId="0" applyFont="1" applyFill="1" applyBorder="1"/>
    <xf numFmtId="0" fontId="279" fillId="283" borderId="220" xfId="0" applyFont="1" applyFill="1" applyBorder="1"/>
    <xf numFmtId="0" fontId="281" fillId="285" borderId="221" xfId="0" applyFont="1" applyFill="1" applyBorder="1"/>
    <xf numFmtId="0" fontId="282" fillId="286" borderId="222" xfId="0" applyFont="1" applyFill="1" applyBorder="1"/>
    <xf numFmtId="0" fontId="283" fillId="287" borderId="223" xfId="0" applyFont="1" applyFill="1" applyBorder="1"/>
    <xf numFmtId="0" fontId="284" fillId="288" borderId="224" xfId="0" applyFont="1" applyFill="1" applyBorder="1"/>
    <xf numFmtId="0" fontId="285" fillId="289" borderId="225" xfId="0" applyFont="1" applyFill="1" applyBorder="1"/>
    <xf numFmtId="0" fontId="286" fillId="290" borderId="226" xfId="0" applyFont="1" applyFill="1" applyBorder="1"/>
    <xf numFmtId="0" fontId="288" fillId="292" borderId="227" xfId="0" applyFont="1" applyFill="1" applyBorder="1"/>
    <xf numFmtId="0" fontId="289" fillId="293" borderId="228" xfId="0" applyFont="1" applyFill="1" applyBorder="1"/>
    <xf numFmtId="0" fontId="290" fillId="294" borderId="229" xfId="0" applyFont="1" applyFill="1" applyBorder="1"/>
    <xf numFmtId="0" fontId="291" fillId="295" borderId="230" xfId="0" applyFont="1" applyFill="1" applyBorder="1"/>
    <xf numFmtId="0" fontId="292" fillId="296" borderId="231" xfId="0" applyFont="1" applyFill="1" applyBorder="1"/>
    <xf numFmtId="0" fontId="293" fillId="297" borderId="232" xfId="0" applyFont="1" applyFill="1" applyBorder="1"/>
    <xf numFmtId="0" fontId="295" fillId="299" borderId="233" xfId="0" applyFont="1" applyFill="1" applyBorder="1"/>
    <xf numFmtId="0" fontId="296" fillId="300" borderId="234" xfId="0" applyFont="1" applyFill="1" applyBorder="1"/>
    <xf numFmtId="0" fontId="297" fillId="301" borderId="235" xfId="0" applyFont="1" applyFill="1" applyBorder="1"/>
    <xf numFmtId="0" fontId="298" fillId="302" borderId="236" xfId="0" applyFont="1" applyFill="1" applyBorder="1"/>
    <xf numFmtId="0" fontId="299" fillId="303" borderId="237" xfId="0" applyFont="1" applyFill="1" applyBorder="1"/>
    <xf numFmtId="0" fontId="300" fillId="304" borderId="238" xfId="0" applyFont="1" applyFill="1" applyBorder="1"/>
    <xf numFmtId="0" fontId="301" fillId="305" borderId="240" xfId="0" applyFont="1" applyFill="1" applyBorder="1"/>
    <xf numFmtId="0" fontId="302" fillId="306" borderId="241" xfId="0" applyFont="1" applyFill="1" applyBorder="1"/>
    <xf numFmtId="0" fontId="0" fillId="0" borderId="62" xfId="0" applyBorder="1"/>
    <xf numFmtId="0" fontId="407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07" fillId="192" borderId="49" xfId="0" applyFont="1" applyFill="1" applyBorder="1" applyAlignment="1">
      <alignment horizontal="center" vertical="center"/>
    </xf>
    <xf numFmtId="0" fontId="408" fillId="410" borderId="49" xfId="0" applyFont="1" applyFill="1" applyBorder="1" applyAlignment="1">
      <alignment vertical="center"/>
    </xf>
    <xf numFmtId="14" fontId="304" fillId="308" borderId="243" xfId="0" applyNumberFormat="1" applyFont="1" applyFill="1" applyBorder="1" applyAlignment="1">
      <alignment horizontal="center" vertical="center"/>
    </xf>
    <xf numFmtId="14" fontId="309" fillId="313" borderId="248" xfId="0" applyNumberFormat="1" applyFont="1" applyFill="1" applyBorder="1" applyAlignment="1">
      <alignment horizontal="center" vertical="center"/>
    </xf>
    <xf numFmtId="14" fontId="314" fillId="318" borderId="253" xfId="0" applyNumberFormat="1" applyFont="1" applyFill="1" applyBorder="1" applyAlignment="1">
      <alignment horizontal="center" vertical="center"/>
    </xf>
    <xf numFmtId="14" fontId="319" fillId="323" borderId="258" xfId="0" applyNumberFormat="1" applyFont="1" applyFill="1" applyBorder="1" applyAlignment="1">
      <alignment horizontal="center" vertical="center"/>
    </xf>
    <xf numFmtId="14" fontId="324" fillId="328" borderId="263" xfId="0" applyNumberFormat="1" applyFont="1" applyFill="1" applyBorder="1" applyAlignment="1">
      <alignment horizontal="center" vertical="center"/>
    </xf>
    <xf numFmtId="14" fontId="329" fillId="333" borderId="268" xfId="0" applyNumberFormat="1" applyFont="1" applyFill="1" applyBorder="1" applyAlignment="1">
      <alignment horizontal="center" vertical="center"/>
    </xf>
    <xf numFmtId="14" fontId="334" fillId="338" borderId="273" xfId="0" applyNumberFormat="1" applyFont="1" applyFill="1" applyBorder="1" applyAlignment="1">
      <alignment horizontal="center" vertical="center"/>
    </xf>
    <xf numFmtId="14" fontId="339" fillId="343" borderId="278" xfId="0" applyNumberFormat="1" applyFont="1" applyFill="1" applyBorder="1" applyAlignment="1">
      <alignment horizontal="center" vertical="center"/>
    </xf>
    <xf numFmtId="14" fontId="344" fillId="348" borderId="283" xfId="0" applyNumberFormat="1" applyFont="1" applyFill="1" applyBorder="1" applyAlignment="1">
      <alignment horizontal="center" vertical="center"/>
    </xf>
    <xf numFmtId="14" fontId="349" fillId="353" borderId="288" xfId="0" applyNumberFormat="1" applyFont="1" applyFill="1" applyBorder="1" applyAlignment="1">
      <alignment horizontal="center" vertical="center"/>
    </xf>
    <xf numFmtId="14" fontId="354" fillId="358" borderId="293" xfId="0" applyNumberFormat="1" applyFont="1" applyFill="1" applyBorder="1" applyAlignment="1">
      <alignment horizontal="center" vertical="center"/>
    </xf>
    <xf numFmtId="14" fontId="359" fillId="363" borderId="298" xfId="0" applyNumberFormat="1" applyFont="1" applyFill="1" applyBorder="1" applyAlignment="1">
      <alignment horizontal="center" vertical="center"/>
    </xf>
    <xf numFmtId="14" fontId="364" fillId="368" borderId="303" xfId="0" applyNumberFormat="1" applyFont="1" applyFill="1" applyBorder="1" applyAlignment="1">
      <alignment horizontal="center" vertical="center"/>
    </xf>
    <xf numFmtId="14" fontId="369" fillId="373" borderId="308" xfId="0" applyNumberFormat="1" applyFont="1" applyFill="1" applyBorder="1" applyAlignment="1">
      <alignment horizontal="center" vertical="center"/>
    </xf>
    <xf numFmtId="14" fontId="374" fillId="378" borderId="313" xfId="0" applyNumberFormat="1" applyFont="1" applyFill="1" applyBorder="1" applyAlignment="1">
      <alignment horizontal="center" vertical="center"/>
    </xf>
    <xf numFmtId="14" fontId="106" fillId="109" borderId="63" xfId="0" applyNumberFormat="1" applyFont="1" applyFill="1" applyBorder="1" applyAlignment="1">
      <alignment horizontal="center" vertical="center"/>
    </xf>
    <xf numFmtId="14" fontId="108" fillId="111" borderId="65" xfId="0" applyNumberFormat="1" applyFont="1" applyFill="1" applyBorder="1" applyAlignment="1">
      <alignment horizontal="center" vertical="center"/>
    </xf>
    <xf numFmtId="14" fontId="110" fillId="113" borderId="67" xfId="0" applyNumberFormat="1" applyFont="1" applyFill="1" applyBorder="1" applyAlignment="1">
      <alignment horizontal="center" vertical="center"/>
    </xf>
    <xf numFmtId="14" fontId="112" fillId="115" borderId="69" xfId="0" applyNumberFormat="1" applyFont="1" applyFill="1" applyBorder="1" applyAlignment="1">
      <alignment horizontal="center" vertical="center"/>
    </xf>
    <xf numFmtId="14" fontId="114" fillId="117" borderId="71" xfId="0" applyNumberFormat="1" applyFont="1" applyFill="1" applyBorder="1" applyAlignment="1">
      <alignment horizontal="center" vertical="center"/>
    </xf>
    <xf numFmtId="14" fontId="116" fillId="119" borderId="73" xfId="0" applyNumberFormat="1" applyFont="1" applyFill="1" applyBorder="1" applyAlignment="1">
      <alignment horizontal="center" vertical="center"/>
    </xf>
    <xf numFmtId="14" fontId="118" fillId="121" borderId="75" xfId="0" applyNumberFormat="1" applyFont="1" applyFill="1" applyBorder="1" applyAlignment="1">
      <alignment horizontal="center" vertical="center"/>
    </xf>
    <xf numFmtId="14" fontId="120" fillId="123" borderId="77" xfId="0" applyNumberFormat="1" applyFont="1" applyFill="1" applyBorder="1" applyAlignment="1">
      <alignment horizontal="center" vertical="center"/>
    </xf>
    <xf numFmtId="14" fontId="122" fillId="125" borderId="79" xfId="0" applyNumberFormat="1" applyFont="1" applyFill="1" applyBorder="1" applyAlignment="1">
      <alignment horizontal="center" vertical="center"/>
    </xf>
    <xf numFmtId="14" fontId="124" fillId="127" borderId="81" xfId="0" applyNumberFormat="1" applyFont="1" applyFill="1" applyBorder="1" applyAlignment="1">
      <alignment horizontal="center" vertical="center"/>
    </xf>
    <xf numFmtId="14" fontId="126" fillId="129" borderId="83" xfId="0" applyNumberFormat="1" applyFont="1" applyFill="1" applyBorder="1" applyAlignment="1">
      <alignment horizontal="center" vertical="center"/>
    </xf>
    <xf numFmtId="14" fontId="128" fillId="131" borderId="85" xfId="0" applyNumberFormat="1" applyFont="1" applyFill="1" applyBorder="1" applyAlignment="1">
      <alignment horizontal="center" vertical="center"/>
    </xf>
    <xf numFmtId="14" fontId="130" fillId="133" borderId="87" xfId="0" applyNumberFormat="1" applyFont="1" applyFill="1" applyBorder="1" applyAlignment="1">
      <alignment horizontal="center" vertical="center"/>
    </xf>
    <xf numFmtId="14" fontId="132" fillId="135" borderId="89" xfId="0" applyNumberFormat="1" applyFont="1" applyFill="1" applyBorder="1" applyAlignment="1">
      <alignment horizontal="center" vertical="center"/>
    </xf>
    <xf numFmtId="14" fontId="134" fillId="137" borderId="91" xfId="0" applyNumberFormat="1" applyFont="1" applyFill="1" applyBorder="1" applyAlignment="1">
      <alignment horizontal="center" vertical="center"/>
    </xf>
    <xf numFmtId="14" fontId="136" fillId="139" borderId="93" xfId="0" applyNumberFormat="1" applyFont="1" applyFill="1" applyBorder="1" applyAlignment="1">
      <alignment horizontal="center" vertical="center"/>
    </xf>
    <xf numFmtId="14" fontId="138" fillId="141" borderId="95" xfId="0" applyNumberFormat="1" applyFont="1" applyFill="1" applyBorder="1" applyAlignment="1">
      <alignment horizontal="center" vertical="center"/>
    </xf>
    <xf numFmtId="14" fontId="140" fillId="143" borderId="97" xfId="0" applyNumberFormat="1" applyFont="1" applyFill="1" applyBorder="1" applyAlignment="1">
      <alignment horizontal="center" vertical="center"/>
    </xf>
    <xf numFmtId="14" fontId="142" fillId="145" borderId="99" xfId="0" applyNumberFormat="1" applyFont="1" applyFill="1" applyBorder="1" applyAlignment="1">
      <alignment horizontal="center" vertical="center"/>
    </xf>
    <xf numFmtId="14" fontId="144" fillId="147" borderId="101" xfId="0" applyNumberFormat="1" applyFont="1" applyFill="1" applyBorder="1" applyAlignment="1">
      <alignment horizontal="center" vertical="center"/>
    </xf>
    <xf numFmtId="14" fontId="146" fillId="149" borderId="103" xfId="0" applyNumberFormat="1" applyFont="1" applyFill="1" applyBorder="1" applyAlignment="1">
      <alignment horizontal="center" vertical="center"/>
    </xf>
    <xf numFmtId="14" fontId="148" fillId="151" borderId="105" xfId="0" applyNumberFormat="1" applyFont="1" applyFill="1" applyBorder="1" applyAlignment="1">
      <alignment horizontal="center" vertical="center"/>
    </xf>
    <xf numFmtId="14" fontId="150" fillId="153" borderId="107" xfId="0" applyNumberFormat="1" applyFont="1" applyFill="1" applyBorder="1" applyAlignment="1">
      <alignment horizontal="center" vertical="center"/>
    </xf>
    <xf numFmtId="14" fontId="152" fillId="155" borderId="109" xfId="0" applyNumberFormat="1" applyFont="1" applyFill="1" applyBorder="1" applyAlignment="1">
      <alignment horizontal="center" vertical="center"/>
    </xf>
    <xf numFmtId="14" fontId="154" fillId="157" borderId="111" xfId="0" applyNumberFormat="1" applyFont="1" applyFill="1" applyBorder="1" applyAlignment="1">
      <alignment horizontal="center" vertical="center"/>
    </xf>
    <xf numFmtId="14" fontId="156" fillId="159" borderId="113" xfId="0" applyNumberFormat="1" applyFont="1" applyFill="1" applyBorder="1" applyAlignment="1">
      <alignment horizontal="center" vertical="center"/>
    </xf>
    <xf numFmtId="14" fontId="158" fillId="161" borderId="115" xfId="0" applyNumberFormat="1" applyFont="1" applyFill="1" applyBorder="1" applyAlignment="1">
      <alignment horizontal="center" vertical="center"/>
    </xf>
    <xf numFmtId="14" fontId="160" fillId="163" borderId="117" xfId="0" applyNumberFormat="1" applyFont="1" applyFill="1" applyBorder="1" applyAlignment="1">
      <alignment horizontal="center" vertical="center"/>
    </xf>
    <xf numFmtId="14" fontId="162" fillId="165" borderId="119" xfId="0" applyNumberFormat="1" applyFont="1" applyFill="1" applyBorder="1" applyAlignment="1">
      <alignment horizontal="center" vertical="center"/>
    </xf>
    <xf numFmtId="14" fontId="166" fillId="169" borderId="123" xfId="0" applyNumberFormat="1" applyFont="1" applyFill="1" applyBorder="1" applyAlignment="1">
      <alignment horizontal="center" vertical="center"/>
    </xf>
    <xf numFmtId="14" fontId="170" fillId="173" borderId="127" xfId="0" applyNumberFormat="1" applyFont="1" applyFill="1" applyBorder="1" applyAlignment="1">
      <alignment horizontal="center" vertical="center"/>
    </xf>
    <xf numFmtId="14" fontId="173" fillId="176" borderId="129" xfId="0" applyNumberFormat="1" applyFont="1" applyFill="1" applyBorder="1" applyAlignment="1">
      <alignment horizontal="center" vertical="center"/>
    </xf>
    <xf numFmtId="14" fontId="176" fillId="179" borderId="132" xfId="0" applyNumberFormat="1" applyFont="1" applyFill="1" applyBorder="1" applyAlignment="1">
      <alignment horizontal="center" vertical="center"/>
    </xf>
    <xf numFmtId="14" fontId="178" fillId="181" borderId="134" xfId="0" applyNumberFormat="1" applyFont="1" applyFill="1" applyBorder="1" applyAlignment="1">
      <alignment horizontal="center" vertical="center"/>
    </xf>
    <xf numFmtId="14" fontId="378" fillId="382" borderId="317" xfId="0" applyNumberFormat="1" applyFont="1" applyFill="1" applyBorder="1" applyAlignment="1">
      <alignment horizontal="center" vertical="center"/>
    </xf>
    <xf numFmtId="14" fontId="380" fillId="384" borderId="319" xfId="0" applyNumberFormat="1" applyFont="1" applyFill="1" applyBorder="1" applyAlignment="1">
      <alignment horizontal="center" vertical="center"/>
    </xf>
    <xf numFmtId="14" fontId="382" fillId="386" borderId="321" xfId="0" applyNumberFormat="1" applyFont="1" applyFill="1" applyBorder="1" applyAlignment="1">
      <alignment horizontal="center" vertical="center"/>
    </xf>
    <xf numFmtId="14" fontId="384" fillId="388" borderId="323" xfId="0" applyNumberFormat="1" applyFont="1" applyFill="1" applyBorder="1" applyAlignment="1">
      <alignment horizontal="center" vertical="center"/>
    </xf>
    <xf numFmtId="14" fontId="386" fillId="390" borderId="325" xfId="0" applyNumberFormat="1" applyFont="1" applyFill="1" applyBorder="1" applyAlignment="1">
      <alignment horizontal="center" vertical="center"/>
    </xf>
    <xf numFmtId="14" fontId="388" fillId="392" borderId="327" xfId="0" applyNumberFormat="1" applyFont="1" applyFill="1" applyBorder="1" applyAlignment="1">
      <alignment horizontal="center" vertical="center"/>
    </xf>
    <xf numFmtId="14" fontId="390" fillId="394" borderId="329" xfId="0" applyNumberFormat="1" applyFont="1" applyFill="1" applyBorder="1" applyAlignment="1">
      <alignment horizontal="center" vertical="center"/>
    </xf>
    <xf numFmtId="14" fontId="392" fillId="396" borderId="331" xfId="0" applyNumberFormat="1" applyFont="1" applyFill="1" applyBorder="1" applyAlignment="1">
      <alignment horizontal="center" vertical="center"/>
    </xf>
    <xf numFmtId="14" fontId="394" fillId="398" borderId="333" xfId="0" applyNumberFormat="1" applyFont="1" applyFill="1" applyBorder="1" applyAlignment="1">
      <alignment horizontal="center" vertical="center"/>
    </xf>
    <xf numFmtId="14" fontId="396" fillId="400" borderId="335" xfId="0" applyNumberFormat="1" applyFont="1" applyFill="1" applyBorder="1" applyAlignment="1">
      <alignment horizontal="center" vertical="center"/>
    </xf>
    <xf numFmtId="14" fontId="398" fillId="402" borderId="337" xfId="0" applyNumberFormat="1" applyFont="1" applyFill="1" applyBorder="1" applyAlignment="1">
      <alignment horizontal="center" vertical="center"/>
    </xf>
    <xf numFmtId="14" fontId="400" fillId="404" borderId="339" xfId="0" applyNumberFormat="1" applyFont="1" applyFill="1" applyBorder="1" applyAlignment="1">
      <alignment horizontal="center" vertical="center"/>
    </xf>
    <xf numFmtId="14" fontId="402" fillId="406" borderId="341" xfId="0" applyNumberFormat="1" applyFont="1" applyFill="1" applyBorder="1" applyAlignment="1">
      <alignment horizontal="center" vertical="center"/>
    </xf>
    <xf numFmtId="14" fontId="404" fillId="408" borderId="343" xfId="0" applyNumberFormat="1" applyFont="1" applyFill="1" applyBorder="1" applyAlignment="1">
      <alignment horizontal="center" vertical="center"/>
    </xf>
    <xf numFmtId="165" fontId="305" fillId="309" borderId="244" xfId="0" applyNumberFormat="1" applyFont="1" applyFill="1" applyBorder="1" applyAlignment="1">
      <alignment horizontal="center" vertical="center"/>
    </xf>
    <xf numFmtId="165" fontId="310" fillId="314" borderId="249" xfId="0" applyNumberFormat="1" applyFont="1" applyFill="1" applyBorder="1" applyAlignment="1">
      <alignment horizontal="center" vertical="center"/>
    </xf>
    <xf numFmtId="165" fontId="315" fillId="319" borderId="254" xfId="0" applyNumberFormat="1" applyFont="1" applyFill="1" applyBorder="1" applyAlignment="1">
      <alignment horizontal="center" vertical="center"/>
    </xf>
    <xf numFmtId="165" fontId="320" fillId="324" borderId="259" xfId="0" applyNumberFormat="1" applyFont="1" applyFill="1" applyBorder="1" applyAlignment="1">
      <alignment horizontal="center" vertical="center"/>
    </xf>
    <xf numFmtId="165" fontId="325" fillId="329" borderId="264" xfId="0" applyNumberFormat="1" applyFont="1" applyFill="1" applyBorder="1" applyAlignment="1">
      <alignment horizontal="center" vertical="center"/>
    </xf>
    <xf numFmtId="165" fontId="330" fillId="334" borderId="269" xfId="0" applyNumberFormat="1" applyFont="1" applyFill="1" applyBorder="1" applyAlignment="1">
      <alignment horizontal="center" vertical="center"/>
    </xf>
    <xf numFmtId="165" fontId="335" fillId="339" borderId="274" xfId="0" applyNumberFormat="1" applyFont="1" applyFill="1" applyBorder="1" applyAlignment="1">
      <alignment horizontal="center" vertical="center"/>
    </xf>
    <xf numFmtId="165" fontId="340" fillId="344" borderId="279" xfId="0" applyNumberFormat="1" applyFont="1" applyFill="1" applyBorder="1" applyAlignment="1">
      <alignment horizontal="center" vertical="center"/>
    </xf>
    <xf numFmtId="165" fontId="345" fillId="349" borderId="284" xfId="0" applyNumberFormat="1" applyFont="1" applyFill="1" applyBorder="1" applyAlignment="1">
      <alignment horizontal="center" vertical="center"/>
    </xf>
    <xf numFmtId="165" fontId="350" fillId="354" borderId="289" xfId="0" applyNumberFormat="1" applyFont="1" applyFill="1" applyBorder="1" applyAlignment="1">
      <alignment horizontal="center" vertical="center"/>
    </xf>
    <xf numFmtId="165" fontId="355" fillId="359" borderId="294" xfId="0" applyNumberFormat="1" applyFont="1" applyFill="1" applyBorder="1" applyAlignment="1">
      <alignment horizontal="center" vertical="center"/>
    </xf>
    <xf numFmtId="165" fontId="360" fillId="364" borderId="299" xfId="0" applyNumberFormat="1" applyFont="1" applyFill="1" applyBorder="1" applyAlignment="1">
      <alignment horizontal="center" vertical="center"/>
    </xf>
    <xf numFmtId="165" fontId="365" fillId="369" borderId="304" xfId="0" applyNumberFormat="1" applyFont="1" applyFill="1" applyBorder="1" applyAlignment="1">
      <alignment horizontal="center" vertical="center"/>
    </xf>
    <xf numFmtId="165" fontId="370" fillId="374" borderId="309" xfId="0" applyNumberFormat="1" applyFont="1" applyFill="1" applyBorder="1" applyAlignment="1">
      <alignment horizontal="center" vertical="center"/>
    </xf>
    <xf numFmtId="165" fontId="375" fillId="379" borderId="314" xfId="0" applyNumberFormat="1" applyFont="1" applyFill="1" applyBorder="1" applyAlignment="1">
      <alignment horizontal="center" vertical="center"/>
    </xf>
    <xf numFmtId="165" fontId="107" fillId="110" borderId="64" xfId="0" applyNumberFormat="1" applyFont="1" applyFill="1" applyBorder="1" applyAlignment="1">
      <alignment horizontal="center" vertical="center"/>
    </xf>
    <xf numFmtId="165" fontId="109" fillId="112" borderId="66" xfId="0" applyNumberFormat="1" applyFont="1" applyFill="1" applyBorder="1" applyAlignment="1">
      <alignment horizontal="center" vertical="center"/>
    </xf>
    <xf numFmtId="165" fontId="111" fillId="114" borderId="68" xfId="0" applyNumberFormat="1" applyFont="1" applyFill="1" applyBorder="1" applyAlignment="1">
      <alignment horizontal="center" vertical="center"/>
    </xf>
    <xf numFmtId="165" fontId="113" fillId="116" borderId="70" xfId="0" applyNumberFormat="1" applyFont="1" applyFill="1" applyBorder="1" applyAlignment="1">
      <alignment horizontal="center" vertical="center"/>
    </xf>
    <xf numFmtId="165" fontId="115" fillId="118" borderId="72" xfId="0" applyNumberFormat="1" applyFont="1" applyFill="1" applyBorder="1" applyAlignment="1">
      <alignment horizontal="center" vertical="center"/>
    </xf>
    <xf numFmtId="165" fontId="117" fillId="120" borderId="74" xfId="0" applyNumberFormat="1" applyFont="1" applyFill="1" applyBorder="1" applyAlignment="1">
      <alignment horizontal="center" vertical="center"/>
    </xf>
    <xf numFmtId="165" fontId="116" fillId="119" borderId="73" xfId="0" applyNumberFormat="1" applyFont="1" applyFill="1" applyBorder="1" applyAlignment="1">
      <alignment horizontal="center" vertical="center"/>
    </xf>
    <xf numFmtId="165" fontId="119" fillId="122" borderId="76" xfId="0" applyNumberFormat="1" applyFont="1" applyFill="1" applyBorder="1" applyAlignment="1">
      <alignment horizontal="center" vertical="center"/>
    </xf>
    <xf numFmtId="165" fontId="121" fillId="124" borderId="78" xfId="0" applyNumberFormat="1" applyFont="1" applyFill="1" applyBorder="1" applyAlignment="1">
      <alignment horizontal="center" vertical="center"/>
    </xf>
    <xf numFmtId="165" fontId="123" fillId="126" borderId="80" xfId="0" applyNumberFormat="1" applyFont="1" applyFill="1" applyBorder="1" applyAlignment="1">
      <alignment horizontal="center" vertical="center"/>
    </xf>
    <xf numFmtId="165" fontId="125" fillId="128" borderId="82" xfId="0" applyNumberFormat="1" applyFont="1" applyFill="1" applyBorder="1" applyAlignment="1">
      <alignment horizontal="center" vertical="center"/>
    </xf>
    <xf numFmtId="165" fontId="127" fillId="130" borderId="84" xfId="0" applyNumberFormat="1" applyFont="1" applyFill="1" applyBorder="1" applyAlignment="1">
      <alignment horizontal="center" vertical="center"/>
    </xf>
    <xf numFmtId="165" fontId="129" fillId="132" borderId="86" xfId="0" applyNumberFormat="1" applyFont="1" applyFill="1" applyBorder="1" applyAlignment="1">
      <alignment horizontal="center" vertical="center"/>
    </xf>
    <xf numFmtId="165" fontId="131" fillId="134" borderId="88" xfId="0" applyNumberFormat="1" applyFont="1" applyFill="1" applyBorder="1" applyAlignment="1">
      <alignment horizontal="center" vertical="center"/>
    </xf>
    <xf numFmtId="165" fontId="133" fillId="136" borderId="90" xfId="0" applyNumberFormat="1" applyFont="1" applyFill="1" applyBorder="1" applyAlignment="1">
      <alignment horizontal="center" vertical="center"/>
    </xf>
    <xf numFmtId="165" fontId="135" fillId="138" borderId="92" xfId="0" applyNumberFormat="1" applyFont="1" applyFill="1" applyBorder="1" applyAlignment="1">
      <alignment horizontal="center" vertical="center"/>
    </xf>
    <xf numFmtId="165" fontId="137" fillId="140" borderId="94" xfId="0" applyNumberFormat="1" applyFont="1" applyFill="1" applyBorder="1" applyAlignment="1">
      <alignment horizontal="center" vertical="center"/>
    </xf>
    <xf numFmtId="165" fontId="139" fillId="142" borderId="96" xfId="0" applyNumberFormat="1" applyFont="1" applyFill="1" applyBorder="1" applyAlignment="1">
      <alignment horizontal="center" vertical="center"/>
    </xf>
    <xf numFmtId="165" fontId="141" fillId="144" borderId="98" xfId="0" applyNumberFormat="1" applyFont="1" applyFill="1" applyBorder="1" applyAlignment="1">
      <alignment horizontal="center" vertical="center"/>
    </xf>
    <xf numFmtId="165" fontId="143" fillId="146" borderId="100" xfId="0" applyNumberFormat="1" applyFont="1" applyFill="1" applyBorder="1" applyAlignment="1">
      <alignment horizontal="center" vertical="center"/>
    </xf>
    <xf numFmtId="165" fontId="145" fillId="148" borderId="102" xfId="0" applyNumberFormat="1" applyFont="1" applyFill="1" applyBorder="1" applyAlignment="1">
      <alignment horizontal="center" vertical="center"/>
    </xf>
    <xf numFmtId="165" fontId="147" fillId="150" borderId="104" xfId="0" applyNumberFormat="1" applyFont="1" applyFill="1" applyBorder="1" applyAlignment="1">
      <alignment horizontal="center" vertical="center"/>
    </xf>
    <xf numFmtId="165" fontId="149" fillId="152" borderId="106" xfId="0" applyNumberFormat="1" applyFont="1" applyFill="1" applyBorder="1" applyAlignment="1">
      <alignment horizontal="center" vertical="center"/>
    </xf>
    <xf numFmtId="165" fontId="151" fillId="154" borderId="108" xfId="0" applyNumberFormat="1" applyFont="1" applyFill="1" applyBorder="1" applyAlignment="1">
      <alignment horizontal="center" vertical="center"/>
    </xf>
    <xf numFmtId="165" fontId="153" fillId="156" borderId="110" xfId="0" applyNumberFormat="1" applyFont="1" applyFill="1" applyBorder="1" applyAlignment="1">
      <alignment horizontal="center" vertical="center"/>
    </xf>
    <xf numFmtId="165" fontId="155" fillId="158" borderId="112" xfId="0" applyNumberFormat="1" applyFont="1" applyFill="1" applyBorder="1" applyAlignment="1">
      <alignment horizontal="center" vertical="center"/>
    </xf>
    <xf numFmtId="165" fontId="157" fillId="160" borderId="114" xfId="0" applyNumberFormat="1" applyFont="1" applyFill="1" applyBorder="1" applyAlignment="1">
      <alignment horizontal="center" vertical="center"/>
    </xf>
    <xf numFmtId="165" fontId="159" fillId="162" borderId="116" xfId="0" applyNumberFormat="1" applyFont="1" applyFill="1" applyBorder="1" applyAlignment="1">
      <alignment horizontal="center" vertical="center"/>
    </xf>
    <xf numFmtId="165" fontId="161" fillId="164" borderId="118" xfId="0" applyNumberFormat="1" applyFont="1" applyFill="1" applyBorder="1" applyAlignment="1">
      <alignment horizontal="center" vertical="center"/>
    </xf>
    <xf numFmtId="165" fontId="163" fillId="166" borderId="120" xfId="0" applyNumberFormat="1" applyFont="1" applyFill="1" applyBorder="1" applyAlignment="1">
      <alignment horizontal="center" vertical="center"/>
    </xf>
    <xf numFmtId="165" fontId="162" fillId="165" borderId="119" xfId="0" applyNumberFormat="1" applyFont="1" applyFill="1" applyBorder="1" applyAlignment="1">
      <alignment horizontal="center" vertical="center"/>
    </xf>
    <xf numFmtId="165" fontId="167" fillId="170" borderId="124" xfId="0" applyNumberFormat="1" applyFont="1" applyFill="1" applyBorder="1" applyAlignment="1">
      <alignment horizontal="center" vertical="center"/>
    </xf>
    <xf numFmtId="165" fontId="166" fillId="169" borderId="123" xfId="0" applyNumberFormat="1" applyFont="1" applyFill="1" applyBorder="1" applyAlignment="1">
      <alignment horizontal="center" vertical="center"/>
    </xf>
    <xf numFmtId="165" fontId="171" fillId="174" borderId="128" xfId="0" applyNumberFormat="1" applyFont="1" applyFill="1" applyBorder="1" applyAlignment="1">
      <alignment horizontal="center" vertical="center"/>
    </xf>
    <xf numFmtId="165" fontId="170" fillId="173" borderId="127" xfId="0" applyNumberFormat="1" applyFont="1" applyFill="1" applyBorder="1" applyAlignment="1">
      <alignment horizontal="center" vertical="center"/>
    </xf>
    <xf numFmtId="165" fontId="174" fillId="177" borderId="130" xfId="0" applyNumberFormat="1" applyFont="1" applyFill="1" applyBorder="1" applyAlignment="1">
      <alignment horizontal="center" vertical="center"/>
    </xf>
    <xf numFmtId="165" fontId="175" fillId="178" borderId="131" xfId="0" applyNumberFormat="1" applyFont="1" applyFill="1" applyBorder="1" applyAlignment="1">
      <alignment horizontal="center" vertical="center"/>
    </xf>
    <xf numFmtId="165" fontId="177" fillId="180" borderId="133" xfId="0" applyNumberFormat="1" applyFont="1" applyFill="1" applyBorder="1" applyAlignment="1">
      <alignment horizontal="center" vertical="center"/>
    </xf>
    <xf numFmtId="165" fontId="179" fillId="182" borderId="135" xfId="0" applyNumberFormat="1" applyFont="1" applyFill="1" applyBorder="1" applyAlignment="1">
      <alignment horizontal="center" vertical="center"/>
    </xf>
    <xf numFmtId="165" fontId="379" fillId="383" borderId="318" xfId="0" applyNumberFormat="1" applyFont="1" applyFill="1" applyBorder="1" applyAlignment="1">
      <alignment horizontal="center" vertical="center"/>
    </xf>
    <xf numFmtId="165" fontId="381" fillId="385" borderId="320" xfId="0" applyNumberFormat="1" applyFont="1" applyFill="1" applyBorder="1" applyAlignment="1">
      <alignment horizontal="center" vertical="center"/>
    </xf>
    <xf numFmtId="165" fontId="383" fillId="387" borderId="322" xfId="0" applyNumberFormat="1" applyFont="1" applyFill="1" applyBorder="1" applyAlignment="1">
      <alignment horizontal="center" vertical="center"/>
    </xf>
    <xf numFmtId="165" fontId="385" fillId="389" borderId="324" xfId="0" applyNumberFormat="1" applyFont="1" applyFill="1" applyBorder="1" applyAlignment="1">
      <alignment horizontal="center" vertical="center"/>
    </xf>
    <xf numFmtId="165" fontId="387" fillId="391" borderId="326" xfId="0" applyNumberFormat="1" applyFont="1" applyFill="1" applyBorder="1" applyAlignment="1">
      <alignment horizontal="center" vertical="center"/>
    </xf>
    <xf numFmtId="165" fontId="389" fillId="393" borderId="328" xfId="0" applyNumberFormat="1" applyFont="1" applyFill="1" applyBorder="1" applyAlignment="1">
      <alignment horizontal="center" vertical="center"/>
    </xf>
    <xf numFmtId="165" fontId="391" fillId="395" borderId="330" xfId="0" applyNumberFormat="1" applyFont="1" applyFill="1" applyBorder="1" applyAlignment="1">
      <alignment horizontal="center" vertical="center"/>
    </xf>
    <xf numFmtId="165" fontId="393" fillId="397" borderId="332" xfId="0" applyNumberFormat="1" applyFont="1" applyFill="1" applyBorder="1" applyAlignment="1">
      <alignment horizontal="center" vertical="center"/>
    </xf>
    <xf numFmtId="165" fontId="395" fillId="399" borderId="334" xfId="0" applyNumberFormat="1" applyFont="1" applyFill="1" applyBorder="1" applyAlignment="1">
      <alignment horizontal="center" vertical="center"/>
    </xf>
    <xf numFmtId="165" fontId="397" fillId="401" borderId="336" xfId="0" applyNumberFormat="1" applyFont="1" applyFill="1" applyBorder="1" applyAlignment="1">
      <alignment horizontal="center" vertical="center"/>
    </xf>
    <xf numFmtId="165" fontId="399" fillId="403" borderId="338" xfId="0" applyNumberFormat="1" applyFont="1" applyFill="1" applyBorder="1" applyAlignment="1">
      <alignment horizontal="center" vertical="center"/>
    </xf>
    <xf numFmtId="165" fontId="401" fillId="405" borderId="340" xfId="0" applyNumberFormat="1" applyFont="1" applyFill="1" applyBorder="1" applyAlignment="1">
      <alignment horizontal="center" vertical="center"/>
    </xf>
    <xf numFmtId="165" fontId="403" fillId="407" borderId="342" xfId="0" applyNumberFormat="1" applyFont="1" applyFill="1" applyBorder="1" applyAlignment="1">
      <alignment horizontal="center" vertical="center"/>
    </xf>
    <xf numFmtId="165" fontId="405" fillId="409" borderId="344" xfId="0" applyNumberFormat="1" applyFont="1" applyFill="1" applyBorder="1" applyAlignment="1">
      <alignment horizontal="center" vertical="center"/>
    </xf>
    <xf numFmtId="165" fontId="404" fillId="408" borderId="343" xfId="0" applyNumberFormat="1" applyFont="1" applyFill="1" applyBorder="1" applyAlignment="1">
      <alignment horizontal="center" vertical="center"/>
    </xf>
    <xf numFmtId="0" fontId="0" fillId="0" borderId="241" xfId="0" applyBorder="1" applyAlignment="1">
      <alignment horizontal="center"/>
    </xf>
    <xf numFmtId="0" fontId="12" fillId="0" borderId="241" xfId="0" applyFont="1" applyBorder="1" applyAlignment="1">
      <alignment vertical="center"/>
    </xf>
    <xf numFmtId="0" fontId="412" fillId="8" borderId="5" xfId="0" applyFont="1" applyFill="1" applyBorder="1"/>
    <xf numFmtId="0" fontId="0" fillId="0" borderId="239" xfId="0" applyBorder="1"/>
    <xf numFmtId="0" fontId="202" fillId="206" borderId="52" xfId="0" applyFont="1" applyFill="1" applyBorder="1" applyAlignment="1">
      <alignment horizontal="center"/>
    </xf>
    <xf numFmtId="0" fontId="202" fillId="206" borderId="50" xfId="0" applyFont="1" applyFill="1" applyBorder="1" applyAlignment="1">
      <alignment horizontal="center"/>
    </xf>
    <xf numFmtId="0" fontId="202" fillId="206" borderId="53" xfId="0" applyFont="1" applyFill="1" applyBorder="1" applyAlignment="1">
      <alignment horizontal="center"/>
    </xf>
    <xf numFmtId="0" fontId="209" fillId="213" borderId="52" xfId="0" applyFont="1" applyFill="1" applyBorder="1" applyAlignment="1">
      <alignment horizontal="center"/>
    </xf>
    <xf numFmtId="0" fontId="209" fillId="213" borderId="50" xfId="0" applyFont="1" applyFill="1" applyBorder="1" applyAlignment="1">
      <alignment horizontal="center"/>
    </xf>
    <xf numFmtId="0" fontId="209" fillId="213" borderId="53" xfId="0" applyFont="1" applyFill="1" applyBorder="1" applyAlignment="1">
      <alignment horizontal="center"/>
    </xf>
    <xf numFmtId="0" fontId="216" fillId="220" borderId="52" xfId="0" applyFont="1" applyFill="1" applyBorder="1" applyAlignment="1">
      <alignment horizontal="center"/>
    </xf>
    <xf numFmtId="0" fontId="216" fillId="220" borderId="50" xfId="0" applyFont="1" applyFill="1" applyBorder="1" applyAlignment="1">
      <alignment horizontal="center"/>
    </xf>
    <xf numFmtId="0" fontId="216" fillId="220" borderId="53" xfId="0" applyFont="1" applyFill="1" applyBorder="1" applyAlignment="1">
      <alignment horizontal="center"/>
    </xf>
    <xf numFmtId="0" fontId="223" fillId="227" borderId="52" xfId="0" applyFont="1" applyFill="1" applyBorder="1" applyAlignment="1">
      <alignment horizontal="center"/>
    </xf>
    <xf numFmtId="0" fontId="223" fillId="227" borderId="50" xfId="0" applyFont="1" applyFill="1" applyBorder="1" applyAlignment="1">
      <alignment horizontal="center"/>
    </xf>
    <xf numFmtId="0" fontId="223" fillId="227" borderId="53" xfId="0" applyFont="1" applyFill="1" applyBorder="1" applyAlignment="1">
      <alignment horizontal="center"/>
    </xf>
    <xf numFmtId="0" fontId="230" fillId="234" borderId="52" xfId="0" applyFont="1" applyFill="1" applyBorder="1" applyAlignment="1">
      <alignment horizontal="center"/>
    </xf>
    <xf numFmtId="0" fontId="230" fillId="234" borderId="50" xfId="0" applyFont="1" applyFill="1" applyBorder="1" applyAlignment="1">
      <alignment horizontal="center"/>
    </xf>
    <xf numFmtId="0" fontId="230" fillId="234" borderId="53" xfId="0" applyFont="1" applyFill="1" applyBorder="1" applyAlignment="1">
      <alignment horizontal="center"/>
    </xf>
    <xf numFmtId="0" fontId="237" fillId="241" borderId="52" xfId="0" applyFont="1" applyFill="1" applyBorder="1" applyAlignment="1">
      <alignment horizontal="center"/>
    </xf>
    <xf numFmtId="0" fontId="237" fillId="241" borderId="50" xfId="0" applyFont="1" applyFill="1" applyBorder="1" applyAlignment="1">
      <alignment horizontal="center"/>
    </xf>
    <xf numFmtId="0" fontId="237" fillId="241" borderId="53" xfId="0" applyFont="1" applyFill="1" applyBorder="1" applyAlignment="1">
      <alignment horizontal="center"/>
    </xf>
    <xf numFmtId="0" fontId="244" fillId="248" borderId="52" xfId="0" applyFont="1" applyFill="1" applyBorder="1" applyAlignment="1">
      <alignment horizontal="center"/>
    </xf>
    <xf numFmtId="0" fontId="244" fillId="248" borderId="50" xfId="0" applyFont="1" applyFill="1" applyBorder="1" applyAlignment="1">
      <alignment horizontal="center"/>
    </xf>
    <xf numFmtId="0" fontId="244" fillId="248" borderId="53" xfId="0" applyFont="1" applyFill="1" applyBorder="1" applyAlignment="1">
      <alignment horizontal="center"/>
    </xf>
    <xf numFmtId="0" fontId="251" fillId="255" borderId="52" xfId="0" applyFont="1" applyFill="1" applyBorder="1" applyAlignment="1">
      <alignment horizontal="center"/>
    </xf>
    <xf numFmtId="0" fontId="251" fillId="255" borderId="50" xfId="0" applyFont="1" applyFill="1" applyBorder="1" applyAlignment="1">
      <alignment horizontal="center"/>
    </xf>
    <xf numFmtId="0" fontId="251" fillId="255" borderId="53" xfId="0" applyFont="1" applyFill="1" applyBorder="1" applyAlignment="1">
      <alignment horizontal="center"/>
    </xf>
    <xf numFmtId="0" fontId="258" fillId="262" borderId="52" xfId="0" applyFont="1" applyFill="1" applyBorder="1" applyAlignment="1">
      <alignment horizontal="center"/>
    </xf>
    <xf numFmtId="0" fontId="258" fillId="262" borderId="50" xfId="0" applyFont="1" applyFill="1" applyBorder="1" applyAlignment="1">
      <alignment horizontal="center"/>
    </xf>
    <xf numFmtId="0" fontId="258" fillId="262" borderId="53" xfId="0" applyFont="1" applyFill="1" applyBorder="1" applyAlignment="1">
      <alignment horizontal="center"/>
    </xf>
    <xf numFmtId="3" fontId="307" fillId="311" borderId="246" xfId="0" applyNumberFormat="1" applyFont="1" applyFill="1" applyBorder="1" applyAlignment="1">
      <alignment horizontal="center" vertical="center"/>
    </xf>
    <xf numFmtId="3" fontId="36" fillId="38" borderId="51" xfId="0" applyNumberFormat="1" applyFont="1" applyFill="1" applyBorder="1" applyAlignment="1">
      <alignment horizontal="right"/>
    </xf>
    <xf numFmtId="0" fontId="32" fillId="34" borderId="9" xfId="0" applyFont="1" applyFill="1" applyBorder="1" applyAlignment="1">
      <alignment horizontal="center" vertical="center"/>
    </xf>
    <xf numFmtId="0" fontId="411" fillId="191" borderId="52" xfId="0" applyFont="1" applyFill="1" applyBorder="1" applyAlignment="1">
      <alignment horizontal="center"/>
    </xf>
    <xf numFmtId="0" fontId="188" fillId="191" borderId="50" xfId="0" applyFont="1" applyFill="1" applyBorder="1" applyAlignment="1">
      <alignment horizontal="center"/>
    </xf>
    <xf numFmtId="0" fontId="188" fillId="191" borderId="53" xfId="0" applyFont="1" applyFill="1" applyBorder="1" applyAlignment="1">
      <alignment horizontal="center"/>
    </xf>
    <xf numFmtId="0" fontId="195" fillId="199" borderId="52" xfId="0" applyFont="1" applyFill="1" applyBorder="1" applyAlignment="1">
      <alignment horizontal="center"/>
    </xf>
    <xf numFmtId="0" fontId="195" fillId="199" borderId="50" xfId="0" applyFont="1" applyFill="1" applyBorder="1" applyAlignment="1">
      <alignment horizontal="center"/>
    </xf>
    <xf numFmtId="0" fontId="195" fillId="199" borderId="53" xfId="0" applyFont="1" applyFill="1" applyBorder="1" applyAlignment="1">
      <alignment horizontal="center"/>
    </xf>
    <xf numFmtId="0" fontId="406" fillId="105" borderId="60" xfId="0" applyFont="1" applyFill="1" applyBorder="1" applyAlignment="1">
      <alignment horizontal="center" vertical="center"/>
    </xf>
    <xf numFmtId="0" fontId="410" fillId="106" borderId="61" xfId="0" applyFont="1" applyFill="1" applyBorder="1" applyAlignment="1">
      <alignment horizontal="center"/>
    </xf>
    <xf numFmtId="0" fontId="172" fillId="175" borderId="345" xfId="0" applyFont="1" applyFill="1" applyBorder="1" applyAlignment="1">
      <alignment horizontal="center" vertical="center"/>
    </xf>
    <xf numFmtId="0" fontId="172" fillId="175" borderId="346" xfId="0" applyFont="1" applyFill="1" applyBorder="1" applyAlignment="1">
      <alignment horizontal="center" vertical="center"/>
    </xf>
    <xf numFmtId="49" fontId="57" fillId="59" borderId="345" xfId="0" applyNumberFormat="1" applyFont="1" applyFill="1" applyBorder="1" applyAlignment="1">
      <alignment horizontal="center"/>
    </xf>
    <xf numFmtId="49" fontId="57" fillId="59" borderId="347" xfId="0" applyNumberFormat="1" applyFont="1" applyFill="1" applyBorder="1" applyAlignment="1">
      <alignment horizontal="center"/>
    </xf>
    <xf numFmtId="164" fontId="308" fillId="312" borderId="247" xfId="0" applyNumberFormat="1" applyFont="1" applyFill="1" applyBorder="1" applyAlignment="1">
      <alignment horizontal="center" vertical="center"/>
    </xf>
    <xf numFmtId="0" fontId="0" fillId="0" borderId="62" xfId="0" applyBorder="1"/>
    <xf numFmtId="3" fontId="376" fillId="380" borderId="315" xfId="0" applyNumberFormat="1" applyFont="1" applyFill="1" applyBorder="1" applyAlignment="1">
      <alignment horizontal="center" vertical="center"/>
    </xf>
    <xf numFmtId="3" fontId="58" fillId="60" borderId="51" xfId="0" applyNumberFormat="1" applyFont="1" applyFill="1" applyBorder="1" applyAlignment="1">
      <alignment horizontal="right"/>
    </xf>
    <xf numFmtId="3" fontId="377" fillId="381" borderId="316" xfId="0" applyNumberFormat="1" applyFont="1" applyFill="1" applyBorder="1" applyAlignment="1">
      <alignment horizontal="center" vertical="center"/>
    </xf>
    <xf numFmtId="3" fontId="59" fillId="61" borderId="51" xfId="0" applyNumberFormat="1" applyFont="1" applyFill="1" applyBorder="1" applyAlignment="1">
      <alignment horizontal="right"/>
    </xf>
    <xf numFmtId="49" fontId="373" fillId="377" borderId="312" xfId="0" applyNumberFormat="1" applyFont="1" applyFill="1" applyBorder="1" applyAlignment="1">
      <alignment horizontal="center" vertical="center"/>
    </xf>
    <xf numFmtId="49" fontId="57" fillId="59" borderId="53" xfId="0" applyNumberFormat="1" applyFont="1" applyFill="1" applyBorder="1" applyAlignment="1">
      <alignment horizontal="left"/>
    </xf>
    <xf numFmtId="0" fontId="168" fillId="171" borderId="125" xfId="0" applyFont="1" applyFill="1" applyBorder="1" applyAlignment="1">
      <alignment horizontal="center" vertical="center"/>
    </xf>
    <xf numFmtId="0" fontId="169" fillId="172" borderId="126" xfId="0" applyFont="1" applyFill="1" applyBorder="1"/>
    <xf numFmtId="0" fontId="164" fillId="167" borderId="121" xfId="0" applyFont="1" applyFill="1" applyBorder="1" applyAlignment="1">
      <alignment horizontal="center" vertical="center"/>
    </xf>
    <xf numFmtId="0" fontId="165" fillId="168" borderId="122" xfId="0" applyFont="1" applyFill="1" applyBorder="1"/>
    <xf numFmtId="0" fontId="245" fillId="249" borderId="239" xfId="0" applyFont="1" applyFill="1" applyBorder="1"/>
    <xf numFmtId="0" fontId="0" fillId="0" borderId="239" xfId="0" applyBorder="1"/>
    <xf numFmtId="0" fontId="252" fillId="256" borderId="239" xfId="0" applyFont="1" applyFill="1" applyBorder="1"/>
    <xf numFmtId="0" fontId="259" fillId="263" borderId="239" xfId="0" applyFont="1" applyFill="1" applyBorder="1"/>
    <xf numFmtId="0" fontId="266" fillId="270" borderId="239" xfId="0" applyFont="1" applyFill="1" applyBorder="1"/>
    <xf numFmtId="0" fontId="273" fillId="277" borderId="239" xfId="0" applyFont="1" applyFill="1" applyBorder="1"/>
    <xf numFmtId="0" fontId="280" fillId="284" borderId="239" xfId="0" applyFont="1" applyFill="1" applyBorder="1"/>
    <xf numFmtId="0" fontId="287" fillId="291" borderId="239" xfId="0" applyFont="1" applyFill="1" applyBorder="1"/>
    <xf numFmtId="0" fontId="294" fillId="298" borderId="239" xfId="0" applyFont="1" applyFill="1" applyBorder="1"/>
    <xf numFmtId="0" fontId="0" fillId="0" borderId="0" xfId="0"/>
    <xf numFmtId="0" fontId="265" fillId="269" borderId="52" xfId="0" applyFont="1" applyFill="1" applyBorder="1" applyAlignment="1">
      <alignment horizontal="center"/>
    </xf>
    <xf numFmtId="0" fontId="265" fillId="269" borderId="50" xfId="0" applyFont="1" applyFill="1" applyBorder="1" applyAlignment="1">
      <alignment horizontal="center"/>
    </xf>
    <xf numFmtId="0" fontId="265" fillId="269" borderId="53" xfId="0" applyFont="1" applyFill="1" applyBorder="1" applyAlignment="1">
      <alignment horizontal="center"/>
    </xf>
    <xf numFmtId="0" fontId="272" fillId="276" borderId="52" xfId="0" applyFont="1" applyFill="1" applyBorder="1" applyAlignment="1">
      <alignment horizontal="center"/>
    </xf>
    <xf numFmtId="0" fontId="272" fillId="276" borderId="50" xfId="0" applyFont="1" applyFill="1" applyBorder="1" applyAlignment="1">
      <alignment horizontal="center"/>
    </xf>
    <xf numFmtId="0" fontId="272" fillId="276" borderId="53" xfId="0" applyFont="1" applyFill="1" applyBorder="1" applyAlignment="1">
      <alignment horizontal="center"/>
    </xf>
    <xf numFmtId="0" fontId="279" fillId="283" borderId="52" xfId="0" applyFont="1" applyFill="1" applyBorder="1" applyAlignment="1">
      <alignment horizontal="center"/>
    </xf>
    <xf numFmtId="0" fontId="279" fillId="283" borderId="50" xfId="0" applyFont="1" applyFill="1" applyBorder="1" applyAlignment="1">
      <alignment horizontal="center"/>
    </xf>
    <xf numFmtId="0" fontId="279" fillId="283" borderId="53" xfId="0" applyFont="1" applyFill="1" applyBorder="1" applyAlignment="1">
      <alignment horizontal="center"/>
    </xf>
    <xf numFmtId="0" fontId="286" fillId="290" borderId="52" xfId="0" applyFont="1" applyFill="1" applyBorder="1" applyAlignment="1">
      <alignment horizontal="center"/>
    </xf>
    <xf numFmtId="0" fontId="286" fillId="290" borderId="50" xfId="0" applyFont="1" applyFill="1" applyBorder="1" applyAlignment="1">
      <alignment horizontal="center"/>
    </xf>
    <xf numFmtId="0" fontId="286" fillId="290" borderId="53" xfId="0" applyFont="1" applyFill="1" applyBorder="1" applyAlignment="1">
      <alignment horizontal="center"/>
    </xf>
    <xf numFmtId="0" fontId="293" fillId="297" borderId="52" xfId="0" applyFont="1" applyFill="1" applyBorder="1" applyAlignment="1">
      <alignment horizontal="center"/>
    </xf>
    <xf numFmtId="0" fontId="293" fillId="297" borderId="50" xfId="0" applyFont="1" applyFill="1" applyBorder="1" applyAlignment="1">
      <alignment horizontal="center"/>
    </xf>
    <xf numFmtId="0" fontId="293" fillId="297" borderId="53" xfId="0" applyFont="1" applyFill="1" applyBorder="1" applyAlignment="1">
      <alignment horizontal="center"/>
    </xf>
    <xf numFmtId="0" fontId="300" fillId="304" borderId="52" xfId="0" applyFont="1" applyFill="1" applyBorder="1" applyAlignment="1">
      <alignment horizontal="center"/>
    </xf>
    <xf numFmtId="0" fontId="300" fillId="304" borderId="50" xfId="0" applyFont="1" applyFill="1" applyBorder="1" applyAlignment="1">
      <alignment horizontal="center"/>
    </xf>
    <xf numFmtId="0" fontId="300" fillId="304" borderId="53" xfId="0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3" xfId="0" applyBorder="1" applyAlignment="1">
      <alignment horizontal="center"/>
    </xf>
    <xf numFmtId="0" fontId="181" fillId="184" borderId="348" xfId="0" applyFont="1" applyFill="1" applyBorder="1"/>
    <xf numFmtId="0" fontId="0" fillId="0" borderId="241" xfId="0" applyBorder="1"/>
    <xf numFmtId="0" fontId="189" fillId="193" borderId="239" xfId="0" applyFont="1" applyFill="1" applyBorder="1"/>
    <xf numFmtId="0" fontId="196" fillId="200" borderId="239" xfId="0" applyFont="1" applyFill="1" applyBorder="1"/>
    <xf numFmtId="0" fontId="203" fillId="207" borderId="239" xfId="0" applyFont="1" applyFill="1" applyBorder="1"/>
    <xf numFmtId="0" fontId="210" fillId="214" borderId="239" xfId="0" applyFont="1" applyFill="1" applyBorder="1"/>
    <xf numFmtId="0" fontId="217" fillId="221" borderId="239" xfId="0" applyFont="1" applyFill="1" applyBorder="1"/>
    <xf numFmtId="0" fontId="224" fillId="228" borderId="239" xfId="0" applyFont="1" applyFill="1" applyBorder="1"/>
    <xf numFmtId="0" fontId="231" fillId="235" borderId="239" xfId="0" applyFont="1" applyFill="1" applyBorder="1"/>
    <xf numFmtId="0" fontId="238" fillId="242" borderId="239" xfId="0" applyFont="1" applyFill="1" applyBorder="1"/>
    <xf numFmtId="0" fontId="26" fillId="28" borderId="51" xfId="0" applyFont="1" applyFill="1" applyBorder="1" applyAlignment="1">
      <alignment horizontal="center"/>
    </xf>
    <xf numFmtId="0" fontId="23" fillId="25" borderId="51" xfId="0" applyFont="1" applyFill="1" applyBorder="1" applyAlignment="1">
      <alignment horizontal="center"/>
    </xf>
    <xf numFmtId="0" fontId="25" fillId="27" borderId="51" xfId="0" applyFont="1" applyFill="1" applyBorder="1" applyAlignment="1">
      <alignment horizontal="center"/>
    </xf>
    <xf numFmtId="0" fontId="27" fillId="29" borderId="51" xfId="0" applyFont="1" applyFill="1" applyBorder="1" applyAlignment="1">
      <alignment horizontal="center"/>
    </xf>
    <xf numFmtId="0" fontId="28" fillId="30" borderId="51" xfId="0" applyFont="1" applyFill="1" applyBorder="1" applyAlignment="1">
      <alignment horizontal="center"/>
    </xf>
    <xf numFmtId="0" fontId="29" fillId="31" borderId="51" xfId="0" applyFont="1" applyFill="1" applyBorder="1" applyAlignment="1">
      <alignment horizontal="center"/>
    </xf>
    <xf numFmtId="0" fontId="30" fillId="32" borderId="51" xfId="0" applyFont="1" applyFill="1" applyBorder="1" applyAlignment="1">
      <alignment horizontal="center"/>
    </xf>
    <xf numFmtId="4" fontId="31" fillId="33" borderId="51" xfId="0" applyNumberFormat="1" applyFont="1" applyFill="1" applyBorder="1" applyAlignment="1">
      <alignment horizontal="center"/>
    </xf>
    <xf numFmtId="0" fontId="101" fillId="103" borderId="58" xfId="0" applyFont="1" applyFill="1" applyBorder="1" applyAlignment="1">
      <alignment horizontal="center" vertical="center"/>
    </xf>
    <xf numFmtId="0" fontId="102" fillId="104" borderId="59" xfId="0" applyFont="1" applyFill="1" applyBorder="1" applyAlignment="1">
      <alignment horizontal="center"/>
    </xf>
    <xf numFmtId="49" fontId="328" fillId="332" borderId="267" xfId="0" applyNumberFormat="1" applyFont="1" applyFill="1" applyBorder="1" applyAlignment="1">
      <alignment horizontal="center" vertical="center"/>
    </xf>
    <xf numFmtId="49" fontId="48" fillId="50" borderId="51" xfId="0" applyNumberFormat="1" applyFont="1" applyFill="1" applyBorder="1" applyAlignment="1">
      <alignment horizontal="left"/>
    </xf>
    <xf numFmtId="3" fontId="341" fillId="345" borderId="280" xfId="0" applyNumberFormat="1" applyFont="1" applyFill="1" applyBorder="1" applyAlignment="1">
      <alignment horizontal="center" vertical="center"/>
    </xf>
    <xf numFmtId="3" fontId="55" fillId="57" borderId="51" xfId="0" applyNumberFormat="1" applyFont="1" applyFill="1" applyBorder="1" applyAlignment="1">
      <alignment horizontal="right"/>
    </xf>
    <xf numFmtId="3" fontId="361" fillId="365" borderId="300" xfId="0" applyNumberFormat="1" applyFont="1" applyFill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239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vertical="center"/>
    </xf>
    <xf numFmtId="0" fontId="3" fillId="6" borderId="12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10" fillId="12" borderId="12" xfId="0" applyFont="1" applyFill="1" applyBorder="1" applyAlignment="1">
      <alignment horizontal="center"/>
    </xf>
    <xf numFmtId="0" fontId="11" fillId="13" borderId="50" xfId="0" applyFont="1" applyFill="1" applyBorder="1" applyAlignment="1">
      <alignment horizontal="center"/>
    </xf>
    <xf numFmtId="0" fontId="13" fillId="15" borderId="51" xfId="0" applyFont="1" applyFill="1" applyBorder="1" applyAlignment="1">
      <alignment horizontal="center"/>
    </xf>
    <xf numFmtId="0" fontId="14" fillId="16" borderId="51" xfId="0" applyFont="1" applyFill="1" applyBorder="1" applyAlignment="1">
      <alignment horizontal="center"/>
    </xf>
    <xf numFmtId="0" fontId="15" fillId="17" borderId="51" xfId="0" applyFont="1" applyFill="1" applyBorder="1" applyAlignment="1">
      <alignment horizontal="center"/>
    </xf>
    <xf numFmtId="0" fontId="15" fillId="17" borderId="239" xfId="0" applyFont="1" applyFill="1" applyBorder="1" applyAlignment="1">
      <alignment horizontal="center"/>
    </xf>
    <xf numFmtId="0" fontId="16" fillId="18" borderId="51" xfId="0" applyFont="1" applyFill="1" applyBorder="1" applyAlignment="1">
      <alignment horizontal="center"/>
    </xf>
    <xf numFmtId="0" fontId="18" fillId="20" borderId="51" xfId="0" applyFont="1" applyFill="1" applyBorder="1" applyAlignment="1">
      <alignment horizontal="center"/>
    </xf>
    <xf numFmtId="0" fontId="20" fillId="22" borderId="51" xfId="0" applyFont="1" applyFill="1" applyBorder="1" applyAlignment="1">
      <alignment horizontal="center"/>
    </xf>
    <xf numFmtId="0" fontId="17" fillId="19" borderId="51" xfId="0" applyFont="1" applyFill="1" applyBorder="1" applyAlignment="1">
      <alignment horizontal="center"/>
    </xf>
    <xf numFmtId="0" fontId="19" fillId="21" borderId="51" xfId="0" applyFont="1" applyFill="1" applyBorder="1" applyAlignment="1">
      <alignment horizontal="center"/>
    </xf>
    <xf numFmtId="0" fontId="21" fillId="23" borderId="51" xfId="0" applyFont="1" applyFill="1" applyBorder="1" applyAlignment="1">
      <alignment horizontal="center"/>
    </xf>
    <xf numFmtId="0" fontId="22" fillId="24" borderId="51" xfId="0" applyFont="1" applyFill="1" applyBorder="1" applyAlignment="1">
      <alignment horizontal="center"/>
    </xf>
    <xf numFmtId="0" fontId="24" fillId="26" borderId="51" xfId="0" applyFont="1" applyFill="1" applyBorder="1" applyAlignment="1">
      <alignment horizontal="center"/>
    </xf>
    <xf numFmtId="0" fontId="409" fillId="105" borderId="60" xfId="0" applyFont="1" applyFill="1" applyBorder="1" applyAlignment="1">
      <alignment horizontal="center" vertical="center"/>
    </xf>
    <xf numFmtId="0" fontId="103" fillId="106" borderId="61" xfId="0" applyFont="1" applyFill="1" applyBorder="1" applyAlignment="1">
      <alignment horizontal="center"/>
    </xf>
    <xf numFmtId="0" fontId="104" fillId="107" borderId="62" xfId="0" applyFont="1" applyFill="1" applyBorder="1" applyAlignment="1">
      <alignment horizontal="center" vertical="center"/>
    </xf>
    <xf numFmtId="0" fontId="105" fillId="108" borderId="62" xfId="0" applyFont="1" applyFill="1" applyBorder="1"/>
    <xf numFmtId="3" fontId="306" fillId="310" borderId="245" xfId="0" applyNumberFormat="1" applyFont="1" applyFill="1" applyBorder="1" applyAlignment="1">
      <alignment horizontal="center" vertical="center"/>
    </xf>
    <xf numFmtId="3" fontId="35" fillId="37" borderId="51" xfId="0" applyNumberFormat="1" applyFont="1" applyFill="1" applyBorder="1" applyAlignment="1">
      <alignment horizontal="right"/>
    </xf>
    <xf numFmtId="49" fontId="303" fillId="307" borderId="242" xfId="0" applyNumberFormat="1" applyFont="1" applyFill="1" applyBorder="1" applyAlignment="1">
      <alignment horizontal="center" vertical="center"/>
    </xf>
    <xf numFmtId="49" fontId="34" fillId="36" borderId="51" xfId="0" applyNumberFormat="1" applyFont="1" applyFill="1" applyBorder="1" applyAlignment="1">
      <alignment horizontal="left"/>
    </xf>
    <xf numFmtId="49" fontId="313" fillId="317" borderId="252" xfId="0" applyNumberFormat="1" applyFont="1" applyFill="1" applyBorder="1" applyAlignment="1">
      <alignment horizontal="center" vertical="center"/>
    </xf>
    <xf numFmtId="49" fontId="39" fillId="41" borderId="51" xfId="0" applyNumberFormat="1" applyFont="1" applyFill="1" applyBorder="1" applyAlignment="1">
      <alignment horizontal="left"/>
    </xf>
    <xf numFmtId="49" fontId="318" fillId="322" borderId="257" xfId="0" applyNumberFormat="1" applyFont="1" applyFill="1" applyBorder="1" applyAlignment="1">
      <alignment horizontal="center" vertical="center"/>
    </xf>
    <xf numFmtId="49" fontId="42" fillId="44" borderId="51" xfId="0" applyNumberFormat="1" applyFont="1" applyFill="1" applyBorder="1" applyAlignment="1">
      <alignment horizontal="left"/>
    </xf>
    <xf numFmtId="49" fontId="323" fillId="327" borderId="262" xfId="0" applyNumberFormat="1" applyFont="1" applyFill="1" applyBorder="1" applyAlignment="1">
      <alignment horizontal="center" vertical="center"/>
    </xf>
    <xf numFmtId="49" fontId="45" fillId="47" borderId="51" xfId="0" applyNumberFormat="1" applyFont="1" applyFill="1" applyBorder="1" applyAlignment="1">
      <alignment horizontal="left"/>
    </xf>
    <xf numFmtId="3" fontId="321" fillId="325" borderId="260" xfId="0" applyNumberFormat="1" applyFont="1" applyFill="1" applyBorder="1" applyAlignment="1">
      <alignment horizontal="center" vertical="center"/>
    </xf>
    <xf numFmtId="3" fontId="43" fillId="45" borderId="51" xfId="0" applyNumberFormat="1" applyFont="1" applyFill="1" applyBorder="1" applyAlignment="1">
      <alignment horizontal="right"/>
    </xf>
    <xf numFmtId="3" fontId="322" fillId="326" borderId="261" xfId="0" applyNumberFormat="1" applyFont="1" applyFill="1" applyBorder="1" applyAlignment="1">
      <alignment horizontal="center" vertical="center"/>
    </xf>
    <xf numFmtId="3" fontId="44" fillId="46" borderId="51" xfId="0" applyNumberFormat="1" applyFont="1" applyFill="1" applyBorder="1" applyAlignment="1">
      <alignment horizontal="right"/>
    </xf>
    <xf numFmtId="3" fontId="326" fillId="330" borderId="265" xfId="0" applyNumberFormat="1" applyFont="1" applyFill="1" applyBorder="1" applyAlignment="1">
      <alignment horizontal="center" vertical="center"/>
    </xf>
    <xf numFmtId="3" fontId="46" fillId="48" borderId="51" xfId="0" applyNumberFormat="1" applyFont="1" applyFill="1" applyBorder="1" applyAlignment="1">
      <alignment horizontal="right"/>
    </xf>
    <xf numFmtId="3" fontId="327" fillId="331" borderId="266" xfId="0" applyNumberFormat="1" applyFont="1" applyFill="1" applyBorder="1" applyAlignment="1">
      <alignment horizontal="center" vertical="center"/>
    </xf>
    <xf numFmtId="3" fontId="47" fillId="49" borderId="51" xfId="0" applyNumberFormat="1" applyFont="1" applyFill="1" applyBorder="1" applyAlignment="1">
      <alignment horizontal="right"/>
    </xf>
    <xf numFmtId="3" fontId="311" fillId="315" borderId="250" xfId="0" applyNumberFormat="1" applyFont="1" applyFill="1" applyBorder="1" applyAlignment="1">
      <alignment horizontal="center" vertical="center"/>
    </xf>
    <xf numFmtId="3" fontId="37" fillId="39" borderId="51" xfId="0" applyNumberFormat="1" applyFont="1" applyFill="1" applyBorder="1" applyAlignment="1">
      <alignment horizontal="right"/>
    </xf>
    <xf numFmtId="3" fontId="312" fillId="316" borderId="251" xfId="0" applyNumberFormat="1" applyFont="1" applyFill="1" applyBorder="1" applyAlignment="1">
      <alignment horizontal="center" vertical="center"/>
    </xf>
    <xf numFmtId="3" fontId="38" fillId="40" borderId="51" xfId="0" applyNumberFormat="1" applyFont="1" applyFill="1" applyBorder="1" applyAlignment="1">
      <alignment horizontal="right"/>
    </xf>
    <xf numFmtId="3" fontId="316" fillId="320" borderId="255" xfId="0" applyNumberFormat="1" applyFont="1" applyFill="1" applyBorder="1" applyAlignment="1">
      <alignment horizontal="center" vertical="center"/>
    </xf>
    <xf numFmtId="3" fontId="40" fillId="42" borderId="51" xfId="0" applyNumberFormat="1" applyFont="1" applyFill="1" applyBorder="1" applyAlignment="1">
      <alignment horizontal="right"/>
    </xf>
    <xf numFmtId="3" fontId="317" fillId="321" borderId="256" xfId="0" applyNumberFormat="1" applyFont="1" applyFill="1" applyBorder="1" applyAlignment="1">
      <alignment horizontal="center" vertical="center"/>
    </xf>
    <xf numFmtId="3" fontId="41" fillId="43" borderId="51" xfId="0" applyNumberFormat="1" applyFont="1" applyFill="1" applyBorder="1" applyAlignment="1">
      <alignment horizontal="right"/>
    </xf>
    <xf numFmtId="0" fontId="97" fillId="99" borderId="54" xfId="0" applyFont="1" applyFill="1" applyBorder="1" applyAlignment="1">
      <alignment horizontal="center" vertical="center"/>
    </xf>
    <xf numFmtId="0" fontId="98" fillId="100" borderId="55" xfId="0" applyFont="1" applyFill="1" applyBorder="1" applyAlignment="1">
      <alignment horizontal="center"/>
    </xf>
    <xf numFmtId="49" fontId="333" fillId="337" borderId="272" xfId="0" applyNumberFormat="1" applyFont="1" applyFill="1" applyBorder="1" applyAlignment="1">
      <alignment horizontal="center" vertical="center"/>
    </xf>
    <xf numFmtId="49" fontId="51" fillId="53" borderId="51" xfId="0" applyNumberFormat="1" applyFont="1" applyFill="1" applyBorder="1" applyAlignment="1">
      <alignment horizontal="left"/>
    </xf>
    <xf numFmtId="49" fontId="338" fillId="342" borderId="277" xfId="0" applyNumberFormat="1" applyFont="1" applyFill="1" applyBorder="1" applyAlignment="1">
      <alignment horizontal="center" vertical="center"/>
    </xf>
    <xf numFmtId="49" fontId="54" fillId="56" borderId="51" xfId="0" applyNumberFormat="1" applyFont="1" applyFill="1" applyBorder="1" applyAlignment="1">
      <alignment horizontal="left"/>
    </xf>
    <xf numFmtId="49" fontId="348" fillId="352" borderId="287" xfId="0" applyNumberFormat="1" applyFont="1" applyFill="1" applyBorder="1" applyAlignment="1">
      <alignment horizontal="center" vertical="center"/>
    </xf>
    <xf numFmtId="49" fontId="57" fillId="59" borderId="51" xfId="0" applyNumberFormat="1" applyFont="1" applyFill="1" applyBorder="1" applyAlignment="1">
      <alignment horizontal="left"/>
    </xf>
    <xf numFmtId="49" fontId="343" fillId="347" borderId="282" xfId="0" applyNumberFormat="1" applyFont="1" applyFill="1" applyBorder="1" applyAlignment="1">
      <alignment horizontal="center" vertical="center"/>
    </xf>
    <xf numFmtId="49" fontId="353" fillId="357" borderId="292" xfId="0" applyNumberFormat="1" applyFont="1" applyFill="1" applyBorder="1" applyAlignment="1">
      <alignment horizontal="center" vertical="center"/>
    </xf>
    <xf numFmtId="49" fontId="358" fillId="362" borderId="297" xfId="0" applyNumberFormat="1" applyFont="1" applyFill="1" applyBorder="1" applyAlignment="1">
      <alignment horizontal="center" vertical="center"/>
    </xf>
    <xf numFmtId="49" fontId="363" fillId="367" borderId="302" xfId="0" applyNumberFormat="1" applyFont="1" applyFill="1" applyBorder="1" applyAlignment="1">
      <alignment horizontal="center" vertical="center"/>
    </xf>
    <xf numFmtId="49" fontId="368" fillId="372" borderId="307" xfId="0" applyNumberFormat="1" applyFont="1" applyFill="1" applyBorder="1" applyAlignment="1">
      <alignment horizontal="center" vertical="center"/>
    </xf>
    <xf numFmtId="3" fontId="342" fillId="346" borderId="281" xfId="0" applyNumberFormat="1" applyFont="1" applyFill="1" applyBorder="1" applyAlignment="1">
      <alignment horizontal="center" vertical="center"/>
    </xf>
    <xf numFmtId="3" fontId="56" fillId="58" borderId="51" xfId="0" applyNumberFormat="1" applyFont="1" applyFill="1" applyBorder="1" applyAlignment="1">
      <alignment horizontal="right"/>
    </xf>
    <xf numFmtId="3" fontId="346" fillId="350" borderId="285" xfId="0" applyNumberFormat="1" applyFont="1" applyFill="1" applyBorder="1" applyAlignment="1">
      <alignment horizontal="center" vertical="center"/>
    </xf>
    <xf numFmtId="3" fontId="347" fillId="351" borderId="286" xfId="0" applyNumberFormat="1" applyFont="1" applyFill="1" applyBorder="1" applyAlignment="1">
      <alignment horizontal="center" vertical="center"/>
    </xf>
    <xf numFmtId="3" fontId="331" fillId="335" borderId="270" xfId="0" applyNumberFormat="1" applyFont="1" applyFill="1" applyBorder="1" applyAlignment="1">
      <alignment horizontal="center" vertical="center"/>
    </xf>
    <xf numFmtId="3" fontId="49" fillId="51" borderId="51" xfId="0" applyNumberFormat="1" applyFont="1" applyFill="1" applyBorder="1" applyAlignment="1">
      <alignment horizontal="right"/>
    </xf>
    <xf numFmtId="3" fontId="332" fillId="336" borderId="271" xfId="0" applyNumberFormat="1" applyFont="1" applyFill="1" applyBorder="1" applyAlignment="1">
      <alignment horizontal="center" vertical="center"/>
    </xf>
    <xf numFmtId="3" fontId="50" fillId="52" borderId="51" xfId="0" applyNumberFormat="1" applyFont="1" applyFill="1" applyBorder="1" applyAlignment="1">
      <alignment horizontal="right"/>
    </xf>
    <xf numFmtId="3" fontId="336" fillId="340" borderId="275" xfId="0" applyNumberFormat="1" applyFont="1" applyFill="1" applyBorder="1" applyAlignment="1">
      <alignment horizontal="center" vertical="center"/>
    </xf>
    <xf numFmtId="3" fontId="52" fillId="54" borderId="51" xfId="0" applyNumberFormat="1" applyFont="1" applyFill="1" applyBorder="1" applyAlignment="1">
      <alignment horizontal="right"/>
    </xf>
    <xf numFmtId="3" fontId="337" fillId="341" borderId="276" xfId="0" applyNumberFormat="1" applyFont="1" applyFill="1" applyBorder="1" applyAlignment="1">
      <alignment horizontal="center" vertical="center"/>
    </xf>
    <xf numFmtId="3" fontId="53" fillId="55" borderId="51" xfId="0" applyNumberFormat="1" applyFont="1" applyFill="1" applyBorder="1" applyAlignment="1">
      <alignment horizontal="right"/>
    </xf>
    <xf numFmtId="3" fontId="362" fillId="366" borderId="301" xfId="0" applyNumberFormat="1" applyFont="1" applyFill="1" applyBorder="1" applyAlignment="1">
      <alignment horizontal="center" vertical="center"/>
    </xf>
    <xf numFmtId="3" fontId="366" fillId="370" borderId="305" xfId="0" applyNumberFormat="1" applyFont="1" applyFill="1" applyBorder="1" applyAlignment="1">
      <alignment horizontal="center" vertical="center"/>
    </xf>
    <xf numFmtId="3" fontId="367" fillId="371" borderId="306" xfId="0" applyNumberFormat="1" applyFont="1" applyFill="1" applyBorder="1" applyAlignment="1">
      <alignment horizontal="center" vertical="center"/>
    </xf>
    <xf numFmtId="3" fontId="351" fillId="355" borderId="290" xfId="0" applyNumberFormat="1" applyFont="1" applyFill="1" applyBorder="1" applyAlignment="1">
      <alignment horizontal="center" vertical="center"/>
    </xf>
    <xf numFmtId="3" fontId="352" fillId="356" borderId="291" xfId="0" applyNumberFormat="1" applyFont="1" applyFill="1" applyBorder="1" applyAlignment="1">
      <alignment horizontal="center" vertical="center"/>
    </xf>
    <xf numFmtId="3" fontId="356" fillId="360" borderId="295" xfId="0" applyNumberFormat="1" applyFont="1" applyFill="1" applyBorder="1" applyAlignment="1">
      <alignment horizontal="center" vertical="center"/>
    </xf>
    <xf numFmtId="3" fontId="357" fillId="361" borderId="296" xfId="0" applyNumberFormat="1" applyFont="1" applyFill="1" applyBorder="1" applyAlignment="1">
      <alignment horizontal="center" vertical="center"/>
    </xf>
    <xf numFmtId="3" fontId="371" fillId="375" borderId="310" xfId="0" applyNumberFormat="1" applyFont="1" applyFill="1" applyBorder="1" applyAlignment="1">
      <alignment horizontal="center" vertical="center"/>
    </xf>
    <xf numFmtId="3" fontId="372" fillId="376" borderId="3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0</xdr:row>
      <xdr:rowOff>25400</xdr:rowOff>
    </xdr:from>
    <xdr:to>
      <xdr:col>11</xdr:col>
      <xdr:colOff>681990</xdr:colOff>
      <xdr:row>2</xdr:row>
      <xdr:rowOff>203835</xdr:rowOff>
    </xdr:to>
    <xdr:pic>
      <xdr:nvPicPr>
        <xdr:cNvPr id="4" name="Logo_Pagina_1">
          <a:extLst>
            <a:ext uri="{FF2B5EF4-FFF2-40B4-BE49-F238E27FC236}">
              <a16:creationId xmlns:a16="http://schemas.microsoft.com/office/drawing/2014/main" id="{ACE6E00E-254F-300D-E051-6107901C5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2880" y="2540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12</xdr:col>
      <xdr:colOff>167640</xdr:colOff>
      <xdr:row>24</xdr:row>
      <xdr:rowOff>177800</xdr:rowOff>
    </xdr:from>
    <xdr:to>
      <xdr:col>12</xdr:col>
      <xdr:colOff>1558290</xdr:colOff>
      <xdr:row>27</xdr:row>
      <xdr:rowOff>165735</xdr:rowOff>
    </xdr:to>
    <xdr:pic>
      <xdr:nvPicPr>
        <xdr:cNvPr id="8" name="Logo_Pagina_2">
          <a:extLst>
            <a:ext uri="{FF2B5EF4-FFF2-40B4-BE49-F238E27FC236}">
              <a16:creationId xmlns:a16="http://schemas.microsoft.com/office/drawing/2014/main" id="{C298FE91-50E3-A590-A229-BAAE38855E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1140" y="6357620"/>
          <a:ext cx="1390650" cy="544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X134"/>
  <sheetViews>
    <sheetView tabSelected="1" zoomScaleNormal="100" workbookViewId="0">
      <selection activeCell="H9" sqref="H9"/>
    </sheetView>
  </sheetViews>
  <sheetFormatPr baseColWidth="10" defaultColWidth="8.88671875" defaultRowHeight="14.4"/>
  <cols>
    <col min="2" max="3" width="11" customWidth="1"/>
    <col min="4" max="4" width="13.5546875" bestFit="1" customWidth="1"/>
    <col min="5" max="5" width="12.5546875" bestFit="1" customWidth="1"/>
    <col min="6" max="8" width="11" customWidth="1"/>
    <col min="9" max="9" width="20.44140625" customWidth="1"/>
    <col min="10" max="10" width="11" customWidth="1"/>
    <col min="11" max="11" width="2.6640625" customWidth="1"/>
    <col min="12" max="12" width="10.33203125" bestFit="1" customWidth="1"/>
    <col min="13" max="13" width="23" customWidth="1"/>
  </cols>
  <sheetData>
    <row r="3" spans="2:12" ht="19.95" customHeight="1">
      <c r="B3" s="1"/>
    </row>
    <row r="4" spans="2:12" ht="30" customHeight="1">
      <c r="B4" s="408" t="s">
        <v>0</v>
      </c>
      <c r="C4" s="359"/>
      <c r="D4" s="359"/>
      <c r="E4" s="359"/>
      <c r="F4" s="359"/>
      <c r="G4" s="359"/>
      <c r="H4" s="359"/>
      <c r="I4" s="359"/>
      <c r="J4" s="359"/>
      <c r="K4" s="359"/>
      <c r="L4" s="359"/>
    </row>
    <row r="5" spans="2:12" ht="15" customHeight="1"/>
    <row r="6" spans="2:12" ht="19.95" customHeight="1">
      <c r="B6" s="2" t="s">
        <v>1</v>
      </c>
      <c r="C6" s="3">
        <v>25</v>
      </c>
      <c r="E6" s="410" t="s">
        <v>98</v>
      </c>
      <c r="F6" s="411"/>
      <c r="G6" s="411"/>
      <c r="H6" s="412" t="s">
        <v>57</v>
      </c>
      <c r="I6" s="412"/>
      <c r="J6" s="412"/>
      <c r="K6" s="412"/>
      <c r="L6" s="412"/>
    </row>
    <row r="7" spans="2:12" ht="19.95" customHeight="1">
      <c r="B7" s="294" t="s">
        <v>157</v>
      </c>
      <c r="C7" s="4"/>
      <c r="D7" s="5" t="s">
        <v>2</v>
      </c>
      <c r="E7" s="6"/>
      <c r="F7" s="413" t="s">
        <v>3</v>
      </c>
      <c r="G7" s="413"/>
      <c r="H7" s="414" t="s">
        <v>103</v>
      </c>
      <c r="I7" s="414"/>
      <c r="J7" s="414"/>
      <c r="K7" s="414"/>
      <c r="L7" s="414"/>
    </row>
    <row r="8" spans="2:12" ht="19.95" customHeight="1"/>
    <row r="9" spans="2:12" ht="10.050000000000001" customHeight="1"/>
    <row r="10" spans="2:12" ht="22.05" customHeight="1">
      <c r="B10" s="409" t="s">
        <v>4</v>
      </c>
      <c r="C10" s="359"/>
      <c r="D10" s="359"/>
      <c r="E10" s="359"/>
      <c r="F10" s="359"/>
      <c r="G10" s="359"/>
      <c r="H10" s="359"/>
      <c r="I10" s="359"/>
      <c r="J10" s="359"/>
      <c r="K10" s="359"/>
      <c r="L10" s="359"/>
    </row>
    <row r="11" spans="2:12" ht="22.05" customHeight="1">
      <c r="B11" s="415" t="s">
        <v>5</v>
      </c>
      <c r="C11" s="415"/>
      <c r="D11" s="416" t="s">
        <v>6</v>
      </c>
      <c r="E11" s="416"/>
      <c r="F11" s="416"/>
      <c r="G11" s="416"/>
      <c r="H11" s="417" t="s">
        <v>7</v>
      </c>
      <c r="I11" s="417"/>
      <c r="J11" s="418"/>
      <c r="K11" s="417"/>
      <c r="L11" s="417"/>
    </row>
    <row r="12" spans="2:12" ht="22.05" customHeight="1">
      <c r="B12" s="419" t="s">
        <v>8</v>
      </c>
      <c r="C12" s="419"/>
      <c r="D12" s="422" t="s">
        <v>51</v>
      </c>
      <c r="E12" s="422"/>
      <c r="F12" s="422"/>
      <c r="G12" s="422"/>
      <c r="H12" s="406"/>
      <c r="I12" s="406"/>
      <c r="J12" s="407"/>
      <c r="K12" s="406"/>
      <c r="L12" s="406"/>
    </row>
    <row r="13" spans="2:12" ht="22.05" customHeight="1">
      <c r="B13" s="420" t="s">
        <v>9</v>
      </c>
      <c r="C13" s="420"/>
      <c r="D13" s="423"/>
      <c r="E13" s="423"/>
      <c r="F13" s="423"/>
      <c r="G13" s="423"/>
      <c r="H13" s="406"/>
      <c r="I13" s="406"/>
      <c r="J13" s="407"/>
      <c r="K13" s="406"/>
      <c r="L13" s="406"/>
    </row>
    <row r="14" spans="2:12" ht="22.05" customHeight="1">
      <c r="B14" s="421" t="s">
        <v>10</v>
      </c>
      <c r="C14" s="421"/>
      <c r="D14" s="424"/>
      <c r="E14" s="424"/>
      <c r="F14" s="424"/>
      <c r="G14" s="424"/>
      <c r="H14" s="406"/>
      <c r="I14" s="406"/>
      <c r="J14" s="407"/>
      <c r="K14" s="406"/>
      <c r="L14" s="406"/>
    </row>
    <row r="15" spans="2:12" ht="22.05" customHeight="1">
      <c r="B15" s="425" t="s">
        <v>11</v>
      </c>
      <c r="C15" s="425"/>
      <c r="D15" s="392"/>
      <c r="E15" s="392"/>
      <c r="F15" s="392"/>
      <c r="G15" s="392"/>
      <c r="H15" s="406"/>
      <c r="I15" s="406"/>
      <c r="J15" s="407"/>
      <c r="K15" s="406"/>
      <c r="L15" s="406"/>
    </row>
    <row r="16" spans="2:12" ht="22.05" customHeight="1">
      <c r="B16" s="426" t="s">
        <v>12</v>
      </c>
      <c r="C16" s="426"/>
      <c r="D16" s="393"/>
      <c r="E16" s="393"/>
      <c r="F16" s="393"/>
      <c r="G16" s="393"/>
      <c r="H16" s="406"/>
      <c r="I16" s="406"/>
      <c r="J16" s="407"/>
      <c r="K16" s="406"/>
      <c r="L16" s="406"/>
    </row>
    <row r="17" spans="2:22" ht="22.05" customHeight="1">
      <c r="B17" s="391" t="s">
        <v>13</v>
      </c>
      <c r="C17" s="391"/>
      <c r="D17" s="394"/>
      <c r="E17" s="394"/>
      <c r="F17" s="394"/>
      <c r="G17" s="394"/>
      <c r="H17" s="406"/>
      <c r="I17" s="406"/>
      <c r="J17" s="407"/>
      <c r="K17" s="406"/>
      <c r="L17" s="406"/>
    </row>
    <row r="18" spans="2:22" ht="22.05" customHeight="1">
      <c r="B18" s="395" t="s">
        <v>14</v>
      </c>
      <c r="C18" s="395"/>
      <c r="D18" s="396"/>
      <c r="E18" s="396"/>
      <c r="F18" s="396"/>
      <c r="G18" s="396"/>
      <c r="H18" s="406"/>
      <c r="I18" s="406"/>
      <c r="J18" s="407"/>
      <c r="K18" s="406"/>
      <c r="L18" s="406"/>
    </row>
    <row r="19" spans="2:22" ht="22.05" customHeight="1">
      <c r="B19" s="397" t="s">
        <v>15</v>
      </c>
      <c r="C19" s="397"/>
      <c r="D19" s="397"/>
      <c r="E19" s="398">
        <f>SUM(E12:E18)</f>
        <v>0</v>
      </c>
      <c r="F19" s="398"/>
      <c r="G19" s="398"/>
      <c r="H19" s="406"/>
      <c r="I19" s="406"/>
      <c r="J19" s="407"/>
      <c r="K19" s="406"/>
      <c r="L19" s="406"/>
    </row>
    <row r="20" spans="2:22" ht="22.05" customHeight="1">
      <c r="B20" s="47"/>
      <c r="C20" s="47"/>
      <c r="D20" s="47"/>
      <c r="E20" s="46"/>
      <c r="F20" s="46"/>
      <c r="G20" s="46"/>
      <c r="H20" s="45"/>
      <c r="I20" s="45"/>
      <c r="J20" s="292"/>
      <c r="K20" s="45"/>
      <c r="L20" s="45"/>
    </row>
    <row r="21" spans="2:22" ht="22.05" customHeight="1">
      <c r="B21" s="47"/>
      <c r="C21" s="47"/>
      <c r="D21" s="47"/>
      <c r="E21" s="46"/>
      <c r="F21" s="46"/>
      <c r="G21" s="46"/>
      <c r="H21" s="45"/>
      <c r="I21" s="45"/>
      <c r="J21" s="292"/>
      <c r="K21" s="45"/>
      <c r="L21" s="45"/>
    </row>
    <row r="22" spans="2:22" ht="22.05" customHeight="1">
      <c r="B22" s="47"/>
      <c r="C22" s="47"/>
      <c r="D22" s="47"/>
      <c r="E22" s="46"/>
      <c r="F22" s="46"/>
      <c r="G22" s="46"/>
      <c r="H22" s="45"/>
      <c r="I22" s="45"/>
      <c r="J22" s="292"/>
      <c r="K22" s="45"/>
      <c r="L22" s="45"/>
    </row>
    <row r="23" spans="2:22" ht="22.05" customHeight="1">
      <c r="B23" s="47"/>
      <c r="C23" s="47"/>
      <c r="D23" s="47"/>
      <c r="E23" s="46"/>
      <c r="F23" s="46"/>
      <c r="G23" s="46"/>
      <c r="H23" s="45"/>
      <c r="I23" s="45"/>
      <c r="J23" s="292"/>
      <c r="K23" s="45"/>
      <c r="L23" s="45"/>
    </row>
    <row r="24" spans="2:22" ht="22.05" customHeight="1">
      <c r="B24" s="47"/>
      <c r="C24" s="47"/>
      <c r="D24" s="47"/>
      <c r="E24" s="46"/>
      <c r="F24" s="46"/>
      <c r="G24" s="46"/>
      <c r="H24" s="45"/>
      <c r="I24" s="45"/>
      <c r="J24" s="292"/>
      <c r="K24" s="45"/>
      <c r="L24" s="45"/>
    </row>
    <row r="25" spans="2:22" ht="15" customHeight="1"/>
    <row r="26" spans="2:22" ht="14.4" customHeight="1"/>
    <row r="27" spans="2:22" ht="14.4" customHeight="1"/>
    <row r="28" spans="2:22" ht="19.95" customHeight="1"/>
    <row r="29" spans="2:22" ht="22.05" customHeight="1">
      <c r="B29" s="325" t="s">
        <v>31</v>
      </c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</row>
    <row r="30" spans="2:22" ht="22.05" customHeight="1">
      <c r="B30" s="457" t="s">
        <v>32</v>
      </c>
      <c r="C30" s="458"/>
      <c r="D30" s="48" t="s">
        <v>33</v>
      </c>
      <c r="E30" s="49" t="s">
        <v>34</v>
      </c>
      <c r="F30" s="399" t="s">
        <v>35</v>
      </c>
      <c r="G30" s="400"/>
      <c r="H30" s="427" t="s">
        <v>154</v>
      </c>
      <c r="I30" s="428"/>
      <c r="J30" s="332" t="s">
        <v>155</v>
      </c>
      <c r="K30" s="333" t="s">
        <v>36</v>
      </c>
      <c r="L30" s="429" t="s">
        <v>37</v>
      </c>
      <c r="M30" s="430"/>
      <c r="V30" s="7" t="s">
        <v>22</v>
      </c>
    </row>
    <row r="31" spans="2:22" ht="22.05" customHeight="1">
      <c r="B31" s="433" t="str">
        <f>IF(H31="","", IFERROR(VLOOKUP($H$6, Catalogos!$H$2:$I$20, 2, FALSE), "FOL") &amp; IF($C$6="","", "-" &amp; $C$6) &amp; "-" &amp; TEXT(ROW(A1),"000"))</f>
        <v/>
      </c>
      <c r="C31" s="434"/>
      <c r="D31" s="160"/>
      <c r="E31" s="223"/>
      <c r="F31" s="431"/>
      <c r="G31" s="432"/>
      <c r="H31" s="323"/>
      <c r="I31" s="324"/>
      <c r="J31" s="323" t="e">
        <f>VLOOKUP(H31,Catalogos!$D$2:$G$33,2,FALSE)</f>
        <v>#N/A</v>
      </c>
      <c r="K31" s="324"/>
      <c r="L31" s="338" t="e">
        <f>VLOOKUP(H31,Catalogos!$D$2:$G$33,4,FALSE)</f>
        <v>#N/A</v>
      </c>
      <c r="M31" s="339"/>
    </row>
    <row r="32" spans="2:22" ht="22.05" customHeight="1">
      <c r="B32" s="433" t="str">
        <f>IF(H32="","", IFERROR(VLOOKUP($H$6, Catalogos!$H$2:$I$20, 2, FALSE), "FOL") &amp; IF($C$6="","", "-" &amp; $C$6) &amp; "-" &amp; TEXT(ROW(A2),"000"))</f>
        <v/>
      </c>
      <c r="C32" s="434"/>
      <c r="D32" s="161"/>
      <c r="E32" s="224"/>
      <c r="F32" s="449"/>
      <c r="G32" s="450"/>
      <c r="H32" s="451"/>
      <c r="I32" s="452"/>
      <c r="J32" s="323" t="e">
        <f>VLOOKUP(H32,Catalogos!$D$2:$G$33,2,FALSE)</f>
        <v>#N/A</v>
      </c>
      <c r="K32" s="324"/>
      <c r="L32" s="338" t="e">
        <f>VLOOKUP(H32,Catalogos!$D$2:$G$33,4,FALSE)</f>
        <v>#N/A</v>
      </c>
      <c r="M32" s="339"/>
    </row>
    <row r="33" spans="2:13" ht="22.05" customHeight="1">
      <c r="B33" s="435" t="str">
        <f>IF(H33="","", IFERROR(VLOOKUP($H$6, Catalogos!$H$2:$I$20, 2, FALSE), "FOL") &amp; IF($C$6="","", "-" &amp; $C$6) &amp; "-" &amp; TEXT(ROW(A3),"000"))</f>
        <v/>
      </c>
      <c r="C33" s="436"/>
      <c r="D33" s="162"/>
      <c r="E33" s="225"/>
      <c r="F33" s="453"/>
      <c r="G33" s="454"/>
      <c r="H33" s="455"/>
      <c r="I33" s="456"/>
      <c r="J33" s="323" t="e">
        <f>VLOOKUP(H33,Catalogos!$D$2:$G$33,2,FALSE)</f>
        <v>#N/A</v>
      </c>
      <c r="K33" s="324"/>
      <c r="L33" s="338" t="e">
        <f>VLOOKUP(H33,Catalogos!$D$2:$G$33,4,FALSE)</f>
        <v>#N/A</v>
      </c>
      <c r="M33" s="339"/>
    </row>
    <row r="34" spans="2:13" ht="22.05" customHeight="1">
      <c r="B34" s="437" t="str">
        <f>IF(H34="","", IFERROR(VLOOKUP($H$6, Catalogos!$H$2:$I$20, 2, FALSE), "FOL") &amp; IF($C$6="","", "-" &amp; $C$6) &amp; "-" &amp; TEXT(ROW(A4),"000"))</f>
        <v/>
      </c>
      <c r="C34" s="438"/>
      <c r="D34" s="163"/>
      <c r="E34" s="226"/>
      <c r="F34" s="441"/>
      <c r="G34" s="442"/>
      <c r="H34" s="443"/>
      <c r="I34" s="444"/>
      <c r="J34" s="323" t="e">
        <f>VLOOKUP(H34,Catalogos!$D$2:$G$33,2,FALSE)</f>
        <v>#N/A</v>
      </c>
      <c r="K34" s="324"/>
      <c r="L34" s="338" t="e">
        <f>VLOOKUP(H34,Catalogos!$D$2:$G$33,4,FALSE)</f>
        <v>#N/A</v>
      </c>
      <c r="M34" s="339"/>
    </row>
    <row r="35" spans="2:13" ht="22.05" customHeight="1">
      <c r="B35" s="439" t="str">
        <f>IF(H35="","", IFERROR(VLOOKUP($H$6, Catalogos!$H$2:$I$20, 2, FALSE), "FOL") &amp; IF($C$6="","", "-" &amp; $C$6) &amp; "-" &amp; TEXT(ROW(A5),"000"))</f>
        <v/>
      </c>
      <c r="C35" s="440"/>
      <c r="D35" s="164"/>
      <c r="E35" s="227"/>
      <c r="F35" s="445"/>
      <c r="G35" s="446"/>
      <c r="H35" s="447"/>
      <c r="I35" s="448"/>
      <c r="J35" s="323" t="e">
        <f>VLOOKUP(H35,Catalogos!$D$2:$G$33,2,FALSE)</f>
        <v>#N/A</v>
      </c>
      <c r="K35" s="324"/>
      <c r="L35" s="338" t="e">
        <f>VLOOKUP(H35,Catalogos!$D$2:$G$33,4,FALSE)</f>
        <v>#N/A</v>
      </c>
      <c r="M35" s="339"/>
    </row>
    <row r="36" spans="2:13" ht="22.05" customHeight="1">
      <c r="B36" s="401" t="str">
        <f>IF(H36="","", IFERROR(VLOOKUP($H$6, Catalogos!$H$2:$I$20, 2, FALSE), "FOL") &amp; IF($C$6="","", "-" &amp; $C$6) &amp; "-" &amp; TEXT(ROW(A6),"000"))</f>
        <v/>
      </c>
      <c r="C36" s="402"/>
      <c r="D36" s="165"/>
      <c r="E36" s="228"/>
      <c r="F36" s="474"/>
      <c r="G36" s="475"/>
      <c r="H36" s="476"/>
      <c r="I36" s="477"/>
      <c r="J36" s="323" t="e">
        <f>VLOOKUP(H36,Catalogos!$D$2:$G$33,2,FALSE)</f>
        <v>#N/A</v>
      </c>
      <c r="K36" s="324"/>
      <c r="L36" s="338" t="e">
        <f>VLOOKUP(H36,Catalogos!$D$2:$G$33,4,FALSE)</f>
        <v>#N/A</v>
      </c>
      <c r="M36" s="339"/>
    </row>
    <row r="37" spans="2:13" ht="22.05" customHeight="1">
      <c r="B37" s="459" t="str">
        <f>IF(H37="","", IFERROR(VLOOKUP($H$6, Catalogos!$H$2:$I$20, 2, FALSE), "FOL") &amp; IF($C$6="","", "-" &amp; $C$6) &amp; "-" &amp; TEXT(ROW(A7),"000"))</f>
        <v/>
      </c>
      <c r="C37" s="460"/>
      <c r="D37" s="166"/>
      <c r="E37" s="229"/>
      <c r="F37" s="478"/>
      <c r="G37" s="479"/>
      <c r="H37" s="480"/>
      <c r="I37" s="481"/>
      <c r="J37" s="323" t="e">
        <f>VLOOKUP(H37,Catalogos!$D$2:$G$33,2,FALSE)</f>
        <v>#N/A</v>
      </c>
      <c r="K37" s="324"/>
      <c r="L37" s="338" t="e">
        <f>VLOOKUP(H37,Catalogos!$D$2:$G$33,4,FALSE)</f>
        <v>#N/A</v>
      </c>
      <c r="M37" s="339"/>
    </row>
    <row r="38" spans="2:13" ht="22.05" customHeight="1">
      <c r="B38" s="461" t="str">
        <f>IF(H38="","", IFERROR(VLOOKUP($H$6, Catalogos!$H$2:$I$20, 2, FALSE), "FOL") &amp; IF($C$6="","", "-" &amp; $C$6) &amp; "-" &amp; TEXT(ROW(A8),"000"))</f>
        <v/>
      </c>
      <c r="C38" s="462"/>
      <c r="D38" s="167"/>
      <c r="E38" s="230"/>
      <c r="F38" s="403"/>
      <c r="G38" s="404"/>
      <c r="H38" s="470"/>
      <c r="I38" s="471"/>
      <c r="J38" s="323" t="e">
        <f>VLOOKUP(H38,Catalogos!$D$2:$G$33,2,FALSE)</f>
        <v>#N/A</v>
      </c>
      <c r="K38" s="324"/>
      <c r="L38" s="338" t="e">
        <f>VLOOKUP(H38,Catalogos!$D$2:$G$33,4,FALSE)</f>
        <v>#N/A</v>
      </c>
      <c r="M38" s="339"/>
    </row>
    <row r="39" spans="2:13" ht="22.05" customHeight="1">
      <c r="B39" s="465" t="str">
        <f>IF(H39="","", IFERROR(VLOOKUP($H$6, Catalogos!$H$2:$I$20, 2, FALSE), "FOL") &amp; IF($C$6="","", "-" &amp; $C$6) &amp; "-" &amp; TEXT(ROW(A9),"000"))</f>
        <v/>
      </c>
      <c r="C39" s="462"/>
      <c r="D39" s="168"/>
      <c r="E39" s="231"/>
      <c r="F39" s="472"/>
      <c r="G39" s="404"/>
      <c r="H39" s="473"/>
      <c r="I39" s="471"/>
      <c r="J39" s="323" t="e">
        <f>VLOOKUP(H39,Catalogos!$D$2:$G$33,2,FALSE)</f>
        <v>#N/A</v>
      </c>
      <c r="K39" s="324"/>
      <c r="L39" s="338" t="e">
        <f>VLOOKUP(H39,Catalogos!$D$2:$G$33,4,FALSE)</f>
        <v>#N/A</v>
      </c>
      <c r="M39" s="339"/>
    </row>
    <row r="40" spans="2:13" ht="22.05" customHeight="1">
      <c r="B40" s="463" t="str">
        <f>IF(H40="","", IFERROR(VLOOKUP($H$6, Catalogos!$H$2:$I$20, 2, FALSE), "FOL") &amp; IF($C$6="","", "-" &amp; $C$6) &amp; "-" &amp; TEXT(ROW(A10),"000"))</f>
        <v/>
      </c>
      <c r="C40" s="464"/>
      <c r="D40" s="169"/>
      <c r="E40" s="232"/>
      <c r="F40" s="485"/>
      <c r="G40" s="341"/>
      <c r="H40" s="486"/>
      <c r="I40" s="343"/>
      <c r="J40" s="323" t="e">
        <f>VLOOKUP(H40,Catalogos!$D$2:$G$33,2,FALSE)</f>
        <v>#N/A</v>
      </c>
      <c r="K40" s="324"/>
      <c r="L40" s="338" t="e">
        <f>VLOOKUP(H40,Catalogos!$D$2:$G$33,4,FALSE)</f>
        <v>#N/A</v>
      </c>
      <c r="M40" s="339"/>
    </row>
    <row r="41" spans="2:13" ht="22.05" customHeight="1">
      <c r="B41" s="466" t="str">
        <f>IF(H41="","", IFERROR(VLOOKUP($H$6, Catalogos!$H$2:$I$20, 2, FALSE), "FOL") &amp; IF($C$6="","", "-" &amp; $C$6) &amp; "-" &amp; TEXT(ROW(A11),"000"))</f>
        <v/>
      </c>
      <c r="C41" s="345"/>
      <c r="D41" s="170"/>
      <c r="E41" s="233"/>
      <c r="F41" s="487"/>
      <c r="G41" s="341"/>
      <c r="H41" s="488"/>
      <c r="I41" s="343"/>
      <c r="J41" s="323" t="e">
        <f>VLOOKUP(H41,Catalogos!$D$2:$G$33,2,FALSE)</f>
        <v>#N/A</v>
      </c>
      <c r="K41" s="324"/>
      <c r="L41" s="338" t="e">
        <f>VLOOKUP(H41,Catalogos!$D$2:$G$33,4,FALSE)</f>
        <v>#N/A</v>
      </c>
      <c r="M41" s="339"/>
    </row>
    <row r="42" spans="2:13" ht="22.05" customHeight="1">
      <c r="B42" s="467" t="str">
        <f>IF(H42="","", IFERROR(VLOOKUP($H$6, Catalogos!$H$2:$I$20, 2, FALSE), "FOL") &amp; IF($C$6="","", "-" &amp; $C$6) &amp; "-" &amp; TEXT(ROW(A12),"000"))</f>
        <v/>
      </c>
      <c r="C42" s="345"/>
      <c r="D42" s="171"/>
      <c r="E42" s="234"/>
      <c r="F42" s="405"/>
      <c r="G42" s="341"/>
      <c r="H42" s="482"/>
      <c r="I42" s="343"/>
      <c r="J42" s="323" t="e">
        <f>VLOOKUP(H42,Catalogos!$D$2:$G$33,2,FALSE)</f>
        <v>#N/A</v>
      </c>
      <c r="K42" s="324"/>
      <c r="L42" s="338" t="e">
        <f>VLOOKUP(H42,Catalogos!$D$2:$G$33,4,FALSE)</f>
        <v>#N/A</v>
      </c>
      <c r="M42" s="339"/>
    </row>
    <row r="43" spans="2:13" ht="22.05" customHeight="1">
      <c r="B43" s="468" t="str">
        <f>IF(H43="","", IFERROR(VLOOKUP($H$6, Catalogos!$H$2:$I$20, 2, FALSE), "FOL") &amp; IF($C$6="","", "-" &amp; $C$6) &amp; "-" &amp; TEXT(ROW(A13),"000"))</f>
        <v/>
      </c>
      <c r="C43" s="345"/>
      <c r="D43" s="172"/>
      <c r="E43" s="235"/>
      <c r="F43" s="483"/>
      <c r="G43" s="341"/>
      <c r="H43" s="484"/>
      <c r="I43" s="343"/>
      <c r="J43" s="323" t="e">
        <f>VLOOKUP(H43,Catalogos!$D$2:$G$33,2,FALSE)</f>
        <v>#N/A</v>
      </c>
      <c r="K43" s="324"/>
      <c r="L43" s="338" t="e">
        <f>VLOOKUP(H43,Catalogos!$D$2:$G$33,4,FALSE)</f>
        <v>#N/A</v>
      </c>
      <c r="M43" s="339"/>
    </row>
    <row r="44" spans="2:13" ht="22.05" customHeight="1">
      <c r="B44" s="469" t="str">
        <f>IF(H44="","", IFERROR(VLOOKUP($H$6, Catalogos!$H$2:$I$20, 2, FALSE), "FOL") &amp; IF($C$6="","", "-" &amp; $C$6) &amp; "-" &amp; TEXT(ROW(A14),"000"))</f>
        <v/>
      </c>
      <c r="C44" s="345"/>
      <c r="D44" s="173"/>
      <c r="E44" s="236"/>
      <c r="F44" s="489"/>
      <c r="G44" s="341"/>
      <c r="H44" s="490"/>
      <c r="I44" s="343"/>
      <c r="J44" s="323" t="e">
        <f>VLOOKUP(H44,Catalogos!$D$2:$G$33,2,FALSE)</f>
        <v>#N/A</v>
      </c>
      <c r="K44" s="324"/>
      <c r="L44" s="338" t="e">
        <f>VLOOKUP(H44,Catalogos!$D$2:$G$33,4,FALSE)</f>
        <v>#N/A</v>
      </c>
      <c r="M44" s="339"/>
    </row>
    <row r="45" spans="2:13" ht="22.05" customHeight="1">
      <c r="B45" s="344" t="str">
        <f>IF(H45="","", IFERROR(VLOOKUP($H$6, Catalogos!$H$2:$I$20, 2, FALSE), "FOL") &amp; IF($C$6="","", "-" &amp; $C$6) &amp; "-" &amp; TEXT(ROW(A15),"000"))</f>
        <v/>
      </c>
      <c r="C45" s="345"/>
      <c r="D45" s="174"/>
      <c r="E45" s="237"/>
      <c r="F45" s="340"/>
      <c r="G45" s="341"/>
      <c r="H45" s="342"/>
      <c r="I45" s="343"/>
      <c r="J45" s="323" t="e">
        <f>VLOOKUP(H45,Catalogos!$D$2:$G$33,2,FALSE)</f>
        <v>#N/A</v>
      </c>
      <c r="K45" s="324"/>
      <c r="L45" s="338" t="e">
        <f>VLOOKUP(H45,Catalogos!$D$2:$G$33,4,FALSE)</f>
        <v>#N/A</v>
      </c>
      <c r="M45" s="339"/>
    </row>
    <row r="46" spans="2:13" ht="22.05" customHeight="1">
      <c r="B46" s="344" t="str">
        <f>IF(H46="","", IFERROR(VLOOKUP($H$6, Catalogos!$H$2:$I$20, 2, FALSE), "FOL") &amp; IF($C$6="","", "-" &amp; $C$6) &amp; "-" &amp; TEXT(ROW(A16),"000"))</f>
        <v/>
      </c>
      <c r="C46" s="345"/>
      <c r="D46" s="175"/>
      <c r="E46" s="238"/>
      <c r="F46" s="340"/>
      <c r="G46" s="341"/>
      <c r="H46" s="342"/>
      <c r="I46" s="343"/>
      <c r="J46" s="323" t="e">
        <f>VLOOKUP(H46,Catalogos!$D$2:$G$33,2,FALSE)</f>
        <v>#N/A</v>
      </c>
      <c r="K46" s="324"/>
      <c r="L46" s="338" t="e">
        <f>VLOOKUP(H46,Catalogos!$D$2:$G$33,4,FALSE)</f>
        <v>#N/A</v>
      </c>
      <c r="M46" s="339"/>
    </row>
    <row r="47" spans="2:13" ht="22.05" customHeight="1">
      <c r="B47" s="344" t="str">
        <f>IF(H47="","", IFERROR(VLOOKUP($H$6, Catalogos!$H$2:$I$20, 2, FALSE), "FOL") &amp; IF($C$6="","", "-" &amp; $C$6) &amp; "-" &amp; TEXT(ROW(A17),"000"))</f>
        <v/>
      </c>
      <c r="C47" s="345"/>
      <c r="D47" s="176"/>
      <c r="E47" s="239"/>
      <c r="F47" s="340"/>
      <c r="G47" s="341"/>
      <c r="H47" s="342"/>
      <c r="I47" s="343"/>
      <c r="J47" s="323" t="e">
        <f>VLOOKUP(H47,Catalogos!$D$2:$G$33,2,FALSE)</f>
        <v>#N/A</v>
      </c>
      <c r="K47" s="324"/>
      <c r="L47" s="338" t="e">
        <f>VLOOKUP(H47,Catalogos!$D$2:$G$33,4,FALSE)</f>
        <v>#N/A</v>
      </c>
      <c r="M47" s="339"/>
    </row>
    <row r="48" spans="2:13" ht="22.05" customHeight="1">
      <c r="B48" s="344" t="str">
        <f>IF(H48="","", IFERROR(VLOOKUP($H$6, Catalogos!$H$2:$I$20, 2, FALSE), "FOL") &amp; IF($C$6="","", "-" &amp; $C$6) &amp; "-" &amp; TEXT(ROW(A18),"000"))</f>
        <v/>
      </c>
      <c r="C48" s="345"/>
      <c r="D48" s="177"/>
      <c r="E48" s="240"/>
      <c r="F48" s="340"/>
      <c r="G48" s="341"/>
      <c r="H48" s="342"/>
      <c r="I48" s="343"/>
      <c r="J48" s="323" t="e">
        <f>VLOOKUP(H48,Catalogos!$D$2:$G$33,2,FALSE)</f>
        <v>#N/A</v>
      </c>
      <c r="K48" s="324"/>
      <c r="L48" s="338" t="e">
        <f>VLOOKUP(H48,Catalogos!$D$2:$G$33,4,FALSE)</f>
        <v>#N/A</v>
      </c>
      <c r="M48" s="339"/>
    </row>
    <row r="49" spans="2:14" ht="22.05" customHeight="1">
      <c r="B49" s="344" t="str">
        <f>IF(H49="","", IFERROR(VLOOKUP($H$6, Catalogos!$H$2:$I$20, 2, FALSE), "FOL") &amp; IF($C$6="","", "-" &amp; $C$6) &amp; "-" &amp; TEXT(ROW(A19),"000"))</f>
        <v/>
      </c>
      <c r="C49" s="345"/>
      <c r="D49" s="178"/>
      <c r="E49" s="241"/>
      <c r="F49" s="340"/>
      <c r="G49" s="341"/>
      <c r="H49" s="342"/>
      <c r="I49" s="343"/>
      <c r="J49" s="323" t="e">
        <f>VLOOKUP(H49,Catalogos!$D$2:$G$33,2,FALSE)</f>
        <v>#N/A</v>
      </c>
      <c r="K49" s="324"/>
      <c r="L49" s="338" t="e">
        <f>VLOOKUP(H49,Catalogos!$D$2:$G$33,4,FALSE)</f>
        <v>#N/A</v>
      </c>
      <c r="M49" s="339"/>
    </row>
    <row r="50" spans="2:14" ht="22.05" customHeight="1">
      <c r="B50" s="344" t="str">
        <f>IF(H50="","", IFERROR(VLOOKUP($H$6, Catalogos!$H$2:$I$20, 2, FALSE), "FOL") &amp; IF($C$6="","", "-" &amp; $C$6) &amp; "-" &amp; TEXT(ROW(A20),"000"))</f>
        <v/>
      </c>
      <c r="C50" s="345"/>
      <c r="D50" s="179"/>
      <c r="E50" s="242"/>
      <c r="F50" s="340"/>
      <c r="G50" s="341"/>
      <c r="H50" s="342"/>
      <c r="I50" s="343"/>
      <c r="J50" s="323" t="e">
        <f>VLOOKUP(H50,Catalogos!$D$2:$G$33,2,FALSE)</f>
        <v>#N/A</v>
      </c>
      <c r="K50" s="324"/>
      <c r="L50" s="338" t="e">
        <f>VLOOKUP(H50,Catalogos!$D$2:$G$33,4,FALSE)</f>
        <v>#N/A</v>
      </c>
      <c r="M50" s="339"/>
    </row>
    <row r="51" spans="2:14" ht="22.05" customHeight="1">
      <c r="B51" s="344" t="str">
        <f>IF(H51="","", IFERROR(VLOOKUP($H$6, Catalogos!$H$2:$I$20, 2, FALSE), "FOL") &amp; IF($C$6="","", "-" &amp; $C$6) &amp; "-" &amp; TEXT(ROW(A21),"000"))</f>
        <v/>
      </c>
      <c r="C51" s="345"/>
      <c r="D51" s="180"/>
      <c r="E51" s="243"/>
      <c r="F51" s="340"/>
      <c r="G51" s="341"/>
      <c r="H51" s="342"/>
      <c r="I51" s="343"/>
      <c r="J51" s="323" t="e">
        <f>VLOOKUP(H51,Catalogos!$D$2:$G$33,2,FALSE)</f>
        <v>#N/A</v>
      </c>
      <c r="K51" s="324"/>
      <c r="L51" s="338" t="e">
        <f>VLOOKUP(H51,Catalogos!$D$2:$G$33,4,FALSE)</f>
        <v>#N/A</v>
      </c>
      <c r="M51" s="339"/>
    </row>
    <row r="52" spans="2:14" ht="22.05" customHeight="1">
      <c r="B52" s="344" t="str">
        <f>IF(H52="","", IFERROR(VLOOKUP($H$6, Catalogos!$H$2:$I$20, 2, FALSE), "FOL") &amp; IF($C$6="","", "-" &amp; $C$6) &amp; "-" &amp; TEXT(ROW(A22),"000"))</f>
        <v/>
      </c>
      <c r="C52" s="345"/>
      <c r="D52" s="180"/>
      <c r="E52" s="244"/>
      <c r="F52" s="340"/>
      <c r="G52" s="341"/>
      <c r="H52" s="342"/>
      <c r="I52" s="343"/>
      <c r="J52" s="323" t="e">
        <f>VLOOKUP(H52,Catalogos!$D$2:$G$33,2,FALSE)</f>
        <v>#N/A</v>
      </c>
      <c r="K52" s="324"/>
      <c r="L52" s="338" t="e">
        <f>VLOOKUP(H52,Catalogos!$D$2:$G$33,4,FALSE)</f>
        <v>#N/A</v>
      </c>
      <c r="M52" s="339"/>
      <c r="N52" s="155"/>
    </row>
    <row r="53" spans="2:14" ht="22.05" customHeight="1">
      <c r="B53" s="344" t="str">
        <f>IF(H53="","", IFERROR(VLOOKUP($H$6, Catalogos!$H$2:$I$20, 2, FALSE), "FOL") &amp; IF($C$6="","", "-" &amp; $C$6) &amp; "-" &amp; TEXT(ROW(A23),"000"))</f>
        <v/>
      </c>
      <c r="C53" s="345"/>
      <c r="D53" s="181"/>
      <c r="E53" s="245"/>
      <c r="F53" s="340"/>
      <c r="G53" s="341"/>
      <c r="H53" s="342"/>
      <c r="I53" s="343"/>
      <c r="J53" s="323" t="e">
        <f>VLOOKUP(H53,Catalogos!$D$2:$G$33,2,FALSE)</f>
        <v>#N/A</v>
      </c>
      <c r="K53" s="324"/>
      <c r="L53" s="338" t="e">
        <f>VLOOKUP(H53,Catalogos!$D$2:$G$33,4,FALSE)</f>
        <v>#N/A</v>
      </c>
      <c r="M53" s="339"/>
    </row>
    <row r="54" spans="2:14" ht="22.05" customHeight="1">
      <c r="B54" s="344" t="str">
        <f>IF(H54="","", IFERROR(VLOOKUP($H$6, Catalogos!$H$2:$I$20, 2, FALSE), "FOL") &amp; IF($C$6="","", "-" &amp; $C$6) &amp; "-" &amp; TEXT(ROW(A24),"000"))</f>
        <v/>
      </c>
      <c r="C54" s="345"/>
      <c r="D54" s="182"/>
      <c r="E54" s="246"/>
      <c r="F54" s="340"/>
      <c r="G54" s="341"/>
      <c r="H54" s="342"/>
      <c r="I54" s="343"/>
      <c r="J54" s="323" t="e">
        <f>VLOOKUP(H54,Catalogos!$D$2:$G$33,2,FALSE)</f>
        <v>#N/A</v>
      </c>
      <c r="K54" s="324"/>
      <c r="L54" s="338" t="e">
        <f>VLOOKUP(H54,Catalogos!$D$2:$G$33,4,FALSE)</f>
        <v>#N/A</v>
      </c>
      <c r="M54" s="339"/>
    </row>
    <row r="55" spans="2:14" ht="22.05" customHeight="1">
      <c r="B55" s="344" t="str">
        <f>IF(H55="","", IFERROR(VLOOKUP($H$6, Catalogos!$H$2:$I$20, 2, FALSE), "FOL") &amp; IF($C$6="","", "-" &amp; $C$6) &amp; "-" &amp; TEXT(ROW(A25),"000"))</f>
        <v/>
      </c>
      <c r="C55" s="345"/>
      <c r="D55" s="183"/>
      <c r="E55" s="247"/>
      <c r="F55" s="340"/>
      <c r="G55" s="341"/>
      <c r="H55" s="342"/>
      <c r="I55" s="343"/>
      <c r="J55" s="323" t="e">
        <f>VLOOKUP(H55,Catalogos!$D$2:$G$33,2,FALSE)</f>
        <v>#N/A</v>
      </c>
      <c r="K55" s="324"/>
      <c r="L55" s="338" t="e">
        <f>VLOOKUP(H55,Catalogos!$D$2:$G$33,4,FALSE)</f>
        <v>#N/A</v>
      </c>
      <c r="M55" s="339"/>
    </row>
    <row r="56" spans="2:14" ht="22.05" customHeight="1">
      <c r="B56" s="344" t="str">
        <f>IF(H56="","", IFERROR(VLOOKUP($H$6, Catalogos!$H$2:$I$20, 2, FALSE), "FOL") &amp; IF($C$6="","", "-" &amp; $C$6) &amp; "-" &amp; TEXT(ROW(A26),"000"))</f>
        <v/>
      </c>
      <c r="C56" s="345"/>
      <c r="D56" s="184"/>
      <c r="E56" s="248"/>
      <c r="F56" s="340"/>
      <c r="G56" s="341"/>
      <c r="H56" s="342"/>
      <c r="I56" s="343"/>
      <c r="J56" s="323" t="e">
        <f>VLOOKUP(H56,Catalogos!$D$2:$G$33,2,FALSE)</f>
        <v>#N/A</v>
      </c>
      <c r="K56" s="324"/>
      <c r="L56" s="338" t="e">
        <f>VLOOKUP(H56,Catalogos!$D$2:$G$33,4,FALSE)</f>
        <v>#N/A</v>
      </c>
      <c r="M56" s="339"/>
    </row>
    <row r="57" spans="2:14" ht="22.05" customHeight="1">
      <c r="B57" s="344" t="str">
        <f>IF(H57="","", IFERROR(VLOOKUP($H$6, Catalogos!$H$2:$I$20, 2, FALSE), "FOL") &amp; IF($C$6="","", "-" &amp; $C$6) &amp; "-" &amp; TEXT(ROW(A27),"000"))</f>
        <v/>
      </c>
      <c r="C57" s="345"/>
      <c r="D57" s="185"/>
      <c r="E57" s="249"/>
      <c r="F57" s="340"/>
      <c r="G57" s="341"/>
      <c r="H57" s="342"/>
      <c r="I57" s="343"/>
      <c r="J57" s="323" t="e">
        <f>VLOOKUP(H57,Catalogos!$D$2:$G$33,2,FALSE)</f>
        <v>#N/A</v>
      </c>
      <c r="K57" s="324"/>
      <c r="L57" s="338" t="e">
        <f>VLOOKUP(H57,Catalogos!$D$2:$G$33,4,FALSE)</f>
        <v>#N/A</v>
      </c>
      <c r="M57" s="339"/>
    </row>
    <row r="58" spans="2:14" ht="22.05" customHeight="1">
      <c r="B58" s="344" t="str">
        <f>IF(H58="","", IFERROR(VLOOKUP($H$6, Catalogos!$H$2:$I$20, 2, FALSE), "FOL") &amp; IF($C$6="","", "-" &amp; $C$6) &amp; "-" &amp; TEXT(ROW(A28),"000"))</f>
        <v/>
      </c>
      <c r="C58" s="345"/>
      <c r="D58" s="186"/>
      <c r="E58" s="250"/>
      <c r="F58" s="340"/>
      <c r="G58" s="341"/>
      <c r="H58" s="342"/>
      <c r="I58" s="343"/>
      <c r="J58" s="323" t="e">
        <f>VLOOKUP(H58,Catalogos!$D$2:$G$33,2,FALSE)</f>
        <v>#N/A</v>
      </c>
      <c r="K58" s="324"/>
      <c r="L58" s="338" t="e">
        <f>VLOOKUP(H58,Catalogos!$D$2:$G$33,4,FALSE)</f>
        <v>#N/A</v>
      </c>
      <c r="M58" s="339"/>
    </row>
    <row r="59" spans="2:14" ht="22.05" customHeight="1">
      <c r="B59" s="344" t="str">
        <f>IF(H59="","", IFERROR(VLOOKUP($H$6, Catalogos!$H$2:$I$20, 2, FALSE), "FOL") &amp; IF($C$6="","", "-" &amp; $C$6) &amp; "-" &amp; TEXT(ROW(A29),"000"))</f>
        <v/>
      </c>
      <c r="C59" s="345"/>
      <c r="D59" s="187"/>
      <c r="E59" s="251"/>
      <c r="F59" s="340"/>
      <c r="G59" s="341"/>
      <c r="H59" s="342"/>
      <c r="I59" s="343"/>
      <c r="J59" s="323" t="e">
        <f>VLOOKUP(H59,Catalogos!$D$2:$G$33,2,FALSE)</f>
        <v>#N/A</v>
      </c>
      <c r="K59" s="324"/>
      <c r="L59" s="338" t="e">
        <f>VLOOKUP(H59,Catalogos!$D$2:$G$33,4,FALSE)</f>
        <v>#N/A</v>
      </c>
      <c r="M59" s="339"/>
    </row>
    <row r="60" spans="2:14" ht="22.05" customHeight="1">
      <c r="B60" s="344" t="str">
        <f>IF(H60="","", IFERROR(VLOOKUP($H$6, Catalogos!$H$2:$I$20, 2, FALSE), "FOL") &amp; IF($C$6="","", "-" &amp; $C$6) &amp; "-" &amp; TEXT(ROW(A30),"000"))</f>
        <v/>
      </c>
      <c r="C60" s="345"/>
      <c r="D60" s="188"/>
      <c r="E60" s="252"/>
      <c r="F60" s="340"/>
      <c r="G60" s="341"/>
      <c r="H60" s="342"/>
      <c r="I60" s="343"/>
      <c r="J60" s="323" t="e">
        <f>VLOOKUP(H60,Catalogos!$D$2:$G$33,2,FALSE)</f>
        <v>#N/A</v>
      </c>
      <c r="K60" s="324"/>
      <c r="L60" s="338" t="e">
        <f>VLOOKUP(H60,Catalogos!$D$2:$G$33,4,FALSE)</f>
        <v>#N/A</v>
      </c>
      <c r="M60" s="339"/>
    </row>
    <row r="61" spans="2:14" ht="22.05" customHeight="1">
      <c r="B61" s="344" t="str">
        <f>IF(H61="","", IFERROR(VLOOKUP($H$6, Catalogos!$H$2:$I$20, 2, FALSE), "FOL") &amp; IF($C$6="","", "-" &amp; $C$6) &amp; "-" &amp; TEXT(ROW(A31),"000"))</f>
        <v/>
      </c>
      <c r="C61" s="345"/>
      <c r="D61" s="189"/>
      <c r="E61" s="253"/>
      <c r="F61" s="340"/>
      <c r="G61" s="341"/>
      <c r="H61" s="342"/>
      <c r="I61" s="343"/>
      <c r="J61" s="323" t="e">
        <f>VLOOKUP(H61,Catalogos!$D$2:$G$33,2,FALSE)</f>
        <v>#N/A</v>
      </c>
      <c r="K61" s="324"/>
      <c r="L61" s="338" t="e">
        <f>VLOOKUP(H61,Catalogos!$D$2:$G$33,4,FALSE)</f>
        <v>#N/A</v>
      </c>
      <c r="M61" s="339"/>
    </row>
    <row r="62" spans="2:14" ht="22.05" customHeight="1">
      <c r="B62" s="344" t="str">
        <f>IF(H62="","", IFERROR(VLOOKUP($H$6, Catalogos!$H$2:$I$20, 2, FALSE), "FOL") &amp; IF($C$6="","", "-" &amp; $C$6) &amp; "-" &amp; TEXT(ROW(A32),"000"))</f>
        <v/>
      </c>
      <c r="C62" s="345"/>
      <c r="D62" s="190"/>
      <c r="E62" s="254"/>
      <c r="F62" s="340"/>
      <c r="G62" s="341"/>
      <c r="H62" s="342"/>
      <c r="I62" s="343"/>
      <c r="J62" s="323" t="e">
        <f>VLOOKUP(H62,Catalogos!$D$2:$G$33,2,FALSE)</f>
        <v>#N/A</v>
      </c>
      <c r="K62" s="324"/>
      <c r="L62" s="338" t="e">
        <f>VLOOKUP(H62,Catalogos!$D$2:$G$33,4,FALSE)</f>
        <v>#N/A</v>
      </c>
      <c r="M62" s="339"/>
    </row>
    <row r="63" spans="2:14" ht="22.05" customHeight="1">
      <c r="B63" s="344" t="str">
        <f>IF(H63="","", IFERROR(VLOOKUP($H$6, Catalogos!$H$2:$I$20, 2, FALSE), "FOL") &amp; IF($C$6="","", "-" &amp; $C$6) &amp; "-" &amp; TEXT(ROW(A33),"000"))</f>
        <v/>
      </c>
      <c r="C63" s="345"/>
      <c r="D63" s="191"/>
      <c r="E63" s="255"/>
      <c r="F63" s="340"/>
      <c r="G63" s="341"/>
      <c r="H63" s="342"/>
      <c r="I63" s="343"/>
      <c r="J63" s="323" t="e">
        <f>VLOOKUP(H63,Catalogos!$D$2:$G$33,2,FALSE)</f>
        <v>#N/A</v>
      </c>
      <c r="K63" s="324"/>
      <c r="L63" s="338" t="e">
        <f>VLOOKUP(H63,Catalogos!$D$2:$G$33,4,FALSE)</f>
        <v>#N/A</v>
      </c>
      <c r="M63" s="339"/>
    </row>
    <row r="64" spans="2:14" ht="22.05" customHeight="1">
      <c r="B64" s="344" t="str">
        <f>IF(H64="","", IFERROR(VLOOKUP($H$6, Catalogos!$H$2:$I$20, 2, FALSE), "FOL") &amp; IF($C$6="","", "-" &amp; $C$6) &amp; "-" &amp; TEXT(ROW(A34),"000"))</f>
        <v/>
      </c>
      <c r="C64" s="345"/>
      <c r="D64" s="192"/>
      <c r="E64" s="256"/>
      <c r="F64" s="340"/>
      <c r="G64" s="341"/>
      <c r="H64" s="342"/>
      <c r="I64" s="343"/>
      <c r="J64" s="323" t="e">
        <f>VLOOKUP(H64,Catalogos!$D$2:$G$33,2,FALSE)</f>
        <v>#N/A</v>
      </c>
      <c r="K64" s="324"/>
      <c r="L64" s="338" t="e">
        <f>VLOOKUP(H64,Catalogos!$D$2:$G$33,4,FALSE)</f>
        <v>#N/A</v>
      </c>
      <c r="M64" s="339"/>
    </row>
    <row r="65" spans="2:24" ht="22.05" customHeight="1">
      <c r="B65" s="344" t="str">
        <f>IF(H65="","", IFERROR(VLOOKUP($H$6, Catalogos!$H$2:$I$20, 2, FALSE), "FOL") &amp; IF($C$6="","", "-" &amp; $C$6) &amp; "-" &amp; TEXT(ROW(A35),"000"))</f>
        <v/>
      </c>
      <c r="C65" s="345"/>
      <c r="D65" s="193"/>
      <c r="E65" s="257"/>
      <c r="F65" s="340"/>
      <c r="G65" s="341"/>
      <c r="H65" s="342"/>
      <c r="I65" s="343"/>
      <c r="J65" s="323" t="e">
        <f>VLOOKUP(H65,Catalogos!$D$2:$G$33,2,FALSE)</f>
        <v>#N/A</v>
      </c>
      <c r="K65" s="324"/>
      <c r="L65" s="338" t="e">
        <f>VLOOKUP(H65,Catalogos!$D$2:$G$33,4,FALSE)</f>
        <v>#N/A</v>
      </c>
      <c r="M65" s="339"/>
    </row>
    <row r="66" spans="2:24" ht="22.05" customHeight="1">
      <c r="B66" s="344" t="str">
        <f>IF(H66="","", IFERROR(VLOOKUP($H$6, Catalogos!$H$2:$I$20, 2, FALSE), "FOL") &amp; IF($C$6="","", "-" &amp; $C$6) &amp; "-" &amp; TEXT(ROW(A36),"000"))</f>
        <v/>
      </c>
      <c r="C66" s="345"/>
      <c r="D66" s="194"/>
      <c r="E66" s="258"/>
      <c r="F66" s="340"/>
      <c r="G66" s="341"/>
      <c r="H66" s="342"/>
      <c r="I66" s="343"/>
      <c r="J66" s="323" t="e">
        <f>VLOOKUP(H66,Catalogos!$D$2:$G$33,2,FALSE)</f>
        <v>#N/A</v>
      </c>
      <c r="K66" s="324"/>
      <c r="L66" s="338" t="e">
        <f>VLOOKUP(H66,Catalogos!$D$2:$G$33,4,FALSE)</f>
        <v>#N/A</v>
      </c>
      <c r="M66" s="339"/>
    </row>
    <row r="67" spans="2:24" ht="22.05" customHeight="1">
      <c r="B67" s="344" t="str">
        <f>IF(H67="","", IFERROR(VLOOKUP($H$6, Catalogos!$H$2:$I$20, 2, FALSE), "FOL") &amp; IF($C$6="","", "-" &amp; $C$6) &amp; "-" &amp; TEXT(ROW(A37),"000"))</f>
        <v/>
      </c>
      <c r="C67" s="345"/>
      <c r="D67" s="195"/>
      <c r="E67" s="259"/>
      <c r="F67" s="340"/>
      <c r="G67" s="341"/>
      <c r="H67" s="342"/>
      <c r="I67" s="343"/>
      <c r="J67" s="323" t="e">
        <f>VLOOKUP(H67,Catalogos!$D$2:$G$33,2,FALSE)</f>
        <v>#N/A</v>
      </c>
      <c r="K67" s="324"/>
      <c r="L67" s="338" t="e">
        <f>VLOOKUP(H67,Catalogos!$D$2:$G$33,4,FALSE)</f>
        <v>#N/A</v>
      </c>
      <c r="M67" s="339"/>
    </row>
    <row r="68" spans="2:24" ht="22.05" customHeight="1">
      <c r="B68" s="344" t="str">
        <f>IF(H68="","", IFERROR(VLOOKUP($H$6, Catalogos!$H$2:$I$20, 2, FALSE), "FOL") &amp; IF($C$6="","", "-" &amp; $C$6) &amp; "-" &amp; TEXT(ROW(A38),"000"))</f>
        <v/>
      </c>
      <c r="C68" s="345"/>
      <c r="D68" s="196"/>
      <c r="E68" s="260"/>
      <c r="F68" s="340"/>
      <c r="G68" s="341"/>
      <c r="H68" s="342"/>
      <c r="I68" s="343"/>
      <c r="J68" s="323" t="e">
        <f>VLOOKUP(H68,Catalogos!$D$2:$G$33,2,FALSE)</f>
        <v>#N/A</v>
      </c>
      <c r="K68" s="324"/>
      <c r="L68" s="338" t="e">
        <f>VLOOKUP(H68,Catalogos!$D$2:$G$33,4,FALSE)</f>
        <v>#N/A</v>
      </c>
      <c r="M68" s="339"/>
    </row>
    <row r="69" spans="2:24" ht="22.05" customHeight="1">
      <c r="B69" s="344" t="str">
        <f>IF(H69="","", IFERROR(VLOOKUP($H$6, Catalogos!$H$2:$I$20, 2, FALSE), "FOL") &amp; IF($C$6="","", "-" &amp; $C$6) &amp; "-" &amp; TEXT(ROW(A39),"000"))</f>
        <v/>
      </c>
      <c r="C69" s="345"/>
      <c r="D69" s="197"/>
      <c r="E69" s="261"/>
      <c r="F69" s="340"/>
      <c r="G69" s="341"/>
      <c r="H69" s="342"/>
      <c r="I69" s="343"/>
      <c r="J69" s="323" t="e">
        <f>VLOOKUP(H69,Catalogos!$D$2:$G$33,2,FALSE)</f>
        <v>#N/A</v>
      </c>
      <c r="K69" s="324"/>
      <c r="L69" s="338" t="e">
        <f>VLOOKUP(H69,Catalogos!$D$2:$G$33,4,FALSE)</f>
        <v>#N/A</v>
      </c>
      <c r="M69" s="339"/>
    </row>
    <row r="70" spans="2:24" ht="22.05" customHeight="1">
      <c r="B70" s="344" t="str">
        <f>IF(H70="","", IFERROR(VLOOKUP($H$6, Catalogos!$H$2:$I$20, 2, FALSE), "FOL") &amp; IF($C$6="","", "-" &amp; $C$6) &amp; "-" &amp; TEXT(ROW(A40),"000"))</f>
        <v/>
      </c>
      <c r="C70" s="345"/>
      <c r="D70" s="198"/>
      <c r="E70" s="262"/>
      <c r="F70" s="340"/>
      <c r="G70" s="341"/>
      <c r="H70" s="342"/>
      <c r="I70" s="343"/>
      <c r="J70" s="323" t="e">
        <f>VLOOKUP(H70,Catalogos!$D$2:$G$33,2,FALSE)</f>
        <v>#N/A</v>
      </c>
      <c r="K70" s="324"/>
      <c r="L70" s="338" t="e">
        <f>VLOOKUP(H70,Catalogos!$D$2:$G$33,4,FALSE)</f>
        <v>#N/A</v>
      </c>
      <c r="M70" s="339"/>
    </row>
    <row r="71" spans="2:24" ht="22.05" customHeight="1">
      <c r="B71" s="344" t="str">
        <f>IF(H71="","", IFERROR(VLOOKUP($H$6, Catalogos!$H$2:$I$20, 2, FALSE), "FOL") &amp; IF($C$6="","", "-" &amp; $C$6) &amp; "-" &amp; TEXT(ROW(A41),"000"))</f>
        <v/>
      </c>
      <c r="C71" s="345"/>
      <c r="D71" s="199"/>
      <c r="E71" s="263"/>
      <c r="F71" s="340"/>
      <c r="G71" s="341"/>
      <c r="H71" s="342"/>
      <c r="I71" s="343"/>
      <c r="J71" s="323" t="e">
        <f>VLOOKUP(H71,Catalogos!$D$2:$G$33,2,FALSE)</f>
        <v>#N/A</v>
      </c>
      <c r="K71" s="324"/>
      <c r="L71" s="338" t="e">
        <f>VLOOKUP(H71,Catalogos!$D$2:$G$33,4,FALSE)</f>
        <v>#N/A</v>
      </c>
      <c r="M71" s="339"/>
    </row>
    <row r="72" spans="2:24" ht="22.05" customHeight="1">
      <c r="B72" s="344" t="str">
        <f>IF(H72="","", IFERROR(VLOOKUP($H$6, Catalogos!$H$2:$I$20, 2, FALSE), "FOL") &amp; IF($C$6="","", "-" &amp; $C$6) &amp; "-" &amp; TEXT(ROW(A42),"000"))</f>
        <v/>
      </c>
      <c r="C72" s="345"/>
      <c r="D72" s="200"/>
      <c r="E72" s="264"/>
      <c r="F72" s="340"/>
      <c r="G72" s="341"/>
      <c r="H72" s="342"/>
      <c r="I72" s="343"/>
      <c r="J72" s="323" t="e">
        <f>VLOOKUP(H72,Catalogos!$D$2:$G$33,2,FALSE)</f>
        <v>#N/A</v>
      </c>
      <c r="K72" s="324"/>
      <c r="L72" s="338" t="e">
        <f>VLOOKUP(H72,Catalogos!$D$2:$G$33,4,FALSE)</f>
        <v>#N/A</v>
      </c>
      <c r="M72" s="339"/>
    </row>
    <row r="73" spans="2:24" ht="22.05" customHeight="1">
      <c r="B73" s="344" t="str">
        <f>IF(H73="","", IFERROR(VLOOKUP($H$6, Catalogos!$H$2:$I$20, 2, FALSE), "FOL") &amp; IF($C$6="","", "-" &amp; $C$6) &amp; "-" &amp; TEXT(ROW(A43),"000"))</f>
        <v/>
      </c>
      <c r="C73" s="345"/>
      <c r="D73" s="201"/>
      <c r="E73" s="265"/>
      <c r="F73" s="340"/>
      <c r="G73" s="341"/>
      <c r="H73" s="342"/>
      <c r="I73" s="343"/>
      <c r="J73" s="323" t="e">
        <f>VLOOKUP(H73,Catalogos!$D$2:$G$33,2,FALSE)</f>
        <v>#N/A</v>
      </c>
      <c r="K73" s="324"/>
      <c r="L73" s="338" t="e">
        <f>VLOOKUP(H73,Catalogos!$D$2:$G$33,4,FALSE)</f>
        <v>#N/A</v>
      </c>
      <c r="M73" s="339"/>
    </row>
    <row r="74" spans="2:24" ht="22.05" customHeight="1">
      <c r="B74" s="344" t="str">
        <f>IF(H74="","", IFERROR(VLOOKUP($H$6, Catalogos!$H$2:$I$20, 2, FALSE), "FOL") &amp; IF($C$6="","", "-" &amp; $C$6) &amp; "-" &amp; TEXT(ROW(A44),"000"))</f>
        <v/>
      </c>
      <c r="C74" s="345"/>
      <c r="D74" s="202"/>
      <c r="E74" s="266"/>
      <c r="F74" s="340"/>
      <c r="G74" s="341"/>
      <c r="H74" s="342"/>
      <c r="I74" s="343"/>
      <c r="J74" s="323" t="e">
        <f>VLOOKUP(H74,Catalogos!$D$2:$G$33,2,FALSE)</f>
        <v>#N/A</v>
      </c>
      <c r="K74" s="324"/>
      <c r="L74" s="338" t="e">
        <f>VLOOKUP(H74,Catalogos!$D$2:$G$33,4,FALSE)</f>
        <v>#N/A</v>
      </c>
      <c r="M74" s="339"/>
    </row>
    <row r="75" spans="2:24" ht="22.05" customHeight="1">
      <c r="B75" s="344" t="str">
        <f>IF(H75="","", IFERROR(VLOOKUP($H$6, Catalogos!$H$2:$I$20, 2, FALSE), "FOL") &amp; IF($C$6="","", "-" &amp; $C$6) &amp; "-" &amp; TEXT(ROW(A45),"000"))</f>
        <v/>
      </c>
      <c r="C75" s="345"/>
      <c r="D75" s="203"/>
      <c r="E75" s="267"/>
      <c r="F75" s="348"/>
      <c r="G75" s="349"/>
      <c r="H75" s="342"/>
      <c r="I75" s="343"/>
      <c r="J75" s="323" t="e">
        <f>VLOOKUP(H75,Catalogos!$D$2:$G$33,2,FALSE)</f>
        <v>#N/A</v>
      </c>
      <c r="K75" s="324"/>
      <c r="L75" s="338" t="e">
        <f>VLOOKUP(H75,Catalogos!$D$2:$G$33,4,FALSE)</f>
        <v>#N/A</v>
      </c>
      <c r="M75" s="339"/>
      <c r="O75" s="293"/>
      <c r="P75" s="293"/>
      <c r="Q75" s="293"/>
      <c r="R75" s="293"/>
      <c r="S75" s="293"/>
      <c r="T75" s="293"/>
      <c r="U75" s="293"/>
      <c r="V75" s="293"/>
      <c r="W75" s="293"/>
      <c r="X75" s="293"/>
    </row>
    <row r="76" spans="2:24" ht="22.05" customHeight="1">
      <c r="B76" s="344" t="str">
        <f>IF(H76="","", IFERROR(VLOOKUP($H$6, Catalogos!$H$2:$I$20, 2, FALSE), "FOL") &amp; IF($C$6="","", "-" &amp; $C$6) &amp; "-" &amp; TEXT(ROW(A46),"000"))</f>
        <v/>
      </c>
      <c r="C76" s="345"/>
      <c r="D76" s="203"/>
      <c r="E76" s="268"/>
      <c r="F76" s="344"/>
      <c r="G76" s="345"/>
      <c r="H76" s="342"/>
      <c r="I76" s="343"/>
      <c r="J76" s="323" t="e">
        <f>VLOOKUP(H76,Catalogos!$D$2:$G$33,2,FALSE)</f>
        <v>#N/A</v>
      </c>
      <c r="K76" s="324"/>
      <c r="L76" s="338" t="e">
        <f>VLOOKUP(H76,Catalogos!$D$2:$G$33,4,FALSE)</f>
        <v>#N/A</v>
      </c>
      <c r="M76" s="339"/>
      <c r="O76" s="293"/>
      <c r="P76" s="293"/>
      <c r="Q76" s="293"/>
      <c r="R76" s="293"/>
      <c r="S76" s="293"/>
      <c r="T76" s="293"/>
      <c r="U76" s="293"/>
      <c r="V76" s="293"/>
      <c r="W76" s="293"/>
      <c r="X76" s="293"/>
    </row>
    <row r="77" spans="2:24" ht="22.05" customHeight="1">
      <c r="B77" s="344" t="str">
        <f>IF(H77="","", IFERROR(VLOOKUP($H$6, Catalogos!$H$2:$I$20, 2, FALSE), "FOL") &amp; IF($C$6="","", "-" &amp; $C$6) &amp; "-" &amp; TEXT(ROW(A47),"000"))</f>
        <v/>
      </c>
      <c r="C77" s="345"/>
      <c r="D77" s="203"/>
      <c r="E77" s="268"/>
      <c r="F77" s="344"/>
      <c r="G77" s="345"/>
      <c r="H77" s="342"/>
      <c r="I77" s="343"/>
      <c r="J77" s="323" t="e">
        <f>VLOOKUP(H77,Catalogos!$D$2:$G$33,2,FALSE)</f>
        <v>#N/A</v>
      </c>
      <c r="K77" s="324"/>
      <c r="L77" s="338" t="e">
        <f>VLOOKUP(H77,Catalogos!$D$2:$G$33,4,FALSE)</f>
        <v>#N/A</v>
      </c>
      <c r="M77" s="339"/>
      <c r="O77" s="293"/>
      <c r="P77" s="293"/>
      <c r="Q77" s="293"/>
      <c r="R77" s="293"/>
      <c r="S77" s="293"/>
      <c r="T77" s="293"/>
      <c r="U77" s="293"/>
      <c r="V77" s="293"/>
      <c r="W77" s="293"/>
      <c r="X77" s="293"/>
    </row>
    <row r="78" spans="2:24" ht="22.05" customHeight="1">
      <c r="B78" s="344" t="str">
        <f>IF(H78="","", IFERROR(VLOOKUP($H$6, Catalogos!$H$2:$I$20, 2, FALSE), "FOL") &amp; IF($C$6="","", "-" &amp; $C$6) &amp; "-" &amp; TEXT(ROW(A48),"000"))</f>
        <v/>
      </c>
      <c r="C78" s="345"/>
      <c r="D78" s="204"/>
      <c r="E78" s="269"/>
      <c r="F78" s="346"/>
      <c r="G78" s="347"/>
      <c r="H78" s="342"/>
      <c r="I78" s="343"/>
      <c r="J78" s="323" t="e">
        <f>VLOOKUP(H78,Catalogos!$D$2:$G$33,2,FALSE)</f>
        <v>#N/A</v>
      </c>
      <c r="K78" s="324"/>
      <c r="L78" s="338" t="e">
        <f>VLOOKUP(H78,Catalogos!$D$2:$G$33,4,FALSE)</f>
        <v>#N/A</v>
      </c>
      <c r="M78" s="339"/>
      <c r="O78" s="293"/>
      <c r="P78" s="293"/>
      <c r="Q78" s="293"/>
      <c r="R78" s="293"/>
      <c r="S78" s="293"/>
      <c r="T78" s="293"/>
      <c r="U78" s="293"/>
      <c r="V78" s="293"/>
      <c r="W78" s="293"/>
      <c r="X78" s="293"/>
    </row>
    <row r="79" spans="2:24" ht="22.05" customHeight="1">
      <c r="B79" s="344" t="str">
        <f>IF(H79="","", IFERROR(VLOOKUP($H$6, Catalogos!$H$2:$I$20, 2, FALSE), "FOL") &amp; IF($C$6="","", "-" &amp; $C$6) &amp; "-" &amp; TEXT(ROW(A49),"000"))</f>
        <v/>
      </c>
      <c r="C79" s="345"/>
      <c r="D79" s="204"/>
      <c r="E79" s="270"/>
      <c r="F79" s="344"/>
      <c r="G79" s="345"/>
      <c r="H79" s="342"/>
      <c r="I79" s="343"/>
      <c r="J79" s="323" t="e">
        <f>VLOOKUP(H79,Catalogos!$D$2:$G$33,2,FALSE)</f>
        <v>#N/A</v>
      </c>
      <c r="K79" s="324"/>
      <c r="L79" s="338" t="e">
        <f>VLOOKUP(H79,Catalogos!$D$2:$G$33,4,FALSE)</f>
        <v>#N/A</v>
      </c>
      <c r="M79" s="339"/>
      <c r="O79" s="293"/>
      <c r="P79" s="293"/>
      <c r="Q79" s="293"/>
      <c r="R79" s="293"/>
      <c r="S79" s="293"/>
      <c r="T79" s="293"/>
      <c r="U79" s="293"/>
      <c r="V79" s="293"/>
      <c r="W79" s="293"/>
      <c r="X79" s="293"/>
    </row>
    <row r="80" spans="2:24" ht="22.05" customHeight="1">
      <c r="B80" s="344" t="str">
        <f>IF(H80="","", IFERROR(VLOOKUP($H$6, Catalogos!$H$2:$I$20, 2, FALSE), "FOL") &amp; IF($C$6="","", "-" &amp; $C$6) &amp; "-" &amp; TEXT(ROW(A50),"000"))</f>
        <v/>
      </c>
      <c r="C80" s="345"/>
      <c r="D80" s="205"/>
      <c r="E80" s="271"/>
      <c r="F80" s="344"/>
      <c r="G80" s="345"/>
      <c r="H80" s="342"/>
      <c r="I80" s="343"/>
      <c r="J80" s="323" t="e">
        <f>VLOOKUP(H80,Catalogos!$D$2:$G$33,2,FALSE)</f>
        <v>#N/A</v>
      </c>
      <c r="K80" s="324"/>
      <c r="L80" s="338" t="e">
        <f>VLOOKUP(H80,Catalogos!$D$2:$G$33,4,FALSE)</f>
        <v>#N/A</v>
      </c>
      <c r="M80" s="339"/>
      <c r="O80" s="293"/>
      <c r="P80" s="293"/>
      <c r="Q80" s="293"/>
      <c r="R80" s="293"/>
      <c r="S80" s="293"/>
      <c r="T80" s="293"/>
      <c r="U80" s="293"/>
      <c r="V80" s="293"/>
      <c r="W80" s="293"/>
      <c r="X80" s="293"/>
    </row>
    <row r="81" spans="2:24" ht="22.05" customHeight="1">
      <c r="B81" s="344" t="str">
        <f>IF(H81="","", IFERROR(VLOOKUP($H$6, Catalogos!$H$2:$I$20, 2, FALSE), "FOL") &amp; IF($C$6="","", "-" &amp; $C$6) &amp; "-" &amp; TEXT(ROW(A51),"000"))</f>
        <v/>
      </c>
      <c r="C81" s="345"/>
      <c r="D81" s="205"/>
      <c r="E81" s="272"/>
      <c r="F81" s="334"/>
      <c r="G81" s="335"/>
      <c r="H81" s="336"/>
      <c r="I81" s="337"/>
      <c r="J81" s="323" t="e">
        <f>VLOOKUP(H81,Catalogos!$D$2:$G$33,2,FALSE)</f>
        <v>#N/A</v>
      </c>
      <c r="K81" s="324"/>
      <c r="L81" s="338" t="e">
        <f>VLOOKUP(H81,Catalogos!$D$2:$G$33,4,FALSE)</f>
        <v>#N/A</v>
      </c>
      <c r="M81" s="339"/>
      <c r="O81" s="8"/>
      <c r="P81" s="9"/>
      <c r="Q81" s="10"/>
      <c r="R81" s="11"/>
      <c r="T81" s="30"/>
      <c r="U81" s="31"/>
      <c r="V81" s="32"/>
      <c r="W81" s="33"/>
      <c r="X81" s="34"/>
    </row>
    <row r="82" spans="2:24" ht="22.05" customHeight="1">
      <c r="B82" s="344" t="str">
        <f>IF(H82="","", IFERROR(VLOOKUP($H$6, Catalogos!$H$2:$I$20, 2, FALSE), "FOL") &amp; IF($C$6="","", "-" &amp; $C$6) &amp; "-" &amp; TEXT(ROW(A52),"000"))</f>
        <v/>
      </c>
      <c r="C82" s="345"/>
      <c r="D82" s="206"/>
      <c r="E82" s="273"/>
      <c r="F82" s="334"/>
      <c r="G82" s="335"/>
      <c r="H82" s="336"/>
      <c r="I82" s="337"/>
      <c r="J82" s="323" t="e">
        <f>VLOOKUP(H82,Catalogos!$D$2:$G$33,2,FALSE)</f>
        <v>#N/A</v>
      </c>
      <c r="K82" s="324"/>
      <c r="L82" s="338" t="e">
        <f>VLOOKUP(H82,Catalogos!$D$2:$G$33,4,FALSE)</f>
        <v>#N/A</v>
      </c>
      <c r="M82" s="339"/>
      <c r="O82" s="22"/>
      <c r="P82" s="23"/>
      <c r="Q82" s="24"/>
      <c r="R82" s="25"/>
      <c r="T82" s="35"/>
      <c r="U82" s="36"/>
      <c r="V82" s="37"/>
      <c r="W82" s="38"/>
      <c r="X82" s="39"/>
    </row>
    <row r="83" spans="2:24" ht="22.05" customHeight="1">
      <c r="B83" s="344" t="str">
        <f>IF(H83="","", IFERROR(VLOOKUP($H$6, Catalogos!$H$2:$I$20, 2, FALSE), "FOL") &amp; IF($C$6="","", "-" &amp; $C$6) &amp; "-" &amp; TEXT(ROW(A53),"000"))</f>
        <v/>
      </c>
      <c r="C83" s="345"/>
      <c r="D83" s="206"/>
      <c r="E83" s="274"/>
      <c r="F83" s="334"/>
      <c r="G83" s="335"/>
      <c r="H83" s="336"/>
      <c r="I83" s="337"/>
      <c r="J83" s="323" t="e">
        <f>VLOOKUP(H83,Catalogos!$D$2:$G$33,2,FALSE)</f>
        <v>#N/A</v>
      </c>
      <c r="K83" s="324"/>
      <c r="L83" s="338" t="e">
        <f>VLOOKUP(H83,Catalogos!$D$2:$G$33,4,FALSE)</f>
        <v>#N/A</v>
      </c>
      <c r="M83" s="339"/>
      <c r="O83" s="26"/>
      <c r="P83" s="27"/>
      <c r="Q83" s="28"/>
      <c r="R83" s="29"/>
      <c r="T83" s="40"/>
      <c r="U83" s="41"/>
      <c r="V83" s="42"/>
      <c r="W83" s="43"/>
      <c r="X83" s="44"/>
    </row>
    <row r="84" spans="2:24" ht="22.05" customHeight="1">
      <c r="B84" s="344" t="str">
        <f>IF(H84="","", IFERROR(VLOOKUP($H$6, Catalogos!$H$2:$I$20, 2, FALSE), "FOL") &amp; IF($C$6="","", "-" &amp; $C$6) &amp; "-" &amp; TEXT(ROW(A54),"000"))</f>
        <v/>
      </c>
      <c r="C84" s="345"/>
      <c r="D84" s="207"/>
      <c r="E84" s="275"/>
      <c r="F84" s="334"/>
      <c r="G84" s="335"/>
      <c r="H84" s="336"/>
      <c r="I84" s="337"/>
      <c r="J84" s="323" t="e">
        <f>VLOOKUP(H84,Catalogos!$D$2:$G$33,2,FALSE)</f>
        <v>#N/A</v>
      </c>
      <c r="K84" s="324"/>
      <c r="L84" s="338" t="e">
        <f>VLOOKUP(H84,Catalogos!$D$2:$G$33,4,FALSE)</f>
        <v>#N/A</v>
      </c>
      <c r="M84" s="339"/>
    </row>
    <row r="85" spans="2:24" ht="22.05" customHeight="1">
      <c r="B85" s="344" t="str">
        <f>IF(H85="","", IFERROR(VLOOKUP($H$6, Catalogos!$H$2:$I$20, 2, FALSE), "FOL") &amp; IF($C$6="","", "-" &amp; $C$6) &amp; "-" &amp; TEXT(ROW(A55),"000"))</f>
        <v/>
      </c>
      <c r="C85" s="345"/>
      <c r="D85" s="208"/>
      <c r="E85" s="276"/>
      <c r="F85" s="334"/>
      <c r="G85" s="335"/>
      <c r="H85" s="336"/>
      <c r="I85" s="337"/>
      <c r="J85" s="323" t="e">
        <f>VLOOKUP(H85,Catalogos!$D$2:$G$33,2,FALSE)</f>
        <v>#N/A</v>
      </c>
      <c r="K85" s="324"/>
      <c r="L85" s="338" t="e">
        <f>VLOOKUP(H85,Catalogos!$D$2:$G$33,4,FALSE)</f>
        <v>#N/A</v>
      </c>
      <c r="M85" s="339"/>
      <c r="O85" s="12"/>
      <c r="P85" s="13"/>
      <c r="Q85" s="14"/>
      <c r="R85" s="15"/>
      <c r="S85" s="16"/>
      <c r="T85" s="17"/>
      <c r="U85" s="18"/>
      <c r="V85" s="19"/>
      <c r="W85" s="20"/>
      <c r="X85" s="21"/>
    </row>
    <row r="86" spans="2:24" ht="22.05" customHeight="1">
      <c r="B86" s="344" t="str">
        <f>IF(H86="","", IFERROR(VLOOKUP($H$6, Catalogos!$H$2:$I$20, 2, FALSE), "FOL") &amp; IF($C$6="","", "-" &amp; $C$6) &amp; "-" &amp; TEXT(ROW(A56),"000"))</f>
        <v/>
      </c>
      <c r="C86" s="345"/>
      <c r="D86" s="209"/>
      <c r="E86" s="277"/>
      <c r="F86" s="334"/>
      <c r="G86" s="335"/>
      <c r="H86" s="336"/>
      <c r="I86" s="337"/>
      <c r="J86" s="323" t="e">
        <f>VLOOKUP(H86,Catalogos!$D$2:$G$33,2,FALSE)</f>
        <v>#N/A</v>
      </c>
      <c r="K86" s="324"/>
      <c r="L86" s="338" t="e">
        <f>VLOOKUP(H86,Catalogos!$D$2:$G$33,4,FALSE)</f>
        <v>#N/A</v>
      </c>
      <c r="M86" s="339"/>
    </row>
    <row r="87" spans="2:24" ht="22.05" customHeight="1">
      <c r="B87" s="344" t="str">
        <f>IF(H87="","", IFERROR(VLOOKUP($H$6, Catalogos!$H$2:$I$20, 2, FALSE), "FOL") &amp; IF($C$6="","", "-" &amp; $C$6) &amp; "-" &amp; TEXT(ROW(A57),"000"))</f>
        <v/>
      </c>
      <c r="C87" s="345"/>
      <c r="D87" s="210"/>
      <c r="E87" s="278"/>
      <c r="F87" s="334"/>
      <c r="G87" s="335"/>
      <c r="H87" s="336"/>
      <c r="I87" s="337"/>
      <c r="J87" s="323" t="e">
        <f>VLOOKUP(H87,Catalogos!$D$2:$G$33,2,FALSE)</f>
        <v>#N/A</v>
      </c>
      <c r="K87" s="324"/>
      <c r="L87" s="338" t="e">
        <f>VLOOKUP(H87,Catalogos!$D$2:$G$33,4,FALSE)</f>
        <v>#N/A</v>
      </c>
      <c r="M87" s="339"/>
    </row>
    <row r="88" spans="2:24" ht="22.05" customHeight="1">
      <c r="B88" s="344" t="str">
        <f>IF(H88="","", IFERROR(VLOOKUP($H$6, Catalogos!$H$2:$I$20, 2, FALSE), "FOL") &amp; IF($C$6="","", "-" &amp; $C$6) &amp; "-" &amp; TEXT(ROW(A58),"000"))</f>
        <v/>
      </c>
      <c r="C88" s="345"/>
      <c r="D88" s="211"/>
      <c r="E88" s="279"/>
      <c r="F88" s="334"/>
      <c r="G88" s="335"/>
      <c r="H88" s="336"/>
      <c r="I88" s="337"/>
      <c r="J88" s="323" t="e">
        <f>VLOOKUP(H88,Catalogos!$D$2:$G$33,2,FALSE)</f>
        <v>#N/A</v>
      </c>
      <c r="K88" s="324"/>
      <c r="L88" s="338" t="e">
        <f>VLOOKUP(H88,Catalogos!$D$2:$G$33,4,FALSE)</f>
        <v>#N/A</v>
      </c>
      <c r="M88" s="339"/>
    </row>
    <row r="89" spans="2:24" ht="22.05" customHeight="1">
      <c r="B89" s="344" t="str">
        <f>IF(H89="","", IFERROR(VLOOKUP($H$6, Catalogos!$H$2:$I$20, 2, FALSE), "FOL") &amp; IF($C$6="","", "-" &amp; $C$6) &amp; "-" &amp; TEXT(ROW(A59),"000"))</f>
        <v/>
      </c>
      <c r="C89" s="345"/>
      <c r="D89" s="212"/>
      <c r="E89" s="280"/>
      <c r="F89" s="334"/>
      <c r="G89" s="335"/>
      <c r="H89" s="336"/>
      <c r="I89" s="337"/>
      <c r="J89" s="323" t="e">
        <f>VLOOKUP(H89,Catalogos!$D$2:$G$33,2,FALSE)</f>
        <v>#N/A</v>
      </c>
      <c r="K89" s="324"/>
      <c r="L89" s="338" t="e">
        <f>VLOOKUP(H89,Catalogos!$D$2:$G$33,4,FALSE)</f>
        <v>#N/A</v>
      </c>
      <c r="M89" s="339"/>
    </row>
    <row r="90" spans="2:24" ht="22.05" customHeight="1">
      <c r="B90" s="344" t="str">
        <f>IF(H90="","", IFERROR(VLOOKUP($H$6, Catalogos!$H$2:$I$20, 2, FALSE), "FOL") &amp; IF($C$6="","", "-" &amp; $C$6) &amp; "-" &amp; TEXT(ROW(A60),"000"))</f>
        <v/>
      </c>
      <c r="C90" s="345"/>
      <c r="D90" s="213"/>
      <c r="E90" s="281"/>
      <c r="F90" s="334"/>
      <c r="G90" s="335"/>
      <c r="H90" s="336"/>
      <c r="I90" s="337"/>
      <c r="J90" s="323" t="e">
        <f>VLOOKUP(H90,Catalogos!$D$2:$G$33,2,FALSE)</f>
        <v>#N/A</v>
      </c>
      <c r="K90" s="324"/>
      <c r="L90" s="338" t="e">
        <f>VLOOKUP(H90,Catalogos!$D$2:$G$33,4,FALSE)</f>
        <v>#N/A</v>
      </c>
      <c r="M90" s="339"/>
    </row>
    <row r="91" spans="2:24" ht="22.05" customHeight="1">
      <c r="B91" s="344" t="str">
        <f>IF(H91="","", IFERROR(VLOOKUP($H$6, Catalogos!$H$2:$I$20, 2, FALSE), "FOL") &amp; IF($C$6="","", "-" &amp; $C$6) &amp; "-" &amp; TEXT(ROW(A61),"000"))</f>
        <v/>
      </c>
      <c r="C91" s="345"/>
      <c r="D91" s="214"/>
      <c r="E91" s="282"/>
      <c r="F91" s="334"/>
      <c r="G91" s="335"/>
      <c r="H91" s="336"/>
      <c r="I91" s="337"/>
      <c r="J91" s="323" t="e">
        <f>VLOOKUP(H91,Catalogos!$D$2:$G$33,2,FALSE)</f>
        <v>#N/A</v>
      </c>
      <c r="K91" s="324"/>
      <c r="L91" s="338" t="e">
        <f>VLOOKUP(H91,Catalogos!$D$2:$G$33,4,FALSE)</f>
        <v>#N/A</v>
      </c>
      <c r="M91" s="339"/>
    </row>
    <row r="92" spans="2:24" ht="22.05" customHeight="1">
      <c r="B92" s="344" t="str">
        <f>IF(H92="","", IFERROR(VLOOKUP($H$6, Catalogos!$H$2:$I$20, 2, FALSE), "FOL") &amp; IF($C$6="","", "-" &amp; $C$6) &amp; "-" &amp; TEXT(ROW(A62),"000"))</f>
        <v/>
      </c>
      <c r="C92" s="345"/>
      <c r="D92" s="215"/>
      <c r="E92" s="283"/>
      <c r="F92" s="334"/>
      <c r="G92" s="335"/>
      <c r="H92" s="336"/>
      <c r="I92" s="337"/>
      <c r="J92" s="323" t="e">
        <f>VLOOKUP(H92,Catalogos!$D$2:$G$33,2,FALSE)</f>
        <v>#N/A</v>
      </c>
      <c r="K92" s="324"/>
      <c r="L92" s="338" t="e">
        <f>VLOOKUP(H92,Catalogos!$D$2:$G$33,4,FALSE)</f>
        <v>#N/A</v>
      </c>
      <c r="M92" s="339"/>
    </row>
    <row r="93" spans="2:24" ht="22.05" customHeight="1">
      <c r="B93" s="344" t="str">
        <f>IF(H93="","", IFERROR(VLOOKUP($H$6, Catalogos!$H$2:$I$20, 2, FALSE), "FOL") &amp; IF($C$6="","", "-" &amp; $C$6) &amp; "-" &amp; TEXT(ROW(A63),"000"))</f>
        <v/>
      </c>
      <c r="C93" s="345"/>
      <c r="D93" s="216"/>
      <c r="E93" s="284"/>
      <c r="F93" s="334"/>
      <c r="G93" s="335"/>
      <c r="H93" s="336"/>
      <c r="I93" s="337"/>
      <c r="J93" s="323" t="e">
        <f>VLOOKUP(H93,Catalogos!$D$2:$G$33,2,FALSE)</f>
        <v>#N/A</v>
      </c>
      <c r="K93" s="324"/>
      <c r="L93" s="338" t="e">
        <f>VLOOKUP(H93,Catalogos!$D$2:$G$33,4,FALSE)</f>
        <v>#N/A</v>
      </c>
      <c r="M93" s="339"/>
    </row>
    <row r="94" spans="2:24" ht="22.05" customHeight="1">
      <c r="B94" s="344" t="str">
        <f>IF(H94="","", IFERROR(VLOOKUP($H$6, Catalogos!$H$2:$I$20, 2, FALSE), "FOL") &amp; IF($C$6="","", "-" &amp; $C$6) &amp; "-" &amp; TEXT(ROW(A64),"000"))</f>
        <v/>
      </c>
      <c r="C94" s="345"/>
      <c r="D94" s="217"/>
      <c r="E94" s="285"/>
      <c r="F94" s="334"/>
      <c r="G94" s="335"/>
      <c r="H94" s="336"/>
      <c r="I94" s="337"/>
      <c r="J94" s="323" t="e">
        <f>VLOOKUP(H94,Catalogos!$D$2:$G$33,2,FALSE)</f>
        <v>#N/A</v>
      </c>
      <c r="K94" s="324"/>
      <c r="L94" s="338" t="e">
        <f>VLOOKUP(H94,Catalogos!$D$2:$G$33,4,FALSE)</f>
        <v>#N/A</v>
      </c>
      <c r="M94" s="339"/>
    </row>
    <row r="95" spans="2:24" ht="22.05" customHeight="1">
      <c r="B95" s="344" t="str">
        <f>IF(H95="","", IFERROR(VLOOKUP($H$6, Catalogos!$H$2:$I$20, 2, FALSE), "FOL") &amp; IF($C$6="","", "-" &amp; $C$6) &amp; "-" &amp; TEXT(ROW(A65),"000"))</f>
        <v/>
      </c>
      <c r="C95" s="345"/>
      <c r="D95" s="218"/>
      <c r="E95" s="286"/>
      <c r="F95" s="334"/>
      <c r="G95" s="335"/>
      <c r="H95" s="336"/>
      <c r="I95" s="337"/>
      <c r="J95" s="323" t="e">
        <f>VLOOKUP(H95,Catalogos!$D$2:$G$33,2,FALSE)</f>
        <v>#N/A</v>
      </c>
      <c r="K95" s="324"/>
      <c r="L95" s="338" t="e">
        <f>VLOOKUP(H95,Catalogos!$D$2:$G$33,4,FALSE)</f>
        <v>#N/A</v>
      </c>
      <c r="M95" s="339"/>
    </row>
    <row r="96" spans="2:24" ht="22.05" customHeight="1">
      <c r="B96" s="344" t="str">
        <f>IF(H96="","", IFERROR(VLOOKUP($H$6, Catalogos!$H$2:$I$20, 2, FALSE), "FOL") &amp; IF($C$6="","", "-" &amp; $C$6) &amp; "-" &amp; TEXT(ROW(A66),"000"))</f>
        <v/>
      </c>
      <c r="C96" s="345"/>
      <c r="D96" s="219"/>
      <c r="E96" s="287"/>
      <c r="F96" s="334"/>
      <c r="G96" s="335"/>
      <c r="H96" s="336"/>
      <c r="I96" s="337"/>
      <c r="J96" s="323" t="e">
        <f>VLOOKUP(H96,Catalogos!$D$2:$G$33,2,FALSE)</f>
        <v>#N/A</v>
      </c>
      <c r="K96" s="324"/>
      <c r="L96" s="338" t="e">
        <f>VLOOKUP(H96,Catalogos!$D$2:$G$33,4,FALSE)</f>
        <v>#N/A</v>
      </c>
      <c r="M96" s="339"/>
    </row>
    <row r="97" spans="2:13" ht="22.05" customHeight="1">
      <c r="B97" s="344" t="str">
        <f>IF(H97="","", IFERROR(VLOOKUP($H$6, Catalogos!$H$2:$I$20, 2, FALSE), "FOL") &amp; IF($C$6="","", "-" &amp; $C$6) &amp; "-" &amp; TEXT(ROW(A67),"000"))</f>
        <v/>
      </c>
      <c r="C97" s="345"/>
      <c r="D97" s="220"/>
      <c r="E97" s="288"/>
      <c r="F97" s="334"/>
      <c r="G97" s="335"/>
      <c r="H97" s="336"/>
      <c r="I97" s="337"/>
      <c r="J97" s="323" t="e">
        <f>VLOOKUP(H97,Catalogos!$D$2:$G$33,2,FALSE)</f>
        <v>#N/A</v>
      </c>
      <c r="K97" s="324"/>
      <c r="L97" s="338" t="e">
        <f>VLOOKUP(H97,Catalogos!$D$2:$G$33,4,FALSE)</f>
        <v>#N/A</v>
      </c>
      <c r="M97" s="339"/>
    </row>
    <row r="98" spans="2:13" ht="22.05" customHeight="1">
      <c r="B98" s="344" t="str">
        <f>IF(H98="","", IFERROR(VLOOKUP($H$6, Catalogos!$H$2:$I$20, 2, FALSE), "FOL") &amp; IF($C$6="","", "-" &amp; $C$6) &amp; "-" &amp; TEXT(ROW(A68),"000"))</f>
        <v/>
      </c>
      <c r="C98" s="345"/>
      <c r="D98" s="221"/>
      <c r="E98" s="289"/>
      <c r="F98" s="334"/>
      <c r="G98" s="335"/>
      <c r="H98" s="336"/>
      <c r="I98" s="337"/>
      <c r="J98" s="323" t="e">
        <f>VLOOKUP(H98,Catalogos!$D$2:$G$33,2,FALSE)</f>
        <v>#N/A</v>
      </c>
      <c r="K98" s="324"/>
      <c r="L98" s="338" t="e">
        <f>VLOOKUP(H98,Catalogos!$D$2:$G$33,4,FALSE)</f>
        <v>#N/A</v>
      </c>
      <c r="M98" s="339"/>
    </row>
    <row r="99" spans="2:13" ht="22.05" customHeight="1">
      <c r="B99" s="344" t="str">
        <f>IF(H99="","", IFERROR(VLOOKUP($H$6, Catalogos!$H$2:$I$20, 2, FALSE), "FOL") &amp; IF($C$6="","", "-" &amp; $C$6) &amp; "-" &amp; TEXT(ROW(A69),"000"))</f>
        <v/>
      </c>
      <c r="C99" s="345"/>
      <c r="D99" s="222"/>
      <c r="E99" s="290"/>
      <c r="F99" s="334"/>
      <c r="G99" s="335"/>
      <c r="H99" s="336"/>
      <c r="I99" s="337"/>
      <c r="J99" s="323" t="e">
        <f>VLOOKUP(H99,Catalogos!$D$2:$G$33,2,FALSE)</f>
        <v>#N/A</v>
      </c>
      <c r="K99" s="324"/>
      <c r="L99" s="338" t="e">
        <f>VLOOKUP(H99,Catalogos!$D$2:$G$33,4,FALSE)</f>
        <v>#N/A</v>
      </c>
      <c r="M99" s="339"/>
    </row>
    <row r="100" spans="2:13" ht="22.05" customHeight="1">
      <c r="B100" s="344" t="str">
        <f>IF(H100="","", IFERROR(VLOOKUP($H$6, Catalogos!$H$2:$I$20, 2, FALSE), "FOL") &amp; IF($C$6="","", "-" &amp; $C$6) &amp; "-" &amp; TEXT(ROW(A70),"000"))</f>
        <v/>
      </c>
      <c r="C100" s="345"/>
      <c r="D100" s="222"/>
      <c r="E100" s="291"/>
      <c r="F100" s="334"/>
      <c r="G100" s="335"/>
      <c r="H100" s="336"/>
      <c r="I100" s="337"/>
      <c r="J100" s="323" t="e">
        <f>VLOOKUP(H100,Catalogos!$D$2:$G$33,2,FALSE)</f>
        <v>#N/A</v>
      </c>
      <c r="K100" s="324"/>
      <c r="L100" s="338" t="e">
        <f>VLOOKUP(H100,Catalogos!$D$2:$G$33,4,FALSE)</f>
        <v>#N/A</v>
      </c>
      <c r="M100" s="339"/>
    </row>
    <row r="107" spans="2:13">
      <c r="B107" s="50" t="s">
        <v>38</v>
      </c>
    </row>
    <row r="108" spans="2:13">
      <c r="B108" s="381" t="s">
        <v>39</v>
      </c>
      <c r="C108" s="382"/>
      <c r="D108" s="51" t="s">
        <v>16</v>
      </c>
      <c r="E108" s="52" t="s">
        <v>17</v>
      </c>
      <c r="F108" s="53" t="s">
        <v>18</v>
      </c>
      <c r="G108" s="54" t="s">
        <v>19</v>
      </c>
      <c r="H108" s="55" t="s">
        <v>20</v>
      </c>
      <c r="I108" s="56" t="s">
        <v>21</v>
      </c>
      <c r="J108" s="326" t="s">
        <v>156</v>
      </c>
      <c r="K108" s="327"/>
      <c r="L108" s="328"/>
    </row>
    <row r="109" spans="2:13">
      <c r="B109" s="383" t="s">
        <v>40</v>
      </c>
      <c r="C109" s="351"/>
      <c r="D109" s="57"/>
      <c r="E109" s="58"/>
      <c r="F109" s="59"/>
      <c r="G109" s="60"/>
      <c r="H109" s="61"/>
      <c r="I109" s="62"/>
      <c r="J109" s="329"/>
      <c r="K109" s="330"/>
      <c r="L109" s="331"/>
    </row>
    <row r="110" spans="2:13">
      <c r="B110" s="384" t="s">
        <v>41</v>
      </c>
      <c r="C110" s="351"/>
      <c r="D110" s="63"/>
      <c r="E110" s="64"/>
      <c r="F110" s="65"/>
      <c r="G110" s="66"/>
      <c r="H110" s="67"/>
      <c r="I110" s="68"/>
      <c r="J110" s="296"/>
      <c r="K110" s="297"/>
      <c r="L110" s="298"/>
    </row>
    <row r="111" spans="2:13">
      <c r="B111" s="385" t="s">
        <v>42</v>
      </c>
      <c r="C111" s="351"/>
      <c r="D111" s="69"/>
      <c r="E111" s="70"/>
      <c r="F111" s="71"/>
      <c r="G111" s="72"/>
      <c r="H111" s="73"/>
      <c r="I111" s="74"/>
      <c r="J111" s="299"/>
      <c r="K111" s="300"/>
      <c r="L111" s="301"/>
    </row>
    <row r="112" spans="2:13">
      <c r="B112" s="386" t="s">
        <v>43</v>
      </c>
      <c r="C112" s="351"/>
      <c r="D112" s="75"/>
      <c r="E112" s="76"/>
      <c r="F112" s="77"/>
      <c r="G112" s="78"/>
      <c r="H112" s="79"/>
      <c r="I112" s="80"/>
      <c r="J112" s="302"/>
      <c r="K112" s="303"/>
      <c r="L112" s="304"/>
    </row>
    <row r="113" spans="2:12">
      <c r="B113" s="387" t="s">
        <v>44</v>
      </c>
      <c r="C113" s="351"/>
      <c r="D113" s="81"/>
      <c r="E113" s="82"/>
      <c r="F113" s="83"/>
      <c r="G113" s="84"/>
      <c r="H113" s="85"/>
      <c r="I113" s="86"/>
      <c r="J113" s="305"/>
      <c r="K113" s="306"/>
      <c r="L113" s="307"/>
    </row>
    <row r="114" spans="2:12">
      <c r="B114" s="388" t="s">
        <v>45</v>
      </c>
      <c r="C114" s="351"/>
      <c r="D114" s="87"/>
      <c r="E114" s="88"/>
      <c r="F114" s="89"/>
      <c r="G114" s="90"/>
      <c r="H114" s="91"/>
      <c r="I114" s="92"/>
      <c r="J114" s="308"/>
      <c r="K114" s="309"/>
      <c r="L114" s="310"/>
    </row>
    <row r="115" spans="2:12">
      <c r="B115" s="389" t="s">
        <v>46</v>
      </c>
      <c r="C115" s="351"/>
      <c r="D115" s="93"/>
      <c r="E115" s="94"/>
      <c r="F115" s="95"/>
      <c r="G115" s="96"/>
      <c r="H115" s="97"/>
      <c r="I115" s="98"/>
      <c r="J115" s="311"/>
      <c r="K115" s="312"/>
      <c r="L115" s="313"/>
    </row>
    <row r="116" spans="2:12">
      <c r="B116" s="390" t="s">
        <v>47</v>
      </c>
      <c r="C116" s="351"/>
      <c r="D116" s="99"/>
      <c r="E116" s="100"/>
      <c r="F116" s="101"/>
      <c r="G116" s="102"/>
      <c r="H116" s="103"/>
      <c r="I116" s="104"/>
      <c r="J116" s="314"/>
      <c r="K116" s="315"/>
      <c r="L116" s="316"/>
    </row>
    <row r="117" spans="2:12">
      <c r="B117" s="350" t="s">
        <v>23</v>
      </c>
      <c r="C117" s="351"/>
      <c r="D117" s="105"/>
      <c r="E117" s="106"/>
      <c r="F117" s="107"/>
      <c r="G117" s="108"/>
      <c r="H117" s="109"/>
      <c r="I117" s="110"/>
      <c r="J117" s="317"/>
      <c r="K117" s="318"/>
      <c r="L117" s="319"/>
    </row>
    <row r="118" spans="2:12">
      <c r="B118" s="352" t="s">
        <v>24</v>
      </c>
      <c r="C118" s="351"/>
      <c r="D118" s="111"/>
      <c r="E118" s="112"/>
      <c r="F118" s="113"/>
      <c r="G118" s="114"/>
      <c r="H118" s="115"/>
      <c r="I118" s="116"/>
      <c r="J118" s="320"/>
      <c r="K118" s="321"/>
      <c r="L118" s="322"/>
    </row>
    <row r="119" spans="2:12">
      <c r="B119" s="353" t="s">
        <v>25</v>
      </c>
      <c r="C119" s="351"/>
      <c r="D119" s="117"/>
      <c r="E119" s="118"/>
      <c r="F119" s="119"/>
      <c r="G119" s="120"/>
      <c r="H119" s="121"/>
      <c r="I119" s="122"/>
      <c r="J119" s="360"/>
      <c r="K119" s="361"/>
      <c r="L119" s="362"/>
    </row>
    <row r="120" spans="2:12">
      <c r="B120" s="354" t="s">
        <v>26</v>
      </c>
      <c r="C120" s="351"/>
      <c r="D120" s="123"/>
      <c r="E120" s="124"/>
      <c r="F120" s="125"/>
      <c r="G120" s="126"/>
      <c r="H120" s="127"/>
      <c r="I120" s="128"/>
      <c r="J120" s="363"/>
      <c r="K120" s="364"/>
      <c r="L120" s="365"/>
    </row>
    <row r="121" spans="2:12">
      <c r="B121" s="355" t="s">
        <v>27</v>
      </c>
      <c r="C121" s="351"/>
      <c r="D121" s="129"/>
      <c r="E121" s="130"/>
      <c r="F121" s="131"/>
      <c r="G121" s="132"/>
      <c r="H121" s="133"/>
      <c r="I121" s="134"/>
      <c r="J121" s="366"/>
      <c r="K121" s="367"/>
      <c r="L121" s="368"/>
    </row>
    <row r="122" spans="2:12">
      <c r="B122" s="356" t="s">
        <v>28</v>
      </c>
      <c r="C122" s="351"/>
      <c r="D122" s="135"/>
      <c r="E122" s="136"/>
      <c r="F122" s="137"/>
      <c r="G122" s="138"/>
      <c r="H122" s="139"/>
      <c r="I122" s="140"/>
      <c r="J122" s="369"/>
      <c r="K122" s="370"/>
      <c r="L122" s="371"/>
    </row>
    <row r="123" spans="2:12">
      <c r="B123" s="357" t="s">
        <v>29</v>
      </c>
      <c r="C123" s="351"/>
      <c r="D123" s="141"/>
      <c r="E123" s="142"/>
      <c r="F123" s="143"/>
      <c r="G123" s="144"/>
      <c r="H123" s="145"/>
      <c r="I123" s="146"/>
      <c r="J123" s="372"/>
      <c r="K123" s="373"/>
      <c r="L123" s="374"/>
    </row>
    <row r="124" spans="2:12">
      <c r="B124" s="358" t="s">
        <v>30</v>
      </c>
      <c r="C124" s="351"/>
      <c r="D124" s="147"/>
      <c r="E124" s="148"/>
      <c r="F124" s="149"/>
      <c r="G124" s="150"/>
      <c r="H124" s="151"/>
      <c r="I124" s="152"/>
      <c r="J124" s="375"/>
      <c r="K124" s="376"/>
      <c r="L124" s="377"/>
    </row>
    <row r="125" spans="2:12">
      <c r="B125" s="358" t="s">
        <v>166</v>
      </c>
      <c r="C125" s="351"/>
      <c r="D125" s="295"/>
      <c r="E125" s="295"/>
      <c r="F125" s="295"/>
      <c r="G125" s="295"/>
      <c r="H125" s="295"/>
      <c r="I125" s="295"/>
      <c r="J125" s="378"/>
      <c r="K125" s="379"/>
      <c r="L125" s="380"/>
    </row>
    <row r="131" spans="2:13">
      <c r="B131" s="153"/>
    </row>
    <row r="132" spans="2:13">
      <c r="B132" s="359"/>
      <c r="C132" s="359"/>
      <c r="D132" s="359"/>
      <c r="E132" s="359"/>
      <c r="F132" s="359"/>
      <c r="G132" s="359"/>
      <c r="H132" s="359"/>
      <c r="I132" s="359"/>
      <c r="J132" s="359"/>
      <c r="K132" s="359"/>
      <c r="L132" s="359"/>
      <c r="M132" s="359"/>
    </row>
    <row r="134" spans="2:13">
      <c r="B134" s="154"/>
    </row>
  </sheetData>
  <mergeCells count="426">
    <mergeCell ref="H46:I46"/>
    <mergeCell ref="L46:M46"/>
    <mergeCell ref="L47:M47"/>
    <mergeCell ref="F47:G47"/>
    <mergeCell ref="H47:I47"/>
    <mergeCell ref="F44:G44"/>
    <mergeCell ref="H44:I44"/>
    <mergeCell ref="L44:M44"/>
    <mergeCell ref="F45:G45"/>
    <mergeCell ref="H45:I45"/>
    <mergeCell ref="L45:M45"/>
    <mergeCell ref="H42:I42"/>
    <mergeCell ref="L42:M42"/>
    <mergeCell ref="F43:G43"/>
    <mergeCell ref="H43:I43"/>
    <mergeCell ref="L43:M43"/>
    <mergeCell ref="F40:G40"/>
    <mergeCell ref="H40:I40"/>
    <mergeCell ref="L40:M40"/>
    <mergeCell ref="F41:G41"/>
    <mergeCell ref="H41:I41"/>
    <mergeCell ref="L41:M41"/>
    <mergeCell ref="H38:I38"/>
    <mergeCell ref="L38:M38"/>
    <mergeCell ref="F39:G39"/>
    <mergeCell ref="H39:I39"/>
    <mergeCell ref="L39:M39"/>
    <mergeCell ref="F36:G36"/>
    <mergeCell ref="H36:I36"/>
    <mergeCell ref="L36:M36"/>
    <mergeCell ref="F37:G37"/>
    <mergeCell ref="H37:I37"/>
    <mergeCell ref="L37:M37"/>
    <mergeCell ref="L51:M51"/>
    <mergeCell ref="F53:G53"/>
    <mergeCell ref="B57:C57"/>
    <mergeCell ref="B58:C58"/>
    <mergeCell ref="B59:C59"/>
    <mergeCell ref="B60:C60"/>
    <mergeCell ref="B61:C61"/>
    <mergeCell ref="F57:G57"/>
    <mergeCell ref="H57:I57"/>
    <mergeCell ref="L57:M57"/>
    <mergeCell ref="F58:G58"/>
    <mergeCell ref="H58:I58"/>
    <mergeCell ref="L58:M58"/>
    <mergeCell ref="F59:G59"/>
    <mergeCell ref="H59:I59"/>
    <mergeCell ref="L59:M59"/>
    <mergeCell ref="F60:G60"/>
    <mergeCell ref="H60:I60"/>
    <mergeCell ref="L53:M53"/>
    <mergeCell ref="L54:M54"/>
    <mergeCell ref="L55:M55"/>
    <mergeCell ref="L56:M56"/>
    <mergeCell ref="L60:M60"/>
    <mergeCell ref="L61:M61"/>
    <mergeCell ref="H19:L19"/>
    <mergeCell ref="B30:C30"/>
    <mergeCell ref="B31:C31"/>
    <mergeCell ref="B55:C55"/>
    <mergeCell ref="B56:C56"/>
    <mergeCell ref="B37:C37"/>
    <mergeCell ref="B38:C38"/>
    <mergeCell ref="B40:C40"/>
    <mergeCell ref="B47:C47"/>
    <mergeCell ref="B39:C39"/>
    <mergeCell ref="B41:C41"/>
    <mergeCell ref="B42:C42"/>
    <mergeCell ref="B43:C43"/>
    <mergeCell ref="B44:C44"/>
    <mergeCell ref="B45:C45"/>
    <mergeCell ref="B46:C46"/>
    <mergeCell ref="B53:C53"/>
    <mergeCell ref="B54:C54"/>
    <mergeCell ref="L48:M48"/>
    <mergeCell ref="L49:M49"/>
    <mergeCell ref="L50:M50"/>
    <mergeCell ref="B51:C51"/>
    <mergeCell ref="F51:G51"/>
    <mergeCell ref="H51:I51"/>
    <mergeCell ref="H30:I30"/>
    <mergeCell ref="L30:M30"/>
    <mergeCell ref="F31:G31"/>
    <mergeCell ref="H31:I31"/>
    <mergeCell ref="L31:M31"/>
    <mergeCell ref="B32:C32"/>
    <mergeCell ref="B33:C33"/>
    <mergeCell ref="B34:C34"/>
    <mergeCell ref="B35:C35"/>
    <mergeCell ref="F34:G34"/>
    <mergeCell ref="H34:I34"/>
    <mergeCell ref="L34:M34"/>
    <mergeCell ref="F35:G35"/>
    <mergeCell ref="H35:I35"/>
    <mergeCell ref="L35:M35"/>
    <mergeCell ref="F32:G32"/>
    <mergeCell ref="H32:I32"/>
    <mergeCell ref="L32:M32"/>
    <mergeCell ref="F33:G33"/>
    <mergeCell ref="H33:I33"/>
    <mergeCell ref="L33:M33"/>
    <mergeCell ref="H14:L14"/>
    <mergeCell ref="H15:L15"/>
    <mergeCell ref="H16:L16"/>
    <mergeCell ref="H17:L17"/>
    <mergeCell ref="H18:L18"/>
    <mergeCell ref="B4:L4"/>
    <mergeCell ref="B10:L10"/>
    <mergeCell ref="E6:G6"/>
    <mergeCell ref="H6:L6"/>
    <mergeCell ref="F7:G7"/>
    <mergeCell ref="H7:L7"/>
    <mergeCell ref="B11:C11"/>
    <mergeCell ref="D11:G11"/>
    <mergeCell ref="H11:L11"/>
    <mergeCell ref="B12:C12"/>
    <mergeCell ref="B13:C13"/>
    <mergeCell ref="H12:L12"/>
    <mergeCell ref="H13:L13"/>
    <mergeCell ref="B14:C14"/>
    <mergeCell ref="D12:G12"/>
    <mergeCell ref="D13:G13"/>
    <mergeCell ref="D14:G14"/>
    <mergeCell ref="B15:C15"/>
    <mergeCell ref="B16:C16"/>
    <mergeCell ref="B69:C69"/>
    <mergeCell ref="B70:C70"/>
    <mergeCell ref="B67:C67"/>
    <mergeCell ref="B68:C68"/>
    <mergeCell ref="B48:C48"/>
    <mergeCell ref="F48:G48"/>
    <mergeCell ref="H48:I48"/>
    <mergeCell ref="B49:C49"/>
    <mergeCell ref="F49:G49"/>
    <mergeCell ref="H49:I49"/>
    <mergeCell ref="B50:C50"/>
    <mergeCell ref="F50:G50"/>
    <mergeCell ref="H50:I50"/>
    <mergeCell ref="H53:I53"/>
    <mergeCell ref="H54:I54"/>
    <mergeCell ref="H55:I55"/>
    <mergeCell ref="H56:I56"/>
    <mergeCell ref="H61:I61"/>
    <mergeCell ref="H62:I62"/>
    <mergeCell ref="H66:I66"/>
    <mergeCell ref="B17:C17"/>
    <mergeCell ref="D15:G15"/>
    <mergeCell ref="D16:G16"/>
    <mergeCell ref="D17:G17"/>
    <mergeCell ref="B62:C62"/>
    <mergeCell ref="B63:C63"/>
    <mergeCell ref="B64:C64"/>
    <mergeCell ref="B65:C65"/>
    <mergeCell ref="B66:C66"/>
    <mergeCell ref="B18:C18"/>
    <mergeCell ref="D18:G18"/>
    <mergeCell ref="B19:D19"/>
    <mergeCell ref="E19:G19"/>
    <mergeCell ref="F30:G30"/>
    <mergeCell ref="B36:C36"/>
    <mergeCell ref="F38:G38"/>
    <mergeCell ref="F42:G42"/>
    <mergeCell ref="F46:G46"/>
    <mergeCell ref="F54:G54"/>
    <mergeCell ref="F55:G55"/>
    <mergeCell ref="F56:G56"/>
    <mergeCell ref="F61:G61"/>
    <mergeCell ref="F62:G62"/>
    <mergeCell ref="F66:G66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32:M132"/>
    <mergeCell ref="J119:L119"/>
    <mergeCell ref="J120:L120"/>
    <mergeCell ref="J121:L121"/>
    <mergeCell ref="J122:L122"/>
    <mergeCell ref="J123:L123"/>
    <mergeCell ref="J124:L124"/>
    <mergeCell ref="B125:C125"/>
    <mergeCell ref="J125:L125"/>
    <mergeCell ref="L62:M62"/>
    <mergeCell ref="F63:G63"/>
    <mergeCell ref="H63:I63"/>
    <mergeCell ref="L63:M63"/>
    <mergeCell ref="F64:G64"/>
    <mergeCell ref="H64:I64"/>
    <mergeCell ref="L64:M64"/>
    <mergeCell ref="F65:G65"/>
    <mergeCell ref="H65:I65"/>
    <mergeCell ref="L65:M65"/>
    <mergeCell ref="L66:M66"/>
    <mergeCell ref="F67:G67"/>
    <mergeCell ref="H67:I67"/>
    <mergeCell ref="L67:M67"/>
    <mergeCell ref="F68:G68"/>
    <mergeCell ref="H68:I68"/>
    <mergeCell ref="L68:M68"/>
    <mergeCell ref="F69:G69"/>
    <mergeCell ref="H69:I69"/>
    <mergeCell ref="L69:M69"/>
    <mergeCell ref="J67:K67"/>
    <mergeCell ref="J68:K68"/>
    <mergeCell ref="J69:K69"/>
    <mergeCell ref="L70:M70"/>
    <mergeCell ref="B71:C71"/>
    <mergeCell ref="F71:G71"/>
    <mergeCell ref="H71:I71"/>
    <mergeCell ref="L71:M71"/>
    <mergeCell ref="B72:C72"/>
    <mergeCell ref="F72:G72"/>
    <mergeCell ref="H72:I72"/>
    <mergeCell ref="L72:M72"/>
    <mergeCell ref="J70:K70"/>
    <mergeCell ref="J71:K71"/>
    <mergeCell ref="J72:K72"/>
    <mergeCell ref="B73:C73"/>
    <mergeCell ref="F73:G73"/>
    <mergeCell ref="H73:I73"/>
    <mergeCell ref="L73:M73"/>
    <mergeCell ref="B74:C74"/>
    <mergeCell ref="F74:G74"/>
    <mergeCell ref="H74:I74"/>
    <mergeCell ref="L74:M74"/>
    <mergeCell ref="B75:C75"/>
    <mergeCell ref="F75:G75"/>
    <mergeCell ref="H75:I75"/>
    <mergeCell ref="L75:M75"/>
    <mergeCell ref="J73:K73"/>
    <mergeCell ref="J74:K74"/>
    <mergeCell ref="J75:K75"/>
    <mergeCell ref="B78:C78"/>
    <mergeCell ref="F78:G78"/>
    <mergeCell ref="H78:I78"/>
    <mergeCell ref="L78:M78"/>
    <mergeCell ref="B80:C80"/>
    <mergeCell ref="F80:G80"/>
    <mergeCell ref="H80:I80"/>
    <mergeCell ref="L80:M80"/>
    <mergeCell ref="L81:M81"/>
    <mergeCell ref="B81:C81"/>
    <mergeCell ref="J78:K78"/>
    <mergeCell ref="J80:K80"/>
    <mergeCell ref="J81:K81"/>
    <mergeCell ref="B82:C82"/>
    <mergeCell ref="F82:G82"/>
    <mergeCell ref="H82:I82"/>
    <mergeCell ref="L82:M82"/>
    <mergeCell ref="B83:C83"/>
    <mergeCell ref="F83:G83"/>
    <mergeCell ref="H83:I83"/>
    <mergeCell ref="L83:M83"/>
    <mergeCell ref="B84:C84"/>
    <mergeCell ref="F84:G84"/>
    <mergeCell ref="H84:I84"/>
    <mergeCell ref="L84:M84"/>
    <mergeCell ref="J82:K82"/>
    <mergeCell ref="J83:K83"/>
    <mergeCell ref="J84:K84"/>
    <mergeCell ref="B85:C85"/>
    <mergeCell ref="F85:G85"/>
    <mergeCell ref="H85:I85"/>
    <mergeCell ref="L85:M85"/>
    <mergeCell ref="B86:C86"/>
    <mergeCell ref="F86:G86"/>
    <mergeCell ref="H86:I86"/>
    <mergeCell ref="L86:M86"/>
    <mergeCell ref="B87:C87"/>
    <mergeCell ref="F87:G87"/>
    <mergeCell ref="H87:I87"/>
    <mergeCell ref="L87:M87"/>
    <mergeCell ref="J85:K85"/>
    <mergeCell ref="J86:K86"/>
    <mergeCell ref="J87:K87"/>
    <mergeCell ref="B88:C88"/>
    <mergeCell ref="F88:G88"/>
    <mergeCell ref="H88:I88"/>
    <mergeCell ref="L88:M88"/>
    <mergeCell ref="B89:C89"/>
    <mergeCell ref="F89:G89"/>
    <mergeCell ref="H89:I89"/>
    <mergeCell ref="L89:M89"/>
    <mergeCell ref="B90:C90"/>
    <mergeCell ref="F90:G90"/>
    <mergeCell ref="H90:I90"/>
    <mergeCell ref="L90:M90"/>
    <mergeCell ref="J88:K88"/>
    <mergeCell ref="J89:K89"/>
    <mergeCell ref="J90:K90"/>
    <mergeCell ref="B91:C91"/>
    <mergeCell ref="F91:G91"/>
    <mergeCell ref="H91:I91"/>
    <mergeCell ref="L91:M91"/>
    <mergeCell ref="B92:C92"/>
    <mergeCell ref="F92:G92"/>
    <mergeCell ref="H92:I92"/>
    <mergeCell ref="L92:M92"/>
    <mergeCell ref="B93:C93"/>
    <mergeCell ref="F93:G93"/>
    <mergeCell ref="H93:I93"/>
    <mergeCell ref="L93:M93"/>
    <mergeCell ref="J91:K91"/>
    <mergeCell ref="J92:K92"/>
    <mergeCell ref="J93:K93"/>
    <mergeCell ref="B94:C94"/>
    <mergeCell ref="F94:G94"/>
    <mergeCell ref="H94:I94"/>
    <mergeCell ref="L94:M94"/>
    <mergeCell ref="B95:C95"/>
    <mergeCell ref="F95:G95"/>
    <mergeCell ref="H95:I95"/>
    <mergeCell ref="L95:M95"/>
    <mergeCell ref="B96:C96"/>
    <mergeCell ref="F96:G96"/>
    <mergeCell ref="H96:I96"/>
    <mergeCell ref="L96:M96"/>
    <mergeCell ref="J94:K94"/>
    <mergeCell ref="J95:K95"/>
    <mergeCell ref="J96:K96"/>
    <mergeCell ref="B98:C98"/>
    <mergeCell ref="F98:G98"/>
    <mergeCell ref="H98:I98"/>
    <mergeCell ref="L98:M98"/>
    <mergeCell ref="B99:C99"/>
    <mergeCell ref="F99:G99"/>
    <mergeCell ref="H99:I99"/>
    <mergeCell ref="L99:M99"/>
    <mergeCell ref="J97:K97"/>
    <mergeCell ref="J98:K98"/>
    <mergeCell ref="J99:K99"/>
    <mergeCell ref="B100:C100"/>
    <mergeCell ref="F100:G100"/>
    <mergeCell ref="H100:I100"/>
    <mergeCell ref="L100:M100"/>
    <mergeCell ref="B52:C52"/>
    <mergeCell ref="F52:G52"/>
    <mergeCell ref="H52:I52"/>
    <mergeCell ref="J52:K52"/>
    <mergeCell ref="B76:C76"/>
    <mergeCell ref="F76:G76"/>
    <mergeCell ref="H76:I76"/>
    <mergeCell ref="J76:K76"/>
    <mergeCell ref="B77:C77"/>
    <mergeCell ref="F77:G77"/>
    <mergeCell ref="H77:I77"/>
    <mergeCell ref="J77:K77"/>
    <mergeCell ref="B79:C79"/>
    <mergeCell ref="F79:G79"/>
    <mergeCell ref="H79:I79"/>
    <mergeCell ref="J79:K79"/>
    <mergeCell ref="B97:C97"/>
    <mergeCell ref="F97:G97"/>
    <mergeCell ref="H97:I97"/>
    <mergeCell ref="L97:M97"/>
    <mergeCell ref="J50:K50"/>
    <mergeCell ref="J51:K51"/>
    <mergeCell ref="F81:G81"/>
    <mergeCell ref="H81:I81"/>
    <mergeCell ref="L52:M52"/>
    <mergeCell ref="L76:M76"/>
    <mergeCell ref="L77:M77"/>
    <mergeCell ref="L79:M79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F70:G70"/>
    <mergeCell ref="H70:I70"/>
    <mergeCell ref="J100:K100"/>
    <mergeCell ref="B29:M29"/>
    <mergeCell ref="J108:L108"/>
    <mergeCell ref="J109:L10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110:L110"/>
    <mergeCell ref="J111:L111"/>
    <mergeCell ref="J112:L112"/>
    <mergeCell ref="J113:L113"/>
    <mergeCell ref="J114:L114"/>
    <mergeCell ref="J115:L115"/>
    <mergeCell ref="J116:L116"/>
    <mergeCell ref="J117:L117"/>
    <mergeCell ref="J118:L118"/>
  </mergeCells>
  <printOptions horizontalCentered="1"/>
  <pageMargins left="0.25" right="0.25" top="0.75" bottom="0.75" header="0.3" footer="0.3"/>
  <pageSetup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Origen Inválido" error="Seleccione un origen de la lista." promptTitle="undefined" prompt="undefined" xr:uid="{00000000-0002-0000-0000-000000000000}">
          <x14:formula1>
            <xm:f>Catalogos!$C$2:$C$20</xm:f>
          </x14:formula1>
          <xm:sqref>F31:F100</xm:sqref>
        </x14:dataValidation>
        <x14:dataValidation type="list" allowBlank="1" showInputMessage="1" showErrorMessage="1" xr:uid="{48755417-CB1B-49B9-9090-7EF7CE572867}">
          <x14:formula1>
            <xm:f>Catalogos!$C$2:$C$7</xm:f>
          </x14:formula1>
          <xm:sqref>D12:G18</xm:sqref>
        </x14:dataValidation>
        <x14:dataValidation type="list" allowBlank="1" showInputMessage="1" showErrorMessage="1" xr:uid="{BB4B6C33-E7AB-470F-A561-917AE9BFB5BF}">
          <x14:formula1>
            <xm:f>Catalogos!$A$2:$A$10</xm:f>
          </x14:formula1>
          <xm:sqref>H6:L6</xm:sqref>
        </x14:dataValidation>
        <x14:dataValidation type="list" allowBlank="1" showErrorMessage="1" errorTitle="Destino Inválido" error="Seleccione un destino de la lista." promptTitle="undefined" prompt="undefined" xr:uid="{C0D893D6-5CFA-41AE-A030-415D6DA6E3A8}">
          <x14:formula1>
            <xm:f>Catalogos!$D$2:$D$33</xm:f>
          </x14:formula1>
          <xm:sqref>H31:I100</xm:sqref>
        </x14:dataValidation>
        <x14:dataValidation type="list" allowBlank="1" showInputMessage="1" showErrorMessage="1" xr:uid="{D5FA1EE5-4DF1-4061-822D-4D499584DE9D}">
          <x14:formula1>
            <xm:f>Catalogos!$B$2:$B$8</xm:f>
          </x14:formula1>
          <xm:sqref>H7:L7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opLeftCell="D1" workbookViewId="0">
      <selection activeCell="D5" sqref="D5"/>
    </sheetView>
  </sheetViews>
  <sheetFormatPr baseColWidth="10" defaultRowHeight="14.4"/>
  <cols>
    <col min="1" max="1" width="23.33203125" bestFit="1" customWidth="1"/>
    <col min="2" max="2" width="23.33203125" customWidth="1"/>
    <col min="3" max="3" width="20.5546875" bestFit="1" customWidth="1"/>
    <col min="4" max="4" width="70.6640625" bestFit="1" customWidth="1"/>
    <col min="5" max="5" width="15.6640625" bestFit="1" customWidth="1"/>
    <col min="6" max="6" width="19.21875" bestFit="1" customWidth="1"/>
    <col min="7" max="7" width="41" bestFit="1" customWidth="1"/>
    <col min="8" max="8" width="24.5546875" customWidth="1"/>
  </cols>
  <sheetData>
    <row r="1" spans="1:9">
      <c r="A1" t="s">
        <v>48</v>
      </c>
      <c r="B1" s="156" t="s">
        <v>99</v>
      </c>
      <c r="C1" t="s">
        <v>49</v>
      </c>
      <c r="D1" s="158" t="s">
        <v>106</v>
      </c>
      <c r="E1" s="158" t="s">
        <v>105</v>
      </c>
      <c r="F1" s="158" t="s">
        <v>107</v>
      </c>
      <c r="G1" s="158" t="s">
        <v>108</v>
      </c>
      <c r="H1" t="s">
        <v>158</v>
      </c>
      <c r="I1" t="s">
        <v>159</v>
      </c>
    </row>
    <row r="2" spans="1:9">
      <c r="A2" t="s">
        <v>50</v>
      </c>
      <c r="B2" t="s">
        <v>100</v>
      </c>
      <c r="C2" t="s">
        <v>51</v>
      </c>
      <c r="D2" s="159" t="s">
        <v>109</v>
      </c>
      <c r="E2" s="159" t="s">
        <v>52</v>
      </c>
      <c r="F2" s="159"/>
      <c r="G2" s="159"/>
      <c r="H2" t="s">
        <v>53</v>
      </c>
      <c r="I2" t="s">
        <v>160</v>
      </c>
    </row>
    <row r="3" spans="1:9">
      <c r="A3" t="s">
        <v>53</v>
      </c>
      <c r="B3" t="s">
        <v>101</v>
      </c>
      <c r="C3" t="s">
        <v>54</v>
      </c>
      <c r="D3" s="159" t="s">
        <v>110</v>
      </c>
      <c r="E3" s="159" t="s">
        <v>55</v>
      </c>
      <c r="F3" s="159" t="s">
        <v>50</v>
      </c>
      <c r="G3" s="159" t="s">
        <v>111</v>
      </c>
      <c r="H3" t="s">
        <v>50</v>
      </c>
      <c r="I3" t="s">
        <v>161</v>
      </c>
    </row>
    <row r="4" spans="1:9">
      <c r="A4" t="s">
        <v>56</v>
      </c>
      <c r="B4" t="s">
        <v>102</v>
      </c>
      <c r="C4" t="s">
        <v>57</v>
      </c>
      <c r="D4" s="159" t="s">
        <v>112</v>
      </c>
      <c r="E4" s="159" t="s">
        <v>58</v>
      </c>
      <c r="F4" s="159"/>
      <c r="G4" s="159"/>
      <c r="H4" t="s">
        <v>59</v>
      </c>
      <c r="I4" t="s">
        <v>162</v>
      </c>
    </row>
    <row r="5" spans="1:9">
      <c r="A5" t="s">
        <v>59</v>
      </c>
      <c r="B5" t="s">
        <v>103</v>
      </c>
      <c r="C5" t="s">
        <v>60</v>
      </c>
      <c r="D5" s="159" t="s">
        <v>113</v>
      </c>
      <c r="E5" s="159" t="s">
        <v>61</v>
      </c>
      <c r="F5" s="159" t="s">
        <v>53</v>
      </c>
      <c r="G5" s="159" t="s">
        <v>114</v>
      </c>
      <c r="H5" t="s">
        <v>62</v>
      </c>
      <c r="I5" t="s">
        <v>163</v>
      </c>
    </row>
    <row r="6" spans="1:9">
      <c r="A6" t="s">
        <v>62</v>
      </c>
      <c r="B6" s="157" t="s">
        <v>104</v>
      </c>
      <c r="C6" t="s">
        <v>63</v>
      </c>
      <c r="D6" s="159" t="s">
        <v>115</v>
      </c>
      <c r="E6" s="159" t="s">
        <v>64</v>
      </c>
      <c r="F6" s="159"/>
      <c r="G6" s="159"/>
      <c r="H6" t="s">
        <v>57</v>
      </c>
      <c r="I6" t="s">
        <v>164</v>
      </c>
    </row>
    <row r="7" spans="1:9">
      <c r="A7" t="s">
        <v>57</v>
      </c>
      <c r="C7" t="s">
        <v>65</v>
      </c>
      <c r="D7" s="159" t="s">
        <v>116</v>
      </c>
      <c r="E7" s="159" t="s">
        <v>66</v>
      </c>
      <c r="F7" s="159" t="s">
        <v>53</v>
      </c>
      <c r="G7" s="159" t="s">
        <v>117</v>
      </c>
      <c r="H7" t="s">
        <v>70</v>
      </c>
      <c r="I7" t="s">
        <v>165</v>
      </c>
    </row>
    <row r="8" spans="1:9">
      <c r="A8" t="s">
        <v>67</v>
      </c>
      <c r="C8" t="s">
        <v>68</v>
      </c>
      <c r="D8" s="159" t="s">
        <v>118</v>
      </c>
      <c r="E8" s="159" t="s">
        <v>69</v>
      </c>
      <c r="F8" s="159" t="s">
        <v>50</v>
      </c>
      <c r="G8" s="159" t="s">
        <v>119</v>
      </c>
    </row>
    <row r="9" spans="1:9">
      <c r="A9" t="s">
        <v>70</v>
      </c>
      <c r="C9" t="s">
        <v>71</v>
      </c>
      <c r="D9" s="159" t="s">
        <v>120</v>
      </c>
      <c r="E9" s="159" t="s">
        <v>72</v>
      </c>
      <c r="F9" s="159"/>
      <c r="G9" s="159"/>
    </row>
    <row r="10" spans="1:9">
      <c r="A10" t="s">
        <v>73</v>
      </c>
      <c r="D10" s="159" t="s">
        <v>121</v>
      </c>
      <c r="E10" s="159" t="s">
        <v>74</v>
      </c>
      <c r="F10" s="159"/>
      <c r="G10" s="159"/>
    </row>
    <row r="11" spans="1:9">
      <c r="D11" s="159" t="s">
        <v>120</v>
      </c>
      <c r="E11" s="159" t="s">
        <v>75</v>
      </c>
      <c r="F11" s="159" t="s">
        <v>53</v>
      </c>
      <c r="G11" s="159" t="s">
        <v>122</v>
      </c>
    </row>
    <row r="12" spans="1:9">
      <c r="D12" s="159" t="s">
        <v>123</v>
      </c>
      <c r="E12" s="159" t="s">
        <v>76</v>
      </c>
      <c r="F12" s="159" t="s">
        <v>50</v>
      </c>
      <c r="G12" s="159" t="s">
        <v>124</v>
      </c>
    </row>
    <row r="13" spans="1:9">
      <c r="D13" s="159" t="s">
        <v>125</v>
      </c>
      <c r="E13" s="159" t="s">
        <v>77</v>
      </c>
      <c r="F13" s="159" t="s">
        <v>50</v>
      </c>
      <c r="G13" s="159" t="s">
        <v>126</v>
      </c>
    </row>
    <row r="14" spans="1:9">
      <c r="D14" s="159" t="s">
        <v>127</v>
      </c>
      <c r="E14" s="159" t="s">
        <v>78</v>
      </c>
      <c r="F14" s="159"/>
      <c r="G14" s="159"/>
    </row>
    <row r="15" spans="1:9">
      <c r="D15" s="159" t="s">
        <v>128</v>
      </c>
      <c r="E15" s="159" t="s">
        <v>79</v>
      </c>
      <c r="F15" s="159" t="s">
        <v>53</v>
      </c>
      <c r="G15" s="159" t="s">
        <v>129</v>
      </c>
    </row>
    <row r="16" spans="1:9">
      <c r="D16" s="159" t="s">
        <v>130</v>
      </c>
      <c r="E16" s="159" t="s">
        <v>80</v>
      </c>
      <c r="F16" s="159" t="s">
        <v>53</v>
      </c>
      <c r="G16" s="159" t="s">
        <v>131</v>
      </c>
    </row>
    <row r="17" spans="4:7">
      <c r="D17" s="159" t="s">
        <v>132</v>
      </c>
      <c r="E17" s="159" t="s">
        <v>81</v>
      </c>
      <c r="F17" s="159" t="s">
        <v>50</v>
      </c>
      <c r="G17" s="159" t="s">
        <v>133</v>
      </c>
    </row>
    <row r="18" spans="4:7">
      <c r="D18" s="159" t="s">
        <v>134</v>
      </c>
      <c r="E18" s="159" t="s">
        <v>82</v>
      </c>
      <c r="F18" s="159" t="s">
        <v>53</v>
      </c>
      <c r="G18" s="159" t="s">
        <v>135</v>
      </c>
    </row>
    <row r="19" spans="4:7">
      <c r="D19" s="159" t="s">
        <v>134</v>
      </c>
      <c r="E19" s="159" t="s">
        <v>83</v>
      </c>
      <c r="F19" s="159"/>
      <c r="G19" s="159"/>
    </row>
    <row r="20" spans="4:7">
      <c r="D20" s="159" t="s">
        <v>136</v>
      </c>
      <c r="E20" s="159" t="s">
        <v>84</v>
      </c>
      <c r="F20" s="159"/>
      <c r="G20" s="159"/>
    </row>
    <row r="21" spans="4:7">
      <c r="D21" s="159" t="s">
        <v>137</v>
      </c>
      <c r="E21" s="159" t="s">
        <v>85</v>
      </c>
      <c r="F21" s="159"/>
      <c r="G21" s="159"/>
    </row>
    <row r="22" spans="4:7">
      <c r="D22" s="159" t="s">
        <v>138</v>
      </c>
      <c r="E22" s="159" t="s">
        <v>86</v>
      </c>
      <c r="F22" s="159" t="s">
        <v>50</v>
      </c>
      <c r="G22" s="159" t="s">
        <v>139</v>
      </c>
    </row>
    <row r="23" spans="4:7">
      <c r="D23" s="159" t="s">
        <v>137</v>
      </c>
      <c r="E23" s="159" t="s">
        <v>87</v>
      </c>
      <c r="F23" s="159"/>
      <c r="G23" s="159"/>
    </row>
    <row r="24" spans="4:7">
      <c r="D24" s="159" t="s">
        <v>140</v>
      </c>
      <c r="E24" s="159" t="s">
        <v>88</v>
      </c>
      <c r="F24" s="159"/>
      <c r="G24" s="159"/>
    </row>
    <row r="25" spans="4:7">
      <c r="D25" s="159" t="s">
        <v>141</v>
      </c>
      <c r="E25" s="159" t="s">
        <v>89</v>
      </c>
      <c r="F25" s="159"/>
      <c r="G25" s="159"/>
    </row>
    <row r="26" spans="4:7">
      <c r="D26" s="159" t="s">
        <v>142</v>
      </c>
      <c r="E26" s="159" t="s">
        <v>90</v>
      </c>
      <c r="F26" s="159"/>
      <c r="G26" s="159"/>
    </row>
    <row r="27" spans="4:7">
      <c r="D27" s="159" t="s">
        <v>143</v>
      </c>
      <c r="E27" s="159" t="s">
        <v>91</v>
      </c>
      <c r="F27" s="159" t="s">
        <v>53</v>
      </c>
      <c r="G27" s="159" t="s">
        <v>144</v>
      </c>
    </row>
    <row r="28" spans="4:7">
      <c r="D28" s="159" t="s">
        <v>145</v>
      </c>
      <c r="E28" s="159" t="s">
        <v>92</v>
      </c>
      <c r="F28" s="159"/>
      <c r="G28" s="159"/>
    </row>
    <row r="29" spans="4:7">
      <c r="D29" s="159" t="s">
        <v>146</v>
      </c>
      <c r="E29" s="159" t="s">
        <v>93</v>
      </c>
      <c r="F29" s="159" t="s">
        <v>53</v>
      </c>
      <c r="G29" s="159" t="s">
        <v>147</v>
      </c>
    </row>
    <row r="30" spans="4:7">
      <c r="D30" s="159" t="s">
        <v>148</v>
      </c>
      <c r="E30" s="159" t="s">
        <v>94</v>
      </c>
      <c r="F30" s="159"/>
      <c r="G30" s="159"/>
    </row>
    <row r="31" spans="4:7">
      <c r="D31" s="159" t="s">
        <v>149</v>
      </c>
      <c r="E31" s="159" t="s">
        <v>95</v>
      </c>
      <c r="F31" s="159"/>
      <c r="G31" s="159"/>
    </row>
    <row r="32" spans="4:7">
      <c r="D32" s="159" t="s">
        <v>150</v>
      </c>
      <c r="E32" s="159" t="s">
        <v>96</v>
      </c>
      <c r="F32" s="159" t="s">
        <v>50</v>
      </c>
      <c r="G32" s="159" t="s">
        <v>151</v>
      </c>
    </row>
    <row r="33" spans="4:7">
      <c r="D33" s="159" t="s">
        <v>152</v>
      </c>
      <c r="E33" s="159" t="s">
        <v>97</v>
      </c>
      <c r="F33" s="159" t="s">
        <v>50</v>
      </c>
      <c r="G33" s="159" t="s">
        <v>153</v>
      </c>
    </row>
  </sheetData>
  <dataValidations count="1">
    <dataValidation type="list" allowBlank="1" showInputMessage="1" showErrorMessage="1" errorTitle="undefined" error="undefined" promptTitle="undefined" prompt="undefined" sqref="F2:F33" xr:uid="{53AD831C-603D-41F5-AAFE-D42454822EF1}">
      <formula1>$B$4:$B$11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Obra</vt:lpstr>
      <vt:lpstr>Catalogos</vt:lpstr>
      <vt:lpstr>'Formato Obra'!Área_de_impresión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created xsi:type="dcterms:W3CDTF">2026-06-24T16:34:35Z</dcterms:created>
  <dcterms:modified xsi:type="dcterms:W3CDTF">2026-06-24T17:31:13Z</dcterms:modified>
</cp:coreProperties>
</file>