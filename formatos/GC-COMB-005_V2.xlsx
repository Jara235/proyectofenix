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JOSE\Desktop\Proyecto fenix\"/>
    </mc:Choice>
  </mc:AlternateContent>
  <xr:revisionPtr revIDLastSave="0" documentId="13_ncr:1_{699A1EF5-9640-4056-9609-9982B97E1DC3}" xr6:coauthVersionLast="47" xr6:coauthVersionMax="47" xr10:uidLastSave="{00000000-0000-0000-0000-000000000000}"/>
  <bookViews>
    <workbookView xWindow="2688" yWindow="2688" windowWidth="17280" windowHeight="8880" xr2:uid="{00000000-000D-0000-FFFF-FFFF00000000}" activeTab="0"/>
  </bookViews>
  <sheets>
    <sheet name="Bitácora de Tanque" sheetId="1" r:id="rId1"/>
    <sheet name="Tabla de Cubicación" sheetId="2" r:id="rId2"/>
    <sheet name="Catalogos" sheetId="3" r:id="rId7" state="hidden"/>
  </sheets>
  <definedNames>
    <definedName name="_xlnm.Print_Area" localSheetId="0">'Bitácora de Tanque'!$B$1:$M$29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<sst xmlns="http://schemas.openxmlformats.org/spreadsheetml/2006/main">
  <si>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GC-COMB-005: CONTROL DIARIO Y CONCILIACIÓN DE TANQUE DE COMBUSTIBLE (20,000 L)</t>
  </si>
  <si>
    <t>Semana No.:</t>
  </si>
  <si>
    <t/>
  </si>
  <si>
    <t>Responsable del Tanque:</t>
  </si>
  <si>
    <t>Capacidad del Tanque:</t>
  </si>
  <si>
    <t>20,000 Litros (2.41m x 2.40m x 4.62m)</t>
  </si>
  <si>
    <t>Semana del:</t>
  </si>
  <si>
    <t>al:</t>
  </si>
  <si>
    <t>Observaciones:</t>
  </si>
  <si>
    <t>1. BALANCE DIARIO DE ENTRADAS, SALIDAS E INVENTARIO DE COMBUSTIBLE</t>
  </si>
  <si>
    <t>FECHA (DÍA)</t>
  </si>
  <si>
    <t>INV. INICIAL (L)</t>
  </si>
  <si>
    <t>ENTRADA MARIMBA (L)</t>
  </si>
  <si>
    <t>ENTRADA GH (L)</t>
  </si>
  <si>
    <t>TICKET / REMISIÓN</t>
  </si>
  <si>
    <t>SALIDA PLANTA (L)</t>
  </si>
  <si>
    <t>SALIDA OBRAS (L)</t>
  </si>
  <si>
    <t>SALIDA MARIMBA (L)</t>
  </si>
  <si>
    <t>INV. TEÓRICO (L)</t>
  </si>
  <si>
    <t>ALTURA (CM)</t>
  </si>
  <si>
    <t>INV. FÍSICO (L)</t>
  </si>
  <si>
    <t>DIFERENCIA (L)</t>
  </si>
  <si>
    <t>LUNES</t>
  </si>
  <si>
    <t>MARTES</t>
  </si>
  <si>
    <t>MIERCOLES</t>
  </si>
  <si>
    <t>JUEVES</t>
  </si>
  <si>
    <t>VIERNES</t>
  </si>
  <si>
    <t>SÁBADO</t>
  </si>
  <si>
    <t>TOTALES SEMANALES:</t>
  </si>
  <si>
    <t>2. REGISTRO Y CONCILIACIÓN DE TICKETS DE GASOLINERA HUIXQUILUCAN (GH)</t>
  </si>
  <si>
    <t>FECHA</t>
  </si>
  <si>
    <t>NÚMERO DE TICKET</t>
  </si>
  <si>
    <t>LITROS TICKET (A)</t>
  </si>
  <si>
    <t>RECEP. EN TANQUE (B)</t>
  </si>
  <si>
    <t>DIFERENCIA (B - A)</t>
  </si>
  <si>
    <t>ESTADO COTEJO</t>
  </si>
  <si>
    <t>COMENTARIOS / OBSERVACIONES</t>
  </si>
  <si>
    <t>TOTAL CONCILIACIÓN GH:</t>
  </si>
  <si>
    <t>VOLUMEN CALIBRADO (L)</t>
  </si>
  <si>
    <t xml:space="preserve">Folio Ticket</t>
  </si>
  <si>
    <t xml:space="preserve">Fecha</t>
  </si>
  <si>
    <t xml:space="preserve">Hora</t>
  </si>
  <si>
    <t xml:space="preserve">Origen</t>
  </si>
  <si>
    <t xml:space="preserve">Destino</t>
  </si>
  <si>
    <t xml:space="preserve">Litros</t>
  </si>
  <si>
    <t xml:space="preserve">Firma</t>
  </si>
  <si>
    <t xml:space="preserve">Obras</t>
  </si>
  <si>
    <t xml:space="preserve">Eco</t>
  </si>
  <si>
    <t xml:space="preserve">México-Toluca</t>
  </si>
  <si>
    <t xml:space="preserve">Gasolinera Huixquilucan</t>
  </si>
  <si>
    <t xml:space="preserve">RT-03</t>
  </si>
  <si>
    <t xml:space="preserve">Lerma - Tres Marías</t>
  </si>
  <si>
    <t xml:space="preserve">Tanque Pegaso</t>
  </si>
  <si>
    <t xml:space="preserve">VG-01</t>
  </si>
  <si>
    <t xml:space="preserve">No aplica</t>
  </si>
  <si>
    <t xml:space="preserve">Planta Asfalto Pegaso</t>
  </si>
  <si>
    <t xml:space="preserve">VG-02</t>
  </si>
  <si>
    <t xml:space="preserve">Chamapa-Lechería</t>
  </si>
  <si>
    <t xml:space="preserve">Marimba M-01</t>
  </si>
  <si>
    <t xml:space="preserve">VG-03</t>
  </si>
  <si>
    <t xml:space="preserve">Bacheo Toluca</t>
  </si>
  <si>
    <t xml:space="preserve">Carga directa</t>
  </si>
  <si>
    <t xml:space="preserve">PR-01</t>
  </si>
  <si>
    <t xml:space="preserve">Planta Asfaltos</t>
  </si>
  <si>
    <t xml:space="preserve">PR-02</t>
  </si>
  <si>
    <t xml:space="preserve">Planta Asflato Huixquilucan</t>
  </si>
  <si>
    <t xml:space="preserve">Entrada</t>
  </si>
  <si>
    <t xml:space="preserve">BR-01</t>
  </si>
  <si>
    <t xml:space="preserve">Dragones</t>
  </si>
  <si>
    <t xml:space="preserve">Salida</t>
  </si>
  <si>
    <t xml:space="preserve">BR-02</t>
  </si>
  <si>
    <t xml:space="preserve">Jalisco</t>
  </si>
  <si>
    <t xml:space="preserve">BR-03</t>
  </si>
  <si>
    <t xml:space="preserve">BR-04</t>
  </si>
  <si>
    <t xml:space="preserve">DR-01</t>
  </si>
  <si>
    <t xml:space="preserve">DR-02</t>
  </si>
  <si>
    <t xml:space="preserve">TD-01</t>
  </si>
  <si>
    <t xml:space="preserve">VC-01</t>
  </si>
  <si>
    <t xml:space="preserve">NM-01</t>
  </si>
  <si>
    <t xml:space="preserve">NM-02</t>
  </si>
  <si>
    <t xml:space="preserve">CPR-01</t>
  </si>
  <si>
    <t xml:space="preserve">CPR-02</t>
  </si>
  <si>
    <t xml:space="preserve">RT-04</t>
  </si>
  <si>
    <t xml:space="preserve">BR-05</t>
  </si>
  <si>
    <t xml:space="preserve">RT-05</t>
  </si>
  <si>
    <t xml:space="preserve">BR-06</t>
  </si>
  <si>
    <t xml:space="preserve">DR-03</t>
  </si>
  <si>
    <t xml:space="preserve">BG-01</t>
  </si>
  <si>
    <t xml:space="preserve">CI-01</t>
  </si>
  <si>
    <t xml:space="preserve">CI-02</t>
  </si>
  <si>
    <t xml:space="preserve">PT-01</t>
  </si>
  <si>
    <t xml:space="preserve">PT-02</t>
  </si>
  <si>
    <t xml:space="preserve">PP-01</t>
  </si>
  <si>
    <t xml:space="preserve">DR-04</t>
  </si>
  <si>
    <t xml:space="preserve">S/N (WIRGENT)</t>
  </si>
  <si>
    <t xml:space="preserve">S/N (IR185)</t>
  </si>
  <si>
    <t xml:space="preserve">Ingeniero</t>
  </si>
  <si>
    <t xml:space="preserve">Tipo de Equipo</t>
  </si>
  <si>
    <t xml:space="preserve">No. Económico</t>
  </si>
  <si>
    <t xml:space="preserve">Obra Asignada</t>
  </si>
  <si>
    <t xml:space="preserve">Operador Asignado</t>
  </si>
  <si>
    <t xml:space="preserve">Obra</t>
  </si>
  <si>
    <t xml:space="preserve">Iniciales</t>
  </si>
  <si>
    <t xml:space="preserve">Francisco Javier</t>
  </si>
  <si>
    <t xml:space="preserve">RETROEXCAVADORA CASE 580 N</t>
  </si>
  <si>
    <t xml:space="preserve">LT</t>
  </si>
  <si>
    <t xml:space="preserve">Apolinar</t>
  </si>
  <si>
    <t xml:space="preserve">PAVIMENTADORA  VOGELE 1800-3 i</t>
  </si>
  <si>
    <t xml:space="preserve">Gerardo Ezequiel Piña Fernández</t>
  </si>
  <si>
    <t xml:space="preserve">MT</t>
  </si>
  <si>
    <t xml:space="preserve">Diego Carreola</t>
  </si>
  <si>
    <t xml:space="preserve">PAVIMENTADORA  VOGELE 1800-2 SJ</t>
  </si>
  <si>
    <t xml:space="preserve">CL</t>
  </si>
  <si>
    <t xml:space="preserve">Janeth</t>
  </si>
  <si>
    <t xml:space="preserve">PAVIMENTADORA  VOGELE SJ 1800-3</t>
  </si>
  <si>
    <t xml:space="preserve">Jose de Jesus Eusebio Martinez</t>
  </si>
  <si>
    <t xml:space="preserve">BT</t>
  </si>
  <si>
    <t xml:space="preserve">Luis</t>
  </si>
  <si>
    <t xml:space="preserve">PERFILADORA RODATEC RX600-4-4008</t>
  </si>
  <si>
    <t xml:space="preserve">PAP</t>
  </si>
  <si>
    <t xml:space="preserve">PERFILADORA RODATEC RX600E</t>
  </si>
  <si>
    <t xml:space="preserve">Alan Alexis Gutierrez Flores</t>
  </si>
  <si>
    <t xml:space="preserve">DR</t>
  </si>
  <si>
    <t xml:space="preserve">BARREDORA BROCE RJ350</t>
  </si>
  <si>
    <t xml:space="preserve">Edgar Rosales Martinez</t>
  </si>
  <si>
    <t xml:space="preserve">BARREDORA LAYMOR SM400</t>
  </si>
  <si>
    <t xml:space="preserve">BARREDORA SUPERIOR BROOM DT80J</t>
  </si>
  <si>
    <t xml:space="preserve">Fernando Angeles Reyes</t>
  </si>
  <si>
    <t xml:space="preserve">DOBLE RODILLO/VIBROCOMPACTADOR DE RODILLOS HAMM 120HD VV</t>
  </si>
  <si>
    <t xml:space="preserve">POR ASIGNAR</t>
  </si>
  <si>
    <t xml:space="preserve">DOBLE RODILLO/VIBROCOMPACTADOR DE RODILLOS HAMM 140HD</t>
  </si>
  <si>
    <t xml:space="preserve">Julián Piña Hernández</t>
  </si>
  <si>
    <t xml:space="preserve">TANDEM DOBLE RODILLO / VIBROCOMPACTOR RODILLO CAT CB54</t>
  </si>
  <si>
    <t xml:space="preserve">VIBROCOMPACTADOR CATERPILLAR CB66B</t>
  </si>
  <si>
    <t xml:space="preserve">Jose Manuel Reyes Flores</t>
  </si>
  <si>
    <t xml:space="preserve">NEUMATICO / COMPACTADOR DE NEUMATICOS DINAPAC CP271</t>
  </si>
  <si>
    <t xml:space="preserve">Marco Antonio Estrada Arellano</t>
  </si>
  <si>
    <t xml:space="preserve">NEUMATICO VOLVO PT-240R</t>
  </si>
  <si>
    <t xml:space="preserve">Luis Fernando Mendiola Vivero</t>
  </si>
  <si>
    <t xml:space="preserve">COMPRESOR  SULLIVAN PALATEK D2010</t>
  </si>
  <si>
    <t xml:space="preserve">Eduardo Guadarrama Garcia</t>
  </si>
  <si>
    <t xml:space="preserve">RETROEXCAVADORA CASE 420DN</t>
  </si>
  <si>
    <t xml:space="preserve">BARREDORA BROCE BROOM KR350</t>
  </si>
  <si>
    <t xml:space="preserve">RETROEXCAVADORA JHONDEREE 310SK</t>
  </si>
  <si>
    <t xml:space="preserve">Adolfo Nava Lopez</t>
  </si>
  <si>
    <t xml:space="preserve">DOBLE RODILLO   INGERSOLL RAND DD-108HF</t>
  </si>
  <si>
    <t xml:space="preserve">TRASFER BUGGI RODATEC</t>
  </si>
  <si>
    <t xml:space="preserve">IMPACTO FORD 4300</t>
  </si>
  <si>
    <t xml:space="preserve">IMPACTO FORD F800</t>
  </si>
  <si>
    <t xml:space="preserve">Marco Antonio Millan Centeno</t>
  </si>
  <si>
    <t xml:space="preserve">PETROLIZADORA (IMPACTO 04) FORD F800</t>
  </si>
  <si>
    <t xml:space="preserve">PETROLIZADORA    INTERNATIONAL</t>
  </si>
  <si>
    <t xml:space="preserve">Francisco Gomora Angeles / Elthon Eduardo</t>
  </si>
  <si>
    <t xml:space="preserve">PIPA DE AGUA (IMPACTO 01) FORD</t>
  </si>
  <si>
    <t xml:space="preserve">DOBLE RODILLO RAD ROLLER FILY-325 PRO</t>
  </si>
  <si>
    <t xml:space="preserve">PERFILADORA WIRGENT-W200i</t>
  </si>
  <si>
    <t xml:space="preserve">Alejandro de Jesus Fuentes Tapia</t>
  </si>
  <si>
    <t xml:space="preserve">COMPRESOR INGERSOLL RAND IR185</t>
  </si>
  <si>
    <t xml:space="preserve">Jose Carlos Romero Tellez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</si>
</sst>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0.0"/>
  </numFmts>
  <fonts>
    <font>
      <sz val="11"/>
      <color theme="1"/>
      <name val="Calibri"/>
      <family val="2"/>
      <scheme val="minor"/>
    </font>
    <font>
      <b/>
      <sz val="13"/>
      <color rgb="FFFFFFFF"/>
      <name val="Segoe UI"/>
    </font>
    <font>
      <b/>
      <sz val="10"/>
      <name val="Segoe UI"/>
    </font>
    <font>
      <sz val="11"/>
      <name val="Calibri"/>
    </font>
    <font>
      <b/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b/>
      <sz val="10"/>
      <name val="Segoe UI"/>
    </font>
    <font>
      <b/>
      <sz val="9.5"/>
      <color rgb="FF595959"/>
      <name val="Segoe UI"/>
    </font>
    <font>
      <b/>
      <sz val="9.5"/>
      <color rgb="FF595959"/>
      <name val="Segoe UI"/>
    </font>
    <font>
      <b/>
      <sz val="9.5"/>
      <color rgb="FF595959"/>
      <name val="Segoe UI"/>
    </font>
    <font>
      <b/>
      <sz val="10"/>
      <name val="Segoe UI"/>
    </font>
    <font>
      <sz val="11"/>
      <name val="Calibri"/>
    </font>
    <font>
      <b/>
      <sz val="10"/>
      <name val="Segoe UI"/>
    </font>
    <font>
      <sz val="11"/>
      <name val="Calibri"/>
    </font>
    <font>
      <b/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1F4E78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b/>
      <sz val="9.5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Segoe UI"/>
    </font>
    <font>
      <b/>
      <sz val="10"/>
      <name val="Segoe UI"/>
    </font>
    <font>
      <b/>
      <sz val="10"/>
      <name val="Segoe UI"/>
    </font>
    <font>
      <b/>
      <sz val="9.5"/>
      <name val="Segoe U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Segoe UI"/>
    </font>
    <font>
      <b/>
      <sz val="10"/>
      <name val="Segoe UI"/>
    </font>
    <font>
      <b/>
      <sz val="10"/>
      <name val="Segoe UI"/>
    </font>
    <font>
      <b/>
      <sz val="9.5"/>
      <name val="Segoe U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Segoe UI"/>
    </font>
    <font>
      <b/>
      <sz val="10"/>
      <name val="Segoe UI"/>
    </font>
    <font>
      <b/>
      <sz val="10"/>
      <name val="Segoe UI"/>
    </font>
    <font>
      <b/>
      <sz val="9.5"/>
      <name val="Segoe U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Segoe UI"/>
    </font>
    <font>
      <b/>
      <sz val="10"/>
      <name val="Segoe UI"/>
    </font>
    <font>
      <b/>
      <sz val="10"/>
      <name val="Segoe UI"/>
    </font>
    <font>
      <b/>
      <sz val="9.5"/>
      <name val="Segoe U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Segoe UI"/>
    </font>
    <font>
      <b/>
      <sz val="10"/>
      <name val="Segoe UI"/>
    </font>
    <font>
      <b/>
      <sz val="10"/>
      <name val="Segoe UI"/>
    </font>
    <font>
      <b/>
      <sz val="9.5"/>
      <name val="Segoe U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Segoe UI"/>
    </font>
    <font>
      <b/>
      <sz val="10"/>
      <name val="Segoe UI"/>
    </font>
    <font>
      <b/>
      <sz val="10"/>
      <name val="Segoe UI"/>
    </font>
    <font>
      <b/>
      <sz val="10"/>
      <color rgb="FF1F4E78"/>
      <name val="Segoe UI"/>
    </font>
    <font>
      <b/>
      <sz val="10"/>
      <color rgb="FF1F4E78"/>
      <name val="Segoe UI"/>
    </font>
    <font>
      <b/>
      <sz val="10"/>
      <color rgb="FF1F4E78"/>
      <name val="Segoe UI"/>
    </font>
    <font>
      <b/>
      <sz val="10"/>
      <color rgb="FF1F4E78"/>
      <name val="Segoe UI"/>
    </font>
    <font>
      <b/>
      <sz val="10"/>
      <color rgb="FF1F4E78"/>
      <name val="Segoe UI"/>
    </font>
    <font>
      <b/>
      <sz val="10"/>
      <color rgb="FF1F4E78"/>
      <name val="Segoe UI"/>
    </font>
    <font>
      <b/>
      <sz val="10"/>
      <color rgb="FF1F4E78"/>
      <name val="Segoe UI"/>
    </font>
    <font>
      <b/>
      <sz val="10"/>
      <color rgb="FF1F4E78"/>
      <name val="Segoe UI"/>
    </font>
    <font>
      <b/>
      <sz val="10"/>
      <color rgb="FF1F4E78"/>
      <name val="Segoe U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1F4E78"/>
      <name val="Segoe UI"/>
    </font>
    <font>
      <b/>
      <sz val="9.5"/>
      <name val="Segoe UI"/>
    </font>
    <font>
      <b/>
      <sz val="9.5"/>
      <name val="Segoe UI"/>
    </font>
    <font>
      <b/>
      <sz val="9.5"/>
      <name val="Segoe UI"/>
    </font>
    <font>
      <b/>
      <sz val="9.5"/>
      <name val="Segoe UI"/>
    </font>
    <font>
      <b/>
      <sz val="9.5"/>
      <name val="Segoe UI"/>
    </font>
    <font>
      <b/>
      <sz val="9.5"/>
      <name val="Segoe UI"/>
    </font>
    <font>
      <b/>
      <sz val="9.5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b/>
      <sz val="9.5"/>
      <name val="Segoe UI"/>
    </font>
    <font>
      <b/>
      <sz val="9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b/>
      <sz val="9.5"/>
      <name val="Segoe UI"/>
    </font>
    <font>
      <b/>
      <sz val="9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b/>
      <sz val="9.5"/>
      <name val="Segoe UI"/>
    </font>
    <font>
      <b/>
      <sz val="9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b/>
      <sz val="9.5"/>
      <name val="Segoe UI"/>
    </font>
    <font>
      <b/>
      <sz val="9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b/>
      <sz val="9.5"/>
      <name val="Segoe UI"/>
    </font>
    <font>
      <b/>
      <sz val="9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b/>
      <sz val="9.5"/>
      <name val="Segoe UI"/>
    </font>
    <font>
      <b/>
      <sz val="9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b/>
      <sz val="9.5"/>
      <name val="Segoe UI"/>
    </font>
    <font>
      <b/>
      <sz val="9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b/>
      <sz val="9.5"/>
      <name val="Segoe UI"/>
    </font>
    <font>
      <b/>
      <sz val="9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sz val="9.5"/>
      <name val="Segoe UI"/>
    </font>
    <font>
      <b/>
      <sz val="10"/>
      <color rgb="FF1F4E78"/>
      <name val="Segoe UI"/>
    </font>
    <font>
      <b/>
      <sz val="10"/>
      <color rgb="FF1F4E78"/>
      <name val="Segoe UI"/>
    </font>
    <font>
      <b/>
      <sz val="10"/>
      <color rgb="FF1F4E78"/>
      <name val="Segoe UI"/>
    </font>
    <font>
      <b/>
      <sz val="10"/>
      <color rgb="FF1F4E78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0"/>
      <name val="Segoe UI"/>
    </font>
    <font>
      <b/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</fonts>
  <fills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FF0"/>
      </patternFill>
    </fill>
    <fill>
      <patternFill patternType="solid">
        <fgColor rgb="FFF9F9F9"/>
      </patternFill>
    </fill>
    <fill>
      <patternFill patternType="solid">
        <fgColor rgb="FFF2F9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9F9F9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FF0"/>
      </patternFill>
    </fill>
    <fill>
      <patternFill patternType="solid">
        <fgColor rgb="FFF9F9F9"/>
      </patternFill>
    </fill>
    <fill>
      <patternFill patternType="solid">
        <fgColor rgb="FFF2F9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9F9F9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FF0"/>
      </patternFill>
    </fill>
    <fill>
      <patternFill patternType="solid">
        <fgColor rgb="FFF9F9F9"/>
      </patternFill>
    </fill>
    <fill>
      <patternFill patternType="solid">
        <fgColor rgb="FFF2F9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9F9F9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FF0"/>
      </patternFill>
    </fill>
    <fill>
      <patternFill patternType="solid">
        <fgColor rgb="FFF9F9F9"/>
      </patternFill>
    </fill>
    <fill>
      <patternFill patternType="solid">
        <fgColor rgb="FFF2F9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9F9F9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FF0"/>
      </patternFill>
    </fill>
    <fill>
      <patternFill patternType="solid">
        <fgColor rgb="FFF9F9F9"/>
      </patternFill>
    </fill>
    <fill>
      <patternFill patternType="solid">
        <fgColor rgb="FFF2F9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9F9F9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FF0"/>
      </patternFill>
    </fill>
    <fill>
      <patternFill patternType="solid">
        <fgColor rgb="FFF9F9F9"/>
      </patternFill>
    </fill>
    <fill>
      <patternFill patternType="solid">
        <fgColor rgb="FFF2F9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>
    <xf numFmtId="0" fontId="0" fillId="0" borderId="0" xfId="0"/>
    <xf numFmtId="0" fontId="2" fillId="3" borderId="2" xfId="0" applyFont="1" applyFill="1" applyBorder="1"/>
    <xf numFmtId="0" fontId="3" fillId="4" borderId="3" xfId="0" applyFont="1" applyFill="1" applyBorder="1"/>
    <xf numFmtId="0" fontId="4" fillId="5" borderId="4" xfId="0" applyFont="1" applyFill="1" applyBorder="1"/>
    <xf numFmtId="0" fontId="8" fillId="9" borderId="8" xfId="0" applyFont="1" applyFill="1" applyBorder="1"/>
    <xf numFmtId="0" fontId="12" fillId="13" borderId="12" xfId="0" applyFont="1" applyFill="1" applyBorder="1"/>
    <xf numFmtId="0" fontId="13" fillId="14" borderId="13" xfId="0" applyFont="1" applyFill="1" applyBorder="1"/>
    <xf numFmtId="0" fontId="14" fillId="15" borderId="14" xfId="0" applyFont="1" applyFill="1" applyBorder="1" applyAlignment="1">
      <alignment horizontal="center"/>
    </xf>
    <xf numFmtId="0" fontId="15" fillId="16" borderId="15" xfId="0" applyFont="1" applyFill="1" applyBorder="1"/>
    <xf numFmtId="0" fontId="16" fillId="17" borderId="16" xfId="0" applyFont="1" applyFill="1" applyBorder="1"/>
    <xf numFmtId="0" fontId="25" fillId="26" borderId="25" xfId="0" applyFont="1" applyFill="1" applyBorder="1" applyAlignment="1">
      <alignment horizontal="center" vertical="center" wrapText="1"/>
    </xf>
    <xf numFmtId="0" fontId="26" fillId="27" borderId="26" xfId="0" applyFont="1" applyFill="1" applyBorder="1" applyAlignment="1">
      <alignment horizontal="center" vertical="center" wrapText="1"/>
    </xf>
    <xf numFmtId="0" fontId="27" fillId="28" borderId="27" xfId="0" applyFont="1" applyFill="1" applyBorder="1" applyAlignment="1">
      <alignment horizontal="center" vertical="center" wrapText="1"/>
    </xf>
    <xf numFmtId="0" fontId="28" fillId="29" borderId="28" xfId="0" applyFont="1" applyFill="1" applyBorder="1" applyAlignment="1">
      <alignment horizontal="center" vertical="center" wrapText="1"/>
    </xf>
    <xf numFmtId="0" fontId="29" fillId="30" borderId="29" xfId="0" applyFont="1" applyFill="1" applyBorder="1" applyAlignment="1">
      <alignment horizontal="center" vertical="center" wrapText="1"/>
    </xf>
    <xf numFmtId="0" fontId="30" fillId="31" borderId="30" xfId="0" applyFont="1" applyFill="1" applyBorder="1" applyAlignment="1">
      <alignment horizontal="center" vertical="center" wrapText="1"/>
    </xf>
    <xf numFmtId="0" fontId="31" fillId="32" borderId="31" xfId="0" applyFont="1" applyFill="1" applyBorder="1" applyAlignment="1">
      <alignment horizontal="center" vertical="center" wrapText="1"/>
    </xf>
    <xf numFmtId="0" fontId="32" fillId="33" borderId="32" xfId="0" applyFont="1" applyFill="1" applyBorder="1" applyAlignment="1">
      <alignment horizontal="center" vertical="center" wrapText="1"/>
    </xf>
    <xf numFmtId="0" fontId="33" fillId="34" borderId="33" xfId="0" applyFont="1" applyFill="1" applyBorder="1" applyAlignment="1">
      <alignment horizontal="center" vertical="center" wrapText="1"/>
    </xf>
    <xf numFmtId="0" fontId="34" fillId="35" borderId="34" xfId="0" applyFont="1" applyFill="1" applyBorder="1" applyAlignment="1">
      <alignment horizontal="center" vertical="center" wrapText="1"/>
    </xf>
    <xf numFmtId="0" fontId="35" fillId="36" borderId="35" xfId="0" applyFont="1" applyFill="1" applyBorder="1" applyAlignment="1">
      <alignment horizontal="center" vertical="center" wrapText="1"/>
    </xf>
    <xf numFmtId="0" fontId="36" fillId="37" borderId="36" xfId="0" applyFont="1" applyFill="1" applyBorder="1" applyAlignment="1">
      <alignment horizontal="center" vertical="center" wrapText="1"/>
    </xf>
    <xf numFmtId="0" fontId="37" fillId="38" borderId="37" xfId="0" applyFont="1" applyFill="1" applyBorder="1" applyAlignment="1">
      <alignment horizontal="center"/>
    </xf>
    <xf numFmtId="4" fontId="38" fillId="39" borderId="38" xfId="0" applyNumberFormat="1" applyFont="1" applyFill="1" applyBorder="1" applyAlignment="1">
      <alignment horizontal="right"/>
    </xf>
    <xf numFmtId="4" fontId="39" fillId="40" borderId="39" xfId="0" applyNumberFormat="1" applyFont="1" applyFill="1" applyBorder="1" applyAlignment="1">
      <alignment horizontal="right"/>
    </xf>
    <xf numFmtId="4" fontId="40" fillId="41" borderId="40" xfId="0" applyNumberFormat="1" applyFont="1" applyFill="1" applyBorder="1" applyAlignment="1">
      <alignment horizontal="right"/>
    </xf>
    <xf numFmtId="0" fontId="41" fillId="42" borderId="41" xfId="0" applyFont="1" applyFill="1" applyBorder="1" applyAlignment="1">
      <alignment horizontal="center"/>
    </xf>
    <xf numFmtId="4" fontId="42" fillId="43" borderId="42" xfId="0" applyNumberFormat="1" applyFont="1" applyFill="1" applyBorder="1" applyAlignment="1">
      <alignment horizontal="right"/>
    </xf>
    <xf numFmtId="4" fontId="43" fillId="44" borderId="43" xfId="0" applyNumberFormat="1" applyFont="1" applyFill="1" applyBorder="1" applyAlignment="1">
      <alignment horizontal="right"/>
    </xf>
    <xf numFmtId="4" fontId="44" fillId="45" borderId="44" xfId="0" applyNumberFormat="1" applyFont="1" applyFill="1" applyBorder="1" applyAlignment="1">
      <alignment horizontal="right"/>
    </xf>
    <xf numFmtId="164" fontId="45" fillId="46" borderId="45" xfId="0" applyNumberFormat="1" applyFont="1" applyFill="1" applyBorder="1" applyAlignment="1">
      <alignment horizontal="center"/>
    </xf>
    <xf numFmtId="4" fontId="46" fillId="47" borderId="46" xfId="0" applyNumberFormat="1" applyFont="1" applyFill="1" applyBorder="1" applyAlignment="1">
      <alignment horizontal="right"/>
    </xf>
    <xf numFmtId="4" fontId="47" fillId="48" borderId="47" xfId="0" applyNumberFormat="1" applyFont="1" applyFill="1" applyBorder="1" applyAlignment="1">
      <alignment horizontal="right"/>
    </xf>
    <xf numFmtId="4" fontId="48" fillId="49" borderId="48" xfId="0" applyNumberFormat="1" applyFont="1" applyFill="1" applyBorder="1" applyAlignment="1">
      <alignment horizontal="right"/>
    </xf>
    <xf numFmtId="0" fontId="49" fillId="50" borderId="49" xfId="0" applyFont="1" applyFill="1" applyBorder="1" applyAlignment="1">
      <alignment horizontal="center"/>
    </xf>
    <xf numFmtId="4" fontId="50" fillId="51" borderId="50" xfId="0" applyNumberFormat="1" applyFont="1" applyFill="1" applyBorder="1" applyAlignment="1">
      <alignment horizontal="right"/>
    </xf>
    <xf numFmtId="4" fontId="51" fillId="52" borderId="51" xfId="0" applyNumberFormat="1" applyFont="1" applyFill="1" applyBorder="1" applyAlignment="1">
      <alignment horizontal="right"/>
    </xf>
    <xf numFmtId="4" fontId="52" fillId="53" borderId="52" xfId="0" applyNumberFormat="1" applyFont="1" applyFill="1" applyBorder="1" applyAlignment="1">
      <alignment horizontal="right"/>
    </xf>
    <xf numFmtId="0" fontId="53" fillId="54" borderId="53" xfId="0" applyFont="1" applyFill="1" applyBorder="1" applyAlignment="1">
      <alignment horizontal="center"/>
    </xf>
    <xf numFmtId="4" fontId="54" fillId="55" borderId="54" xfId="0" applyNumberFormat="1" applyFont="1" applyFill="1" applyBorder="1" applyAlignment="1">
      <alignment horizontal="right"/>
    </xf>
    <xf numFmtId="4" fontId="55" fillId="56" borderId="55" xfId="0" applyNumberFormat="1" applyFont="1" applyFill="1" applyBorder="1" applyAlignment="1">
      <alignment horizontal="right"/>
    </xf>
    <xf numFmtId="4" fontId="56" fillId="57" borderId="56" xfId="0" applyNumberFormat="1" applyFont="1" applyFill="1" applyBorder="1" applyAlignment="1">
      <alignment horizontal="right"/>
    </xf>
    <xf numFmtId="164" fontId="57" fillId="58" borderId="57" xfId="0" applyNumberFormat="1" applyFont="1" applyFill="1" applyBorder="1" applyAlignment="1">
      <alignment horizontal="center"/>
    </xf>
    <xf numFmtId="4" fontId="58" fillId="59" borderId="58" xfId="0" applyNumberFormat="1" applyFont="1" applyFill="1" applyBorder="1" applyAlignment="1">
      <alignment horizontal="right"/>
    </xf>
    <xf numFmtId="4" fontId="59" fillId="60" borderId="59" xfId="0" applyNumberFormat="1" applyFont="1" applyFill="1" applyBorder="1" applyAlignment="1">
      <alignment horizontal="right"/>
    </xf>
    <xf numFmtId="4" fontId="60" fillId="61" borderId="60" xfId="0" applyNumberFormat="1" applyFont="1" applyFill="1" applyBorder="1" applyAlignment="1">
      <alignment horizontal="right"/>
    </xf>
    <xf numFmtId="0" fontId="61" fillId="62" borderId="61" xfId="0" applyFont="1" applyFill="1" applyBorder="1" applyAlignment="1">
      <alignment horizontal="center"/>
    </xf>
    <xf numFmtId="4" fontId="62" fillId="63" borderId="62" xfId="0" applyNumberFormat="1" applyFont="1" applyFill="1" applyBorder="1" applyAlignment="1">
      <alignment horizontal="right"/>
    </xf>
    <xf numFmtId="4" fontId="63" fillId="64" borderId="63" xfId="0" applyNumberFormat="1" applyFont="1" applyFill="1" applyBorder="1" applyAlignment="1">
      <alignment horizontal="right"/>
    </xf>
    <xf numFmtId="4" fontId="64" fillId="65" borderId="64" xfId="0" applyNumberFormat="1" applyFont="1" applyFill="1" applyBorder="1" applyAlignment="1">
      <alignment horizontal="right"/>
    </xf>
    <xf numFmtId="0" fontId="65" fillId="66" borderId="65" xfId="0" applyFont="1" applyFill="1" applyBorder="1" applyAlignment="1">
      <alignment horizontal="center"/>
    </xf>
    <xf numFmtId="4" fontId="66" fillId="67" borderId="66" xfId="0" applyNumberFormat="1" applyFont="1" applyFill="1" applyBorder="1" applyAlignment="1">
      <alignment horizontal="right"/>
    </xf>
    <xf numFmtId="4" fontId="67" fillId="68" borderId="67" xfId="0" applyNumberFormat="1" applyFont="1" applyFill="1" applyBorder="1" applyAlignment="1">
      <alignment horizontal="right"/>
    </xf>
    <xf numFmtId="4" fontId="68" fillId="69" borderId="68" xfId="0" applyNumberFormat="1" applyFont="1" applyFill="1" applyBorder="1" applyAlignment="1">
      <alignment horizontal="right"/>
    </xf>
    <xf numFmtId="164" fontId="69" fillId="70" borderId="69" xfId="0" applyNumberFormat="1" applyFont="1" applyFill="1" applyBorder="1" applyAlignment="1">
      <alignment horizontal="center"/>
    </xf>
    <xf numFmtId="4" fontId="70" fillId="71" borderId="70" xfId="0" applyNumberFormat="1" applyFont="1" applyFill="1" applyBorder="1" applyAlignment="1">
      <alignment horizontal="right"/>
    </xf>
    <xf numFmtId="4" fontId="71" fillId="72" borderId="71" xfId="0" applyNumberFormat="1" applyFont="1" applyFill="1" applyBorder="1" applyAlignment="1">
      <alignment horizontal="right"/>
    </xf>
    <xf numFmtId="4" fontId="72" fillId="73" borderId="72" xfId="0" applyNumberFormat="1" applyFont="1" applyFill="1" applyBorder="1" applyAlignment="1">
      <alignment horizontal="right"/>
    </xf>
    <xf numFmtId="0" fontId="73" fillId="74" borderId="73" xfId="0" applyFont="1" applyFill="1" applyBorder="1" applyAlignment="1">
      <alignment horizontal="center"/>
    </xf>
    <xf numFmtId="4" fontId="74" fillId="75" borderId="74" xfId="0" applyNumberFormat="1" applyFont="1" applyFill="1" applyBorder="1" applyAlignment="1">
      <alignment horizontal="right"/>
    </xf>
    <xf numFmtId="4" fontId="75" fillId="76" borderId="75" xfId="0" applyNumberFormat="1" applyFont="1" applyFill="1" applyBorder="1" applyAlignment="1">
      <alignment horizontal="right"/>
    </xf>
    <xf numFmtId="4" fontId="76" fillId="77" borderId="76" xfId="0" applyNumberFormat="1" applyFont="1" applyFill="1" applyBorder="1" applyAlignment="1">
      <alignment horizontal="right"/>
    </xf>
    <xf numFmtId="0" fontId="77" fillId="78" borderId="77" xfId="0" applyFont="1" applyFill="1" applyBorder="1" applyAlignment="1">
      <alignment horizontal="center"/>
    </xf>
    <xf numFmtId="4" fontId="78" fillId="79" borderId="78" xfId="0" applyNumberFormat="1" applyFont="1" applyFill="1" applyBorder="1" applyAlignment="1">
      <alignment horizontal="right"/>
    </xf>
    <xf numFmtId="4" fontId="79" fillId="80" borderId="79" xfId="0" applyNumberFormat="1" applyFont="1" applyFill="1" applyBorder="1" applyAlignment="1">
      <alignment horizontal="right"/>
    </xf>
    <xf numFmtId="4" fontId="80" fillId="81" borderId="80" xfId="0" applyNumberFormat="1" applyFont="1" applyFill="1" applyBorder="1" applyAlignment="1">
      <alignment horizontal="right"/>
    </xf>
    <xf numFmtId="164" fontId="81" fillId="82" borderId="81" xfId="0" applyNumberFormat="1" applyFont="1" applyFill="1" applyBorder="1" applyAlignment="1">
      <alignment horizontal="center"/>
    </xf>
    <xf numFmtId="4" fontId="82" fillId="83" borderId="82" xfId="0" applyNumberFormat="1" applyFont="1" applyFill="1" applyBorder="1" applyAlignment="1">
      <alignment horizontal="right"/>
    </xf>
    <xf numFmtId="4" fontId="83" fillId="84" borderId="83" xfId="0" applyNumberFormat="1" applyFont="1" applyFill="1" applyBorder="1" applyAlignment="1">
      <alignment horizontal="right"/>
    </xf>
    <xf numFmtId="4" fontId="84" fillId="85" borderId="84" xfId="0" applyNumberFormat="1" applyFont="1" applyFill="1" applyBorder="1" applyAlignment="1">
      <alignment horizontal="right"/>
    </xf>
    <xf numFmtId="0" fontId="85" fillId="86" borderId="85" xfId="0" applyFont="1" applyFill="1" applyBorder="1" applyAlignment="1">
      <alignment horizontal="center"/>
    </xf>
    <xf numFmtId="4" fontId="86" fillId="87" borderId="86" xfId="0" applyNumberFormat="1" applyFont="1" applyFill="1" applyBorder="1" applyAlignment="1">
      <alignment horizontal="right"/>
    </xf>
    <xf numFmtId="4" fontId="87" fillId="88" borderId="87" xfId="0" applyNumberFormat="1" applyFont="1" applyFill="1" applyBorder="1" applyAlignment="1">
      <alignment horizontal="right"/>
    </xf>
    <xf numFmtId="4" fontId="88" fillId="89" borderId="88" xfId="0" applyNumberFormat="1" applyFont="1" applyFill="1" applyBorder="1" applyAlignment="1">
      <alignment horizontal="right"/>
    </xf>
    <xf numFmtId="0" fontId="89" fillId="90" borderId="89" xfId="0" applyFont="1" applyFill="1" applyBorder="1" applyAlignment="1">
      <alignment horizontal="center"/>
    </xf>
    <xf numFmtId="4" fontId="90" fillId="91" borderId="90" xfId="0" applyNumberFormat="1" applyFont="1" applyFill="1" applyBorder="1" applyAlignment="1">
      <alignment horizontal="right"/>
    </xf>
    <xf numFmtId="4" fontId="91" fillId="92" borderId="91" xfId="0" applyNumberFormat="1" applyFont="1" applyFill="1" applyBorder="1" applyAlignment="1">
      <alignment horizontal="right"/>
    </xf>
    <xf numFmtId="4" fontId="92" fillId="93" borderId="92" xfId="0" applyNumberFormat="1" applyFont="1" applyFill="1" applyBorder="1" applyAlignment="1">
      <alignment horizontal="right"/>
    </xf>
    <xf numFmtId="164" fontId="93" fillId="94" borderId="93" xfId="0" applyNumberFormat="1" applyFont="1" applyFill="1" applyBorder="1" applyAlignment="1">
      <alignment horizontal="center"/>
    </xf>
    <xf numFmtId="4" fontId="94" fillId="95" borderId="94" xfId="0" applyNumberFormat="1" applyFont="1" applyFill="1" applyBorder="1" applyAlignment="1">
      <alignment horizontal="right"/>
    </xf>
    <xf numFmtId="4" fontId="95" fillId="96" borderId="95" xfId="0" applyNumberFormat="1" applyFont="1" applyFill="1" applyBorder="1" applyAlignment="1">
      <alignment horizontal="right"/>
    </xf>
    <xf numFmtId="4" fontId="96" fillId="97" borderId="96" xfId="0" applyNumberFormat="1" applyFont="1" applyFill="1" applyBorder="1" applyAlignment="1">
      <alignment horizontal="right"/>
    </xf>
    <xf numFmtId="0" fontId="97" fillId="98" borderId="97" xfId="0" applyFont="1" applyFill="1" applyBorder="1" applyAlignment="1">
      <alignment horizontal="center"/>
    </xf>
    <xf numFmtId="4" fontId="98" fillId="99" borderId="98" xfId="0" applyNumberFormat="1" applyFont="1" applyFill="1" applyBorder="1" applyAlignment="1">
      <alignment horizontal="right"/>
    </xf>
    <xf numFmtId="4" fontId="99" fillId="100" borderId="99" xfId="0" applyNumberFormat="1" applyFont="1" applyFill="1" applyBorder="1" applyAlignment="1">
      <alignment horizontal="right"/>
    </xf>
    <xf numFmtId="4" fontId="100" fillId="101" borderId="100" xfId="0" applyNumberFormat="1" applyFont="1" applyFill="1" applyBorder="1" applyAlignment="1">
      <alignment horizontal="right"/>
    </xf>
    <xf numFmtId="0" fontId="101" fillId="102" borderId="101" xfId="0" applyFont="1" applyFill="1" applyBorder="1" applyAlignment="1">
      <alignment horizontal="center"/>
    </xf>
    <xf numFmtId="4" fontId="102" fillId="103" borderId="102" xfId="0" applyNumberFormat="1" applyFont="1" applyFill="1" applyBorder="1" applyAlignment="1">
      <alignment horizontal="right"/>
    </xf>
    <xf numFmtId="4" fontId="103" fillId="104" borderId="103" xfId="0" applyNumberFormat="1" applyFont="1" applyFill="1" applyBorder="1" applyAlignment="1">
      <alignment horizontal="right"/>
    </xf>
    <xf numFmtId="4" fontId="104" fillId="105" borderId="104" xfId="0" applyNumberFormat="1" applyFont="1" applyFill="1" applyBorder="1" applyAlignment="1">
      <alignment horizontal="right"/>
    </xf>
    <xf numFmtId="164" fontId="105" fillId="106" borderId="105" xfId="0" applyNumberFormat="1" applyFont="1" applyFill="1" applyBorder="1" applyAlignment="1">
      <alignment horizontal="center"/>
    </xf>
    <xf numFmtId="4" fontId="106" fillId="107" borderId="106" xfId="0" applyNumberFormat="1" applyFont="1" applyFill="1" applyBorder="1" applyAlignment="1">
      <alignment horizontal="right"/>
    </xf>
    <xf numFmtId="4" fontId="107" fillId="108" borderId="107" xfId="0" applyNumberFormat="1" applyFont="1" applyFill="1" applyBorder="1" applyAlignment="1">
      <alignment horizontal="right"/>
    </xf>
    <xf numFmtId="4" fontId="108" fillId="109" borderId="108" xfId="0" applyNumberFormat="1" applyFont="1" applyFill="1" applyBorder="1" applyAlignment="1">
      <alignment horizontal="right"/>
    </xf>
    <xf numFmtId="0" fontId="109" fillId="110" borderId="109" xfId="0" applyFont="1" applyFill="1" applyBorder="1"/>
    <xf numFmtId="4" fontId="110" fillId="111" borderId="110" xfId="0" applyNumberFormat="1" applyFont="1" applyFill="1" applyBorder="1" applyAlignment="1">
      <alignment horizontal="right"/>
    </xf>
    <xf numFmtId="4" fontId="111" fillId="112" borderId="111" xfId="0" applyNumberFormat="1" applyFont="1" applyFill="1" applyBorder="1" applyAlignment="1">
      <alignment horizontal="right"/>
    </xf>
    <xf numFmtId="4" fontId="112" fillId="113" borderId="112" xfId="0" applyNumberFormat="1" applyFont="1" applyFill="1" applyBorder="1" applyAlignment="1">
      <alignment horizontal="right"/>
    </xf>
    <xf numFmtId="4" fontId="113" fillId="114" borderId="113" xfId="0" applyNumberFormat="1" applyFont="1" applyFill="1" applyBorder="1" applyAlignment="1">
      <alignment horizontal="right"/>
    </xf>
    <xf numFmtId="4" fontId="114" fillId="115" borderId="114" xfId="0" applyNumberFormat="1" applyFont="1" applyFill="1" applyBorder="1" applyAlignment="1">
      <alignment horizontal="right"/>
    </xf>
    <xf numFmtId="4" fontId="115" fillId="116" borderId="115" xfId="0" applyNumberFormat="1" applyFont="1" applyFill="1" applyBorder="1" applyAlignment="1">
      <alignment horizontal="right"/>
    </xf>
    <xf numFmtId="4" fontId="116" fillId="117" borderId="116" xfId="0" applyNumberFormat="1" applyFont="1" applyFill="1" applyBorder="1" applyAlignment="1">
      <alignment horizontal="right"/>
    </xf>
    <xf numFmtId="4" fontId="117" fillId="118" borderId="117" xfId="0" applyNumberFormat="1" applyFont="1" applyFill="1" applyBorder="1" applyAlignment="1">
      <alignment horizontal="right"/>
    </xf>
    <xf numFmtId="0" fontId="118" fillId="119" borderId="118" xfId="0" applyFont="1" applyFill="1" applyBorder="1"/>
    <xf numFmtId="0" fontId="119" fillId="120" borderId="119" xfId="0" applyFont="1" applyFill="1" applyBorder="1"/>
    <xf numFmtId="0" fontId="120" fillId="121" borderId="120" xfId="0" applyFont="1" applyFill="1" applyBorder="1"/>
    <xf numFmtId="0" fontId="122" fillId="123" borderId="122" xfId="0" applyFont="1" applyFill="1" applyBorder="1" applyAlignment="1">
      <alignment horizontal="center"/>
    </xf>
    <xf numFmtId="0" fontId="123" fillId="124" borderId="123" xfId="0" applyFont="1" applyFill="1" applyBorder="1" applyAlignment="1">
      <alignment horizontal="center"/>
    </xf>
    <xf numFmtId="0" fontId="124" fillId="125" borderId="124" xfId="0" applyFont="1" applyFill="1" applyBorder="1" applyAlignment="1">
      <alignment horizontal="center"/>
    </xf>
    <xf numFmtId="0" fontId="125" fillId="126" borderId="125" xfId="0" applyFont="1" applyFill="1" applyBorder="1" applyAlignment="1">
      <alignment horizontal="center"/>
    </xf>
    <xf numFmtId="0" fontId="126" fillId="127" borderId="126" xfId="0" applyFont="1" applyFill="1" applyBorder="1" applyAlignment="1">
      <alignment horizontal="center"/>
    </xf>
    <xf numFmtId="0" fontId="127" fillId="128" borderId="127" xfId="0" applyFont="1" applyFill="1" applyBorder="1" applyAlignment="1">
      <alignment horizontal="center"/>
    </xf>
    <xf numFmtId="0" fontId="134" fillId="135" borderId="134" xfId="0" applyFont="1" applyFill="1" applyBorder="1" applyAlignment="1">
      <alignment horizontal="center"/>
    </xf>
    <xf numFmtId="0" fontId="135" fillId="136" borderId="135" xfId="0" applyFont="1" applyFill="1" applyBorder="1" applyAlignment="1">
      <alignment horizontal="center"/>
    </xf>
    <xf numFmtId="4" fontId="136" fillId="137" borderId="136" xfId="0" applyNumberFormat="1" applyFont="1" applyFill="1" applyBorder="1" applyAlignment="1">
      <alignment horizontal="right"/>
    </xf>
    <xf numFmtId="4" fontId="137" fillId="138" borderId="137" xfId="0" applyNumberFormat="1" applyFont="1" applyFill="1" applyBorder="1" applyAlignment="1">
      <alignment horizontal="right"/>
    </xf>
    <xf numFmtId="4" fontId="138" fillId="139" borderId="138" xfId="0" applyNumberFormat="1" applyFont="1" applyFill="1" applyBorder="1" applyAlignment="1">
      <alignment horizontal="right"/>
    </xf>
    <xf numFmtId="0" fontId="139" fillId="140" borderId="139" xfId="0" applyFont="1" applyFill="1" applyBorder="1" applyAlignment="1">
      <alignment horizontal="center"/>
    </xf>
    <xf numFmtId="0" fontId="146" fillId="147" borderId="146" xfId="0" applyFont="1" applyFill="1" applyBorder="1" applyAlignment="1">
      <alignment horizontal="center"/>
    </xf>
    <xf numFmtId="0" fontId="147" fillId="148" borderId="147" xfId="0" applyFont="1" applyFill="1" applyBorder="1" applyAlignment="1">
      <alignment horizontal="center"/>
    </xf>
    <xf numFmtId="4" fontId="148" fillId="149" borderId="148" xfId="0" applyNumberFormat="1" applyFont="1" applyFill="1" applyBorder="1" applyAlignment="1">
      <alignment horizontal="right"/>
    </xf>
    <xf numFmtId="4" fontId="149" fillId="150" borderId="149" xfId="0" applyNumberFormat="1" applyFont="1" applyFill="1" applyBorder="1" applyAlignment="1">
      <alignment horizontal="right"/>
    </xf>
    <xf numFmtId="4" fontId="150" fillId="151" borderId="150" xfId="0" applyNumberFormat="1" applyFont="1" applyFill="1" applyBorder="1" applyAlignment="1">
      <alignment horizontal="right"/>
    </xf>
    <xf numFmtId="0" fontId="151" fillId="152" borderId="151" xfId="0" applyFont="1" applyFill="1" applyBorder="1" applyAlignment="1">
      <alignment horizontal="center"/>
    </xf>
    <xf numFmtId="0" fontId="158" fillId="159" borderId="158" xfId="0" applyFont="1" applyFill="1" applyBorder="1" applyAlignment="1">
      <alignment horizontal="center"/>
    </xf>
    <xf numFmtId="0" fontId="159" fillId="160" borderId="159" xfId="0" applyFont="1" applyFill="1" applyBorder="1" applyAlignment="1">
      <alignment horizontal="center"/>
    </xf>
    <xf numFmtId="4" fontId="160" fillId="161" borderId="160" xfId="0" applyNumberFormat="1" applyFont="1" applyFill="1" applyBorder="1" applyAlignment="1">
      <alignment horizontal="right"/>
    </xf>
    <xf numFmtId="4" fontId="161" fillId="162" borderId="161" xfId="0" applyNumberFormat="1" applyFont="1" applyFill="1" applyBorder="1" applyAlignment="1">
      <alignment horizontal="right"/>
    </xf>
    <xf numFmtId="4" fontId="162" fillId="163" borderId="162" xfId="0" applyNumberFormat="1" applyFont="1" applyFill="1" applyBorder="1" applyAlignment="1">
      <alignment horizontal="right"/>
    </xf>
    <xf numFmtId="0" fontId="163" fillId="164" borderId="163" xfId="0" applyFont="1" applyFill="1" applyBorder="1" applyAlignment="1">
      <alignment horizontal="center"/>
    </xf>
    <xf numFmtId="0" fontId="170" fillId="171" borderId="170" xfId="0" applyFont="1" applyFill="1" applyBorder="1" applyAlignment="1">
      <alignment horizontal="center"/>
    </xf>
    <xf numFmtId="0" fontId="171" fillId="172" borderId="171" xfId="0" applyFont="1" applyFill="1" applyBorder="1" applyAlignment="1">
      <alignment horizontal="center"/>
    </xf>
    <xf numFmtId="4" fontId="172" fillId="173" borderId="172" xfId="0" applyNumberFormat="1" applyFont="1" applyFill="1" applyBorder="1" applyAlignment="1">
      <alignment horizontal="right"/>
    </xf>
    <xf numFmtId="4" fontId="173" fillId="174" borderId="173" xfId="0" applyNumberFormat="1" applyFont="1" applyFill="1" applyBorder="1" applyAlignment="1">
      <alignment horizontal="right"/>
    </xf>
    <xf numFmtId="4" fontId="174" fillId="175" borderId="174" xfId="0" applyNumberFormat="1" applyFont="1" applyFill="1" applyBorder="1" applyAlignment="1">
      <alignment horizontal="right"/>
    </xf>
    <xf numFmtId="0" fontId="175" fillId="176" borderId="175" xfId="0" applyFont="1" applyFill="1" applyBorder="1" applyAlignment="1">
      <alignment horizontal="center"/>
    </xf>
    <xf numFmtId="0" fontId="182" fillId="183" borderId="182" xfId="0" applyFont="1" applyFill="1" applyBorder="1" applyAlignment="1">
      <alignment horizontal="center"/>
    </xf>
    <xf numFmtId="0" fontId="183" fillId="184" borderId="183" xfId="0" applyFont="1" applyFill="1" applyBorder="1" applyAlignment="1">
      <alignment horizontal="center"/>
    </xf>
    <xf numFmtId="4" fontId="184" fillId="185" borderId="184" xfId="0" applyNumberFormat="1" applyFont="1" applyFill="1" applyBorder="1" applyAlignment="1">
      <alignment horizontal="right"/>
    </xf>
    <xf numFmtId="4" fontId="185" fillId="186" borderId="185" xfId="0" applyNumberFormat="1" applyFont="1" applyFill="1" applyBorder="1" applyAlignment="1">
      <alignment horizontal="right"/>
    </xf>
    <xf numFmtId="4" fontId="186" fillId="187" borderId="186" xfId="0" applyNumberFormat="1" applyFont="1" applyFill="1" applyBorder="1" applyAlignment="1">
      <alignment horizontal="right"/>
    </xf>
    <xf numFmtId="0" fontId="187" fillId="188" borderId="187" xfId="0" applyFont="1" applyFill="1" applyBorder="1" applyAlignment="1">
      <alignment horizontal="center"/>
    </xf>
    <xf numFmtId="0" fontId="194" fillId="195" borderId="194" xfId="0" applyFont="1" applyFill="1" applyBorder="1" applyAlignment="1">
      <alignment horizontal="center"/>
    </xf>
    <xf numFmtId="0" fontId="195" fillId="196" borderId="195" xfId="0" applyFont="1" applyFill="1" applyBorder="1" applyAlignment="1">
      <alignment horizontal="center"/>
    </xf>
    <xf numFmtId="4" fontId="196" fillId="197" borderId="196" xfId="0" applyNumberFormat="1" applyFont="1" applyFill="1" applyBorder="1" applyAlignment="1">
      <alignment horizontal="right"/>
    </xf>
    <xf numFmtId="4" fontId="197" fillId="198" borderId="197" xfId="0" applyNumberFormat="1" applyFont="1" applyFill="1" applyBorder="1" applyAlignment="1">
      <alignment horizontal="right"/>
    </xf>
    <xf numFmtId="4" fontId="198" fillId="199" borderId="198" xfId="0" applyNumberFormat="1" applyFont="1" applyFill="1" applyBorder="1" applyAlignment="1">
      <alignment horizontal="right"/>
    </xf>
    <xf numFmtId="0" fontId="199" fillId="200" borderId="199" xfId="0" applyFont="1" applyFill="1" applyBorder="1" applyAlignment="1">
      <alignment horizontal="center"/>
    </xf>
    <xf numFmtId="0" fontId="206" fillId="207" borderId="206" xfId="0" applyFont="1" applyFill="1" applyBorder="1" applyAlignment="1">
      <alignment horizontal="center"/>
    </xf>
    <xf numFmtId="0" fontId="207" fillId="208" borderId="207" xfId="0" applyFont="1" applyFill="1" applyBorder="1" applyAlignment="1">
      <alignment horizontal="center"/>
    </xf>
    <xf numFmtId="4" fontId="208" fillId="209" borderId="208" xfId="0" applyNumberFormat="1" applyFont="1" applyFill="1" applyBorder="1" applyAlignment="1">
      <alignment horizontal="right"/>
    </xf>
    <xf numFmtId="4" fontId="209" fillId="210" borderId="209" xfId="0" applyNumberFormat="1" applyFont="1" applyFill="1" applyBorder="1" applyAlignment="1">
      <alignment horizontal="right"/>
    </xf>
    <xf numFmtId="4" fontId="210" fillId="211" borderId="210" xfId="0" applyNumberFormat="1" applyFont="1" applyFill="1" applyBorder="1" applyAlignment="1">
      <alignment horizontal="right"/>
    </xf>
    <xf numFmtId="0" fontId="211" fillId="212" borderId="211" xfId="0" applyFont="1" applyFill="1" applyBorder="1" applyAlignment="1">
      <alignment horizontal="center"/>
    </xf>
    <xf numFmtId="0" fontId="218" fillId="219" borderId="218" xfId="0" applyFont="1" applyFill="1" applyBorder="1" applyAlignment="1">
      <alignment horizontal="center"/>
    </xf>
    <xf numFmtId="0" fontId="219" fillId="220" borderId="219" xfId="0" applyFont="1" applyFill="1" applyBorder="1" applyAlignment="1">
      <alignment horizontal="center"/>
    </xf>
    <xf numFmtId="4" fontId="220" fillId="221" borderId="220" xfId="0" applyNumberFormat="1" applyFont="1" applyFill="1" applyBorder="1" applyAlignment="1">
      <alignment horizontal="right"/>
    </xf>
    <xf numFmtId="4" fontId="221" fillId="222" borderId="221" xfId="0" applyNumberFormat="1" applyFont="1" applyFill="1" applyBorder="1" applyAlignment="1">
      <alignment horizontal="right"/>
    </xf>
    <xf numFmtId="4" fontId="222" fillId="223" borderId="222" xfId="0" applyNumberFormat="1" applyFont="1" applyFill="1" applyBorder="1" applyAlignment="1">
      <alignment horizontal="right"/>
    </xf>
    <xf numFmtId="0" fontId="223" fillId="224" borderId="223" xfId="0" applyFont="1" applyFill="1" applyBorder="1" applyAlignment="1">
      <alignment horizontal="center"/>
    </xf>
    <xf numFmtId="0" fontId="230" fillId="231" borderId="230" xfId="0" applyFont="1" applyFill="1" applyBorder="1"/>
    <xf numFmtId="4" fontId="231" fillId="232" borderId="231" xfId="0" applyNumberFormat="1" applyFont="1" applyFill="1" applyBorder="1" applyAlignment="1">
      <alignment horizontal="right"/>
    </xf>
    <xf numFmtId="4" fontId="232" fillId="233" borderId="232" xfId="0" applyNumberFormat="1" applyFont="1" applyFill="1" applyBorder="1" applyAlignment="1">
      <alignment horizontal="right"/>
    </xf>
    <xf numFmtId="4" fontId="233" fillId="234" borderId="233" xfId="0" applyNumberFormat="1" applyFont="1" applyFill="1" applyBorder="1" applyAlignment="1">
      <alignment horizontal="right"/>
    </xf>
    <xf numFmtId="0" fontId="234" fillId="235" borderId="234" xfId="0" applyFont="1" applyFill="1" applyBorder="1"/>
    <xf numFmtId="0" fontId="235" fillId="236" borderId="235" xfId="0" applyFont="1" applyFill="1" applyBorder="1"/>
    <xf numFmtId="0" fontId="242" fillId="243" borderId="242" xfId="0" applyFont="1" applyFill="1" applyBorder="1" applyAlignment="1">
      <alignment horizontal="center"/>
    </xf>
    <xf numFmtId="0" fontId="243" fillId="244" borderId="243" xfId="0" applyFont="1" applyFill="1" applyBorder="1" applyAlignment="1">
      <alignment horizontal="center"/>
    </xf>
    <xf numFmtId="0" fontId="244" fillId="245" borderId="244" xfId="0" applyFont="1" applyFill="1" applyBorder="1" applyAlignment="1">
      <alignment horizontal="center"/>
    </xf>
    <xf numFmtId="4" fontId="245" fillId="246" borderId="245" xfId="0" applyNumberFormat="1" applyFont="1" applyFill="1" applyBorder="1" applyAlignment="1">
      <alignment horizontal="right"/>
    </xf>
    <xf numFmtId="0" fontId="246" fillId="247" borderId="246" xfId="0" applyFont="1" applyFill="1" applyBorder="1" applyAlignment="1">
      <alignment horizontal="center"/>
    </xf>
    <xf numFmtId="4" fontId="247" fillId="248" borderId="247" xfId="0" applyNumberFormat="1" applyFont="1" applyFill="1" applyBorder="1" applyAlignment="1">
      <alignment horizontal="right"/>
    </xf>
    <xf numFmtId="0" fontId="248" fillId="249" borderId="248" xfId="0" applyFont="1" applyFill="1" applyBorder="1" applyAlignment="1">
      <alignment horizontal="center"/>
    </xf>
    <xf numFmtId="4" fontId="249" fillId="250" borderId="249" xfId="0" applyNumberFormat="1" applyFont="1" applyFill="1" applyBorder="1" applyAlignment="1">
      <alignment horizontal="right"/>
    </xf>
    <xf numFmtId="0" fontId="250" fillId="251" borderId="250" xfId="0" applyFont="1" applyFill="1" applyBorder="1" applyAlignment="1">
      <alignment horizontal="center"/>
    </xf>
    <xf numFmtId="4" fontId="251" fillId="252" borderId="251" xfId="0" applyNumberFormat="1" applyFont="1" applyFill="1" applyBorder="1" applyAlignment="1">
      <alignment horizontal="right"/>
    </xf>
    <xf numFmtId="0" fontId="252" fillId="253" borderId="252" xfId="0" applyFont="1" applyFill="1" applyBorder="1" applyAlignment="1">
      <alignment horizontal="center"/>
    </xf>
    <xf numFmtId="4" fontId="253" fillId="254" borderId="253" xfId="0" applyNumberFormat="1" applyFont="1" applyFill="1" applyBorder="1" applyAlignment="1">
      <alignment horizontal="right"/>
    </xf>
    <xf numFmtId="0" fontId="254" fillId="255" borderId="254" xfId="0" applyFont="1" applyFill="1" applyBorder="1" applyAlignment="1">
      <alignment horizontal="center"/>
    </xf>
    <xf numFmtId="4" fontId="255" fillId="256" borderId="255" xfId="0" applyNumberFormat="1" applyFont="1" applyFill="1" applyBorder="1" applyAlignment="1">
      <alignment horizontal="right"/>
    </xf>
    <xf numFmtId="0" fontId="256" fillId="257" borderId="256" xfId="0" applyFont="1" applyFill="1" applyBorder="1" applyAlignment="1">
      <alignment horizontal="center"/>
    </xf>
    <xf numFmtId="4" fontId="257" fillId="258" borderId="257" xfId="0" applyNumberFormat="1" applyFont="1" applyFill="1" applyBorder="1" applyAlignment="1">
      <alignment horizontal="right"/>
    </xf>
    <xf numFmtId="0" fontId="258" fillId="259" borderId="258" xfId="0" applyFont="1" applyFill="1" applyBorder="1" applyAlignment="1">
      <alignment horizontal="center"/>
    </xf>
    <xf numFmtId="4" fontId="259" fillId="260" borderId="259" xfId="0" applyNumberFormat="1" applyFont="1" applyFill="1" applyBorder="1" applyAlignment="1">
      <alignment horizontal="right"/>
    </xf>
    <xf numFmtId="0" fontId="260" fillId="261" borderId="260" xfId="0" applyFont="1" applyFill="1" applyBorder="1" applyAlignment="1">
      <alignment horizontal="center"/>
    </xf>
    <xf numFmtId="4" fontId="261" fillId="262" borderId="261" xfId="0" applyNumberFormat="1" applyFont="1" applyFill="1" applyBorder="1" applyAlignment="1">
      <alignment horizontal="right"/>
    </xf>
    <xf numFmtId="0" fontId="262" fillId="263" borderId="262" xfId="0" applyFont="1" applyFill="1" applyBorder="1" applyAlignment="1">
      <alignment horizontal="center"/>
    </xf>
    <xf numFmtId="4" fontId="263" fillId="264" borderId="263" xfId="0" applyNumberFormat="1" applyFont="1" applyFill="1" applyBorder="1" applyAlignment="1">
      <alignment horizontal="right"/>
    </xf>
    <xf numFmtId="0" fontId="264" fillId="265" borderId="264" xfId="0" applyFont="1" applyFill="1" applyBorder="1" applyAlignment="1">
      <alignment horizontal="center"/>
    </xf>
    <xf numFmtId="4" fontId="265" fillId="266" borderId="265" xfId="0" applyNumberFormat="1" applyFont="1" applyFill="1" applyBorder="1" applyAlignment="1">
      <alignment horizontal="right"/>
    </xf>
    <xf numFmtId="0" fontId="266" fillId="267" borderId="266" xfId="0" applyFont="1" applyFill="1" applyBorder="1" applyAlignment="1">
      <alignment horizontal="center"/>
    </xf>
    <xf numFmtId="4" fontId="267" fillId="268" borderId="267" xfId="0" applyNumberFormat="1" applyFont="1" applyFill="1" applyBorder="1" applyAlignment="1">
      <alignment horizontal="right"/>
    </xf>
    <xf numFmtId="0" fontId="268" fillId="269" borderId="268" xfId="0" applyFont="1" applyFill="1" applyBorder="1" applyAlignment="1">
      <alignment horizontal="center"/>
    </xf>
    <xf numFmtId="4" fontId="269" fillId="270" borderId="269" xfId="0" applyNumberFormat="1" applyFont="1" applyFill="1" applyBorder="1" applyAlignment="1">
      <alignment horizontal="right"/>
    </xf>
    <xf numFmtId="0" fontId="270" fillId="271" borderId="270" xfId="0" applyFont="1" applyFill="1" applyBorder="1" applyAlignment="1">
      <alignment horizontal="center"/>
    </xf>
    <xf numFmtId="4" fontId="271" fillId="272" borderId="271" xfId="0" applyNumberFormat="1" applyFont="1" applyFill="1" applyBorder="1" applyAlignment="1">
      <alignment horizontal="right"/>
    </xf>
    <xf numFmtId="0" fontId="272" fillId="273" borderId="272" xfId="0" applyFont="1" applyFill="1" applyBorder="1" applyAlignment="1">
      <alignment horizontal="center"/>
    </xf>
    <xf numFmtId="4" fontId="273" fillId="274" borderId="273" xfId="0" applyNumberFormat="1" applyFont="1" applyFill="1" applyBorder="1" applyAlignment="1">
      <alignment horizontal="right"/>
    </xf>
    <xf numFmtId="0" fontId="274" fillId="275" borderId="274" xfId="0" applyFont="1" applyFill="1" applyBorder="1" applyAlignment="1">
      <alignment horizontal="center"/>
    </xf>
    <xf numFmtId="4" fontId="275" fillId="276" borderId="275" xfId="0" applyNumberFormat="1" applyFont="1" applyFill="1" applyBorder="1" applyAlignment="1">
      <alignment horizontal="right"/>
    </xf>
    <xf numFmtId="0" fontId="276" fillId="277" borderId="276" xfId="0" applyFont="1" applyFill="1" applyBorder="1" applyAlignment="1">
      <alignment horizontal="center"/>
    </xf>
    <xf numFmtId="4" fontId="277" fillId="278" borderId="277" xfId="0" applyNumberFormat="1" applyFont="1" applyFill="1" applyBorder="1" applyAlignment="1">
      <alignment horizontal="right"/>
    </xf>
    <xf numFmtId="0" fontId="278" fillId="279" borderId="278" xfId="0" applyFont="1" applyFill="1" applyBorder="1" applyAlignment="1">
      <alignment horizontal="center"/>
    </xf>
    <xf numFmtId="4" fontId="279" fillId="280" borderId="279" xfId="0" applyNumberFormat="1" applyFont="1" applyFill="1" applyBorder="1" applyAlignment="1">
      <alignment horizontal="right"/>
    </xf>
    <xf numFmtId="0" fontId="280" fillId="281" borderId="280" xfId="0" applyFont="1" applyFill="1" applyBorder="1" applyAlignment="1">
      <alignment horizontal="center"/>
    </xf>
    <xf numFmtId="4" fontId="281" fillId="282" borderId="281" xfId="0" applyNumberFormat="1" applyFont="1" applyFill="1" applyBorder="1" applyAlignment="1">
      <alignment horizontal="right"/>
    </xf>
    <xf numFmtId="0" fontId="282" fillId="283" borderId="282" xfId="0" applyFont="1" applyFill="1" applyBorder="1" applyAlignment="1">
      <alignment horizontal="center"/>
    </xf>
    <xf numFmtId="4" fontId="283" fillId="284" borderId="283" xfId="0" applyNumberFormat="1" applyFont="1" applyFill="1" applyBorder="1" applyAlignment="1">
      <alignment horizontal="right"/>
    </xf>
    <xf numFmtId="0" fontId="284" fillId="285" borderId="284" xfId="0" applyFont="1" applyFill="1" applyBorder="1" applyAlignment="1">
      <alignment horizontal="center"/>
    </xf>
    <xf numFmtId="4" fontId="285" fillId="286" borderId="285" xfId="0" applyNumberFormat="1" applyFont="1" applyFill="1" applyBorder="1" applyAlignment="1">
      <alignment horizontal="right"/>
    </xf>
    <xf numFmtId="0" fontId="286" fillId="287" borderId="286" xfId="0" applyFont="1" applyFill="1" applyBorder="1" applyAlignment="1">
      <alignment horizontal="center"/>
    </xf>
    <xf numFmtId="4" fontId="287" fillId="288" borderId="287" xfId="0" applyNumberFormat="1" applyFont="1" applyFill="1" applyBorder="1" applyAlignment="1">
      <alignment horizontal="right"/>
    </xf>
    <xf numFmtId="0" fontId="288" fillId="289" borderId="288" xfId="0" applyFont="1" applyFill="1" applyBorder="1" applyAlignment="1">
      <alignment horizontal="center"/>
    </xf>
    <xf numFmtId="4" fontId="289" fillId="290" borderId="289" xfId="0" applyNumberFormat="1" applyFont="1" applyFill="1" applyBorder="1" applyAlignment="1">
      <alignment horizontal="right"/>
    </xf>
    <xf numFmtId="0" fontId="290" fillId="291" borderId="290" xfId="0" applyFont="1" applyFill="1" applyBorder="1" applyAlignment="1">
      <alignment horizontal="center"/>
    </xf>
    <xf numFmtId="4" fontId="291" fillId="292" borderId="291" xfId="0" applyNumberFormat="1" applyFont="1" applyFill="1" applyBorder="1" applyAlignment="1">
      <alignment horizontal="right"/>
    </xf>
    <xf numFmtId="0" fontId="292" fillId="293" borderId="292" xfId="0" applyFont="1" applyFill="1" applyBorder="1" applyAlignment="1">
      <alignment horizontal="center"/>
    </xf>
    <xf numFmtId="4" fontId="293" fillId="294" borderId="293" xfId="0" applyNumberFormat="1" applyFont="1" applyFill="1" applyBorder="1" applyAlignment="1">
      <alignment horizontal="right"/>
    </xf>
    <xf numFmtId="0" fontId="294" fillId="295" borderId="294" xfId="0" applyFont="1" applyFill="1" applyBorder="1" applyAlignment="1">
      <alignment horizontal="center"/>
    </xf>
    <xf numFmtId="4" fontId="295" fillId="296" borderId="295" xfId="0" applyNumberFormat="1" applyFont="1" applyFill="1" applyBorder="1" applyAlignment="1">
      <alignment horizontal="right"/>
    </xf>
    <xf numFmtId="0" fontId="296" fillId="297" borderId="296" xfId="0" applyFont="1" applyFill="1" applyBorder="1" applyAlignment="1">
      <alignment horizontal="center"/>
    </xf>
    <xf numFmtId="4" fontId="297" fillId="298" borderId="297" xfId="0" applyNumberFormat="1" applyFont="1" applyFill="1" applyBorder="1" applyAlignment="1">
      <alignment horizontal="right"/>
    </xf>
    <xf numFmtId="0" fontId="298" fillId="299" borderId="298" xfId="0" applyFont="1" applyFill="1" applyBorder="1" applyAlignment="1">
      <alignment horizontal="center"/>
    </xf>
    <xf numFmtId="4" fontId="299" fillId="300" borderId="299" xfId="0" applyNumberFormat="1" applyFont="1" applyFill="1" applyBorder="1" applyAlignment="1">
      <alignment horizontal="right"/>
    </xf>
    <xf numFmtId="0" fontId="300" fillId="301" borderId="300" xfId="0" applyFont="1" applyFill="1" applyBorder="1" applyAlignment="1">
      <alignment horizontal="center"/>
    </xf>
    <xf numFmtId="4" fontId="301" fillId="302" borderId="301" xfId="0" applyNumberFormat="1" applyFont="1" applyFill="1" applyBorder="1" applyAlignment="1">
      <alignment horizontal="right"/>
    </xf>
    <xf numFmtId="0" fontId="302" fillId="303" borderId="302" xfId="0" applyFont="1" applyFill="1" applyBorder="1" applyAlignment="1">
      <alignment horizontal="center"/>
    </xf>
    <xf numFmtId="4" fontId="303" fillId="304" borderId="303" xfId="0" applyNumberFormat="1" applyFont="1" applyFill="1" applyBorder="1" applyAlignment="1">
      <alignment horizontal="right"/>
    </xf>
    <xf numFmtId="0" fontId="304" fillId="305" borderId="304" xfId="0" applyFont="1" applyFill="1" applyBorder="1" applyAlignment="1">
      <alignment horizontal="center"/>
    </xf>
    <xf numFmtId="4" fontId="305" fillId="306" borderId="305" xfId="0" applyNumberFormat="1" applyFont="1" applyFill="1" applyBorder="1" applyAlignment="1">
      <alignment horizontal="right"/>
    </xf>
    <xf numFmtId="0" fontId="306" fillId="307" borderId="306" xfId="0" applyFont="1" applyFill="1" applyBorder="1" applyAlignment="1">
      <alignment horizontal="center"/>
    </xf>
    <xf numFmtId="4" fontId="307" fillId="308" borderId="307" xfId="0" applyNumberFormat="1" applyFont="1" applyFill="1" applyBorder="1" applyAlignment="1">
      <alignment horizontal="right"/>
    </xf>
    <xf numFmtId="0" fontId="308" fillId="309" borderId="308" xfId="0" applyFont="1" applyFill="1" applyBorder="1" applyAlignment="1">
      <alignment horizontal="center"/>
    </xf>
    <xf numFmtId="4" fontId="309" fillId="310" borderId="309" xfId="0" applyNumberFormat="1" applyFont="1" applyFill="1" applyBorder="1" applyAlignment="1">
      <alignment horizontal="right"/>
    </xf>
    <xf numFmtId="0" fontId="310" fillId="311" borderId="310" xfId="0" applyFont="1" applyFill="1" applyBorder="1" applyAlignment="1">
      <alignment horizontal="center"/>
    </xf>
    <xf numFmtId="4" fontId="311" fillId="312" borderId="311" xfId="0" applyNumberFormat="1" applyFont="1" applyFill="1" applyBorder="1" applyAlignment="1">
      <alignment horizontal="right"/>
    </xf>
    <xf numFmtId="0" fontId="312" fillId="313" borderId="312" xfId="0" applyFont="1" applyFill="1" applyBorder="1" applyAlignment="1">
      <alignment horizontal="center"/>
    </xf>
    <xf numFmtId="4" fontId="313" fillId="314" borderId="313" xfId="0" applyNumberFormat="1" applyFont="1" applyFill="1" applyBorder="1" applyAlignment="1">
      <alignment horizontal="right"/>
    </xf>
    <xf numFmtId="0" fontId="314" fillId="315" borderId="314" xfId="0" applyFont="1" applyFill="1" applyBorder="1" applyAlignment="1">
      <alignment horizontal="center"/>
    </xf>
    <xf numFmtId="4" fontId="315" fillId="316" borderId="315" xfId="0" applyNumberFormat="1" applyFont="1" applyFill="1" applyBorder="1" applyAlignment="1">
      <alignment horizontal="right"/>
    </xf>
    <xf numFmtId="0" fontId="316" fillId="317" borderId="316" xfId="0" applyFont="1" applyFill="1" applyBorder="1" applyAlignment="1">
      <alignment horizontal="center"/>
    </xf>
    <xf numFmtId="4" fontId="317" fillId="318" borderId="317" xfId="0" applyNumberFormat="1" applyFont="1" applyFill="1" applyBorder="1" applyAlignment="1">
      <alignment horizontal="right"/>
    </xf>
    <xf numFmtId="0" fontId="318" fillId="319" borderId="318" xfId="0" applyFont="1" applyFill="1" applyBorder="1" applyAlignment="1">
      <alignment horizontal="center"/>
    </xf>
    <xf numFmtId="4" fontId="319" fillId="320" borderId="319" xfId="0" applyNumberFormat="1" applyFont="1" applyFill="1" applyBorder="1" applyAlignment="1">
      <alignment horizontal="right"/>
    </xf>
    <xf numFmtId="0" fontId="320" fillId="321" borderId="320" xfId="0" applyFont="1" applyFill="1" applyBorder="1" applyAlignment="1">
      <alignment horizontal="center"/>
    </xf>
    <xf numFmtId="4" fontId="321" fillId="322" borderId="321" xfId="0" applyNumberFormat="1" applyFont="1" applyFill="1" applyBorder="1" applyAlignment="1">
      <alignment horizontal="right"/>
    </xf>
    <xf numFmtId="0" fontId="322" fillId="323" borderId="322" xfId="0" applyFont="1" applyFill="1" applyBorder="1" applyAlignment="1">
      <alignment horizontal="center"/>
    </xf>
    <xf numFmtId="4" fontId="323" fillId="324" borderId="323" xfId="0" applyNumberFormat="1" applyFont="1" applyFill="1" applyBorder="1" applyAlignment="1">
      <alignment horizontal="right"/>
    </xf>
    <xf numFmtId="0" fontId="324" fillId="325" borderId="324" xfId="0" applyFont="1" applyFill="1" applyBorder="1" applyAlignment="1">
      <alignment horizontal="center"/>
    </xf>
    <xf numFmtId="4" fontId="325" fillId="326" borderId="325" xfId="0" applyNumberFormat="1" applyFont="1" applyFill="1" applyBorder="1" applyAlignment="1">
      <alignment horizontal="right"/>
    </xf>
    <xf numFmtId="0" fontId="326" fillId="327" borderId="326" xfId="0" applyFont="1" applyFill="1" applyBorder="1" applyAlignment="1">
      <alignment horizontal="center"/>
    </xf>
    <xf numFmtId="4" fontId="327" fillId="328" borderId="327" xfId="0" applyNumberFormat="1" applyFont="1" applyFill="1" applyBorder="1" applyAlignment="1">
      <alignment horizontal="right"/>
    </xf>
    <xf numFmtId="0" fontId="328" fillId="329" borderId="328" xfId="0" applyFont="1" applyFill="1" applyBorder="1" applyAlignment="1">
      <alignment horizontal="center"/>
    </xf>
    <xf numFmtId="4" fontId="329" fillId="330" borderId="329" xfId="0" applyNumberFormat="1" applyFont="1" applyFill="1" applyBorder="1" applyAlignment="1">
      <alignment horizontal="right"/>
    </xf>
    <xf numFmtId="0" fontId="330" fillId="331" borderId="330" xfId="0" applyFont="1" applyFill="1" applyBorder="1" applyAlignment="1">
      <alignment horizontal="center"/>
    </xf>
    <xf numFmtId="4" fontId="331" fillId="332" borderId="331" xfId="0" applyNumberFormat="1" applyFont="1" applyFill="1" applyBorder="1" applyAlignment="1">
      <alignment horizontal="right"/>
    </xf>
    <xf numFmtId="0" fontId="332" fillId="333" borderId="332" xfId="0" applyFont="1" applyFill="1" applyBorder="1" applyAlignment="1">
      <alignment horizontal="center"/>
    </xf>
    <xf numFmtId="4" fontId="333" fillId="334" borderId="333" xfId="0" applyNumberFormat="1" applyFont="1" applyFill="1" applyBorder="1" applyAlignment="1">
      <alignment horizontal="right"/>
    </xf>
    <xf numFmtId="0" fontId="334" fillId="335" borderId="334" xfId="0" applyFont="1" applyFill="1" applyBorder="1" applyAlignment="1">
      <alignment horizontal="center"/>
    </xf>
    <xf numFmtId="4" fontId="335" fillId="336" borderId="335" xfId="0" applyNumberFormat="1" applyFont="1" applyFill="1" applyBorder="1" applyAlignment="1">
      <alignment horizontal="right"/>
    </xf>
    <xf numFmtId="0" fontId="336" fillId="337" borderId="336" xfId="0" applyFont="1" applyFill="1" applyBorder="1" applyAlignment="1">
      <alignment horizontal="center"/>
    </xf>
    <xf numFmtId="4" fontId="337" fillId="338" borderId="337" xfId="0" applyNumberFormat="1" applyFont="1" applyFill="1" applyBorder="1" applyAlignment="1">
      <alignment horizontal="right"/>
    </xf>
    <xf numFmtId="0" fontId="338" fillId="339" borderId="338" xfId="0" applyFont="1" applyFill="1" applyBorder="1" applyAlignment="1">
      <alignment horizontal="center"/>
    </xf>
    <xf numFmtId="4" fontId="339" fillId="340" borderId="339" xfId="0" applyNumberFormat="1" applyFont="1" applyFill="1" applyBorder="1" applyAlignment="1">
      <alignment horizontal="right"/>
    </xf>
    <xf numFmtId="0" fontId="340" fillId="341" borderId="340" xfId="0" applyFont="1" applyFill="1" applyBorder="1" applyAlignment="1">
      <alignment horizontal="center"/>
    </xf>
    <xf numFmtId="4" fontId="341" fillId="342" borderId="341" xfId="0" applyNumberFormat="1" applyFont="1" applyFill="1" applyBorder="1" applyAlignment="1">
      <alignment horizontal="right"/>
    </xf>
    <xf numFmtId="0" fontId="342" fillId="343" borderId="342" xfId="0" applyFont="1" applyFill="1" applyBorder="1" applyAlignment="1">
      <alignment horizontal="center"/>
    </xf>
    <xf numFmtId="4" fontId="343" fillId="344" borderId="343" xfId="0" applyNumberFormat="1" applyFont="1" applyFill="1" applyBorder="1" applyAlignment="1">
      <alignment horizontal="right"/>
    </xf>
    <xf numFmtId="0" fontId="344" fillId="345" borderId="344" xfId="0" applyFont="1" applyFill="1" applyBorder="1" applyAlignment="1">
      <alignment horizontal="center"/>
    </xf>
    <xf numFmtId="4" fontId="345" fillId="346" borderId="345" xfId="0" applyNumberFormat="1" applyFont="1" applyFill="1" applyBorder="1" applyAlignment="1">
      <alignment horizontal="right"/>
    </xf>
    <xf numFmtId="0" fontId="346" fillId="347" borderId="346" xfId="0" applyFont="1" applyFill="1" applyBorder="1" applyAlignment="1">
      <alignment horizontal="center"/>
    </xf>
    <xf numFmtId="4" fontId="347" fillId="348" borderId="347" xfId="0" applyNumberFormat="1" applyFont="1" applyFill="1" applyBorder="1" applyAlignment="1">
      <alignment horizontal="right"/>
    </xf>
    <xf numFmtId="0" fontId="348" fillId="349" borderId="348" xfId="0" applyFont="1" applyFill="1" applyBorder="1" applyAlignment="1">
      <alignment horizontal="center"/>
    </xf>
    <xf numFmtId="4" fontId="349" fillId="350" borderId="349" xfId="0" applyNumberFormat="1" applyFont="1" applyFill="1" applyBorder="1" applyAlignment="1">
      <alignment horizontal="right"/>
    </xf>
    <xf numFmtId="0" fontId="350" fillId="351" borderId="350" xfId="0" applyFont="1" applyFill="1" applyBorder="1" applyAlignment="1">
      <alignment horizontal="center"/>
    </xf>
    <xf numFmtId="4" fontId="351" fillId="352" borderId="351" xfId="0" applyNumberFormat="1" applyFont="1" applyFill="1" applyBorder="1" applyAlignment="1">
      <alignment horizontal="right"/>
    </xf>
    <xf numFmtId="0" fontId="352" fillId="353" borderId="352" xfId="0" applyFont="1" applyFill="1" applyBorder="1" applyAlignment="1">
      <alignment horizontal="center"/>
    </xf>
    <xf numFmtId="4" fontId="353" fillId="354" borderId="353" xfId="0" applyNumberFormat="1" applyFont="1" applyFill="1" applyBorder="1" applyAlignment="1">
      <alignment horizontal="right"/>
    </xf>
    <xf numFmtId="0" fontId="354" fillId="355" borderId="354" xfId="0" applyFont="1" applyFill="1" applyBorder="1" applyAlignment="1">
      <alignment horizontal="center"/>
    </xf>
    <xf numFmtId="4" fontId="355" fillId="356" borderId="355" xfId="0" applyNumberFormat="1" applyFont="1" applyFill="1" applyBorder="1" applyAlignment="1">
      <alignment horizontal="right"/>
    </xf>
    <xf numFmtId="0" fontId="356" fillId="357" borderId="356" xfId="0" applyFont="1" applyFill="1" applyBorder="1" applyAlignment="1">
      <alignment horizontal="center"/>
    </xf>
    <xf numFmtId="4" fontId="357" fillId="358" borderId="357" xfId="0" applyNumberFormat="1" applyFont="1" applyFill="1" applyBorder="1" applyAlignment="1">
      <alignment horizontal="right"/>
    </xf>
    <xf numFmtId="0" fontId="358" fillId="359" borderId="358" xfId="0" applyFont="1" applyFill="1" applyBorder="1" applyAlignment="1">
      <alignment horizontal="center"/>
    </xf>
    <xf numFmtId="4" fontId="359" fillId="360" borderId="359" xfId="0" applyNumberFormat="1" applyFont="1" applyFill="1" applyBorder="1" applyAlignment="1">
      <alignment horizontal="right"/>
    </xf>
    <xf numFmtId="0" fontId="360" fillId="361" borderId="360" xfId="0" applyFont="1" applyFill="1" applyBorder="1" applyAlignment="1">
      <alignment horizontal="center"/>
    </xf>
    <xf numFmtId="4" fontId="361" fillId="362" borderId="361" xfId="0" applyNumberFormat="1" applyFont="1" applyFill="1" applyBorder="1" applyAlignment="1">
      <alignment horizontal="right"/>
    </xf>
    <xf numFmtId="0" fontId="362" fillId="363" borderId="362" xfId="0" applyFont="1" applyFill="1" applyBorder="1" applyAlignment="1">
      <alignment horizontal="center"/>
    </xf>
    <xf numFmtId="4" fontId="363" fillId="364" borderId="363" xfId="0" applyNumberFormat="1" applyFont="1" applyFill="1" applyBorder="1" applyAlignment="1">
      <alignment horizontal="right"/>
    </xf>
    <xf numFmtId="0" fontId="364" fillId="365" borderId="364" xfId="0" applyFont="1" applyFill="1" applyBorder="1" applyAlignment="1">
      <alignment horizontal="center"/>
    </xf>
    <xf numFmtId="4" fontId="365" fillId="366" borderId="365" xfId="0" applyNumberFormat="1" applyFont="1" applyFill="1" applyBorder="1" applyAlignment="1">
      <alignment horizontal="right"/>
    </xf>
    <xf numFmtId="0" fontId="366" fillId="367" borderId="366" xfId="0" applyFont="1" applyFill="1" applyBorder="1" applyAlignment="1">
      <alignment horizontal="center"/>
    </xf>
    <xf numFmtId="4" fontId="367" fillId="368" borderId="367" xfId="0" applyNumberFormat="1" applyFont="1" applyFill="1" applyBorder="1" applyAlignment="1">
      <alignment horizontal="right"/>
    </xf>
    <xf numFmtId="0" fontId="368" fillId="369" borderId="368" xfId="0" applyFont="1" applyFill="1" applyBorder="1" applyAlignment="1">
      <alignment horizontal="center"/>
    </xf>
    <xf numFmtId="4" fontId="369" fillId="370" borderId="369" xfId="0" applyNumberFormat="1" applyFont="1" applyFill="1" applyBorder="1" applyAlignment="1">
      <alignment horizontal="right"/>
    </xf>
    <xf numFmtId="0" fontId="370" fillId="371" borderId="370" xfId="0" applyFont="1" applyFill="1" applyBorder="1" applyAlignment="1">
      <alignment horizontal="center"/>
    </xf>
    <xf numFmtId="4" fontId="371" fillId="372" borderId="371" xfId="0" applyNumberFormat="1" applyFont="1" applyFill="1" applyBorder="1" applyAlignment="1">
      <alignment horizontal="right"/>
    </xf>
    <xf numFmtId="0" fontId="372" fillId="373" borderId="372" xfId="0" applyFont="1" applyFill="1" applyBorder="1" applyAlignment="1">
      <alignment horizontal="center"/>
    </xf>
    <xf numFmtId="4" fontId="373" fillId="374" borderId="373" xfId="0" applyNumberFormat="1" applyFont="1" applyFill="1" applyBorder="1" applyAlignment="1">
      <alignment horizontal="right"/>
    </xf>
    <xf numFmtId="0" fontId="374" fillId="375" borderId="374" xfId="0" applyFont="1" applyFill="1" applyBorder="1" applyAlignment="1">
      <alignment horizontal="center"/>
    </xf>
    <xf numFmtId="4" fontId="375" fillId="376" borderId="375" xfId="0" applyNumberFormat="1" applyFont="1" applyFill="1" applyBorder="1" applyAlignment="1">
      <alignment horizontal="right"/>
    </xf>
    <xf numFmtId="0" fontId="376" fillId="377" borderId="376" xfId="0" applyFont="1" applyFill="1" applyBorder="1" applyAlignment="1">
      <alignment horizontal="center"/>
    </xf>
    <xf numFmtId="4" fontId="377" fillId="378" borderId="377" xfId="0" applyNumberFormat="1" applyFont="1" applyFill="1" applyBorder="1" applyAlignment="1">
      <alignment horizontal="right"/>
    </xf>
    <xf numFmtId="0" fontId="378" fillId="379" borderId="378" xfId="0" applyFont="1" applyFill="1" applyBorder="1" applyAlignment="1">
      <alignment horizontal="center"/>
    </xf>
    <xf numFmtId="4" fontId="379" fillId="380" borderId="379" xfId="0" applyNumberFormat="1" applyFont="1" applyFill="1" applyBorder="1" applyAlignment="1">
      <alignment horizontal="right"/>
    </xf>
    <xf numFmtId="0" fontId="380" fillId="381" borderId="380" xfId="0" applyFont="1" applyFill="1" applyBorder="1" applyAlignment="1">
      <alignment horizontal="center"/>
    </xf>
    <xf numFmtId="4" fontId="381" fillId="382" borderId="381" xfId="0" applyNumberFormat="1" applyFont="1" applyFill="1" applyBorder="1" applyAlignment="1">
      <alignment horizontal="right"/>
    </xf>
    <xf numFmtId="0" fontId="382" fillId="383" borderId="382" xfId="0" applyFont="1" applyFill="1" applyBorder="1" applyAlignment="1">
      <alignment horizontal="center"/>
    </xf>
    <xf numFmtId="4" fontId="383" fillId="384" borderId="383" xfId="0" applyNumberFormat="1" applyFont="1" applyFill="1" applyBorder="1" applyAlignment="1">
      <alignment horizontal="right"/>
    </xf>
    <xf numFmtId="0" fontId="384" fillId="385" borderId="384" xfId="0" applyFont="1" applyFill="1" applyBorder="1" applyAlignment="1">
      <alignment horizontal="center"/>
    </xf>
    <xf numFmtId="4" fontId="385" fillId="386" borderId="385" xfId="0" applyNumberFormat="1" applyFont="1" applyFill="1" applyBorder="1" applyAlignment="1">
      <alignment horizontal="right"/>
    </xf>
    <xf numFmtId="0" fontId="386" fillId="387" borderId="386" xfId="0" applyFont="1" applyFill="1" applyBorder="1" applyAlignment="1">
      <alignment horizontal="center"/>
    </xf>
    <xf numFmtId="4" fontId="387" fillId="388" borderId="387" xfId="0" applyNumberFormat="1" applyFont="1" applyFill="1" applyBorder="1" applyAlignment="1">
      <alignment horizontal="right"/>
    </xf>
    <xf numFmtId="0" fontId="388" fillId="389" borderId="388" xfId="0" applyFont="1" applyFill="1" applyBorder="1" applyAlignment="1">
      <alignment horizontal="center"/>
    </xf>
    <xf numFmtId="4" fontId="389" fillId="390" borderId="389" xfId="0" applyNumberFormat="1" applyFont="1" applyFill="1" applyBorder="1" applyAlignment="1">
      <alignment horizontal="right"/>
    </xf>
    <xf numFmtId="0" fontId="390" fillId="391" borderId="390" xfId="0" applyFont="1" applyFill="1" applyBorder="1" applyAlignment="1">
      <alignment horizontal="center"/>
    </xf>
    <xf numFmtId="4" fontId="391" fillId="392" borderId="391" xfId="0" applyNumberFormat="1" applyFont="1" applyFill="1" applyBorder="1" applyAlignment="1">
      <alignment horizontal="right"/>
    </xf>
    <xf numFmtId="0" fontId="392" fillId="393" borderId="392" xfId="0" applyFont="1" applyFill="1" applyBorder="1" applyAlignment="1">
      <alignment horizontal="center"/>
    </xf>
    <xf numFmtId="4" fontId="393" fillId="394" borderId="393" xfId="0" applyNumberFormat="1" applyFont="1" applyFill="1" applyBorder="1" applyAlignment="1">
      <alignment horizontal="right"/>
    </xf>
    <xf numFmtId="0" fontId="394" fillId="395" borderId="394" xfId="0" applyFont="1" applyFill="1" applyBorder="1" applyAlignment="1">
      <alignment horizontal="center"/>
    </xf>
    <xf numFmtId="4" fontId="395" fillId="396" borderId="395" xfId="0" applyNumberFormat="1" applyFont="1" applyFill="1" applyBorder="1" applyAlignment="1">
      <alignment horizontal="right"/>
    </xf>
    <xf numFmtId="0" fontId="396" fillId="397" borderId="396" xfId="0" applyFont="1" applyFill="1" applyBorder="1" applyAlignment="1">
      <alignment horizontal="center"/>
    </xf>
    <xf numFmtId="4" fontId="397" fillId="398" borderId="397" xfId="0" applyNumberFormat="1" applyFont="1" applyFill="1" applyBorder="1" applyAlignment="1">
      <alignment horizontal="right"/>
    </xf>
    <xf numFmtId="0" fontId="398" fillId="399" borderId="398" xfId="0" applyFont="1" applyFill="1" applyBorder="1" applyAlignment="1">
      <alignment horizontal="center"/>
    </xf>
    <xf numFmtId="4" fontId="399" fillId="400" borderId="399" xfId="0" applyNumberFormat="1" applyFont="1" applyFill="1" applyBorder="1" applyAlignment="1">
      <alignment horizontal="right"/>
    </xf>
    <xf numFmtId="0" fontId="400" fillId="401" borderId="400" xfId="0" applyFont="1" applyFill="1" applyBorder="1" applyAlignment="1">
      <alignment horizontal="center"/>
    </xf>
    <xf numFmtId="4" fontId="401" fillId="402" borderId="401" xfId="0" applyNumberFormat="1" applyFont="1" applyFill="1" applyBorder="1" applyAlignment="1">
      <alignment horizontal="right"/>
    </xf>
    <xf numFmtId="0" fontId="402" fillId="403" borderId="402" xfId="0" applyFont="1" applyFill="1" applyBorder="1" applyAlignment="1">
      <alignment horizontal="center"/>
    </xf>
    <xf numFmtId="4" fontId="403" fillId="404" borderId="403" xfId="0" applyNumberFormat="1" applyFont="1" applyFill="1" applyBorder="1" applyAlignment="1">
      <alignment horizontal="right"/>
    </xf>
    <xf numFmtId="0" fontId="404" fillId="405" borderId="404" xfId="0" applyFont="1" applyFill="1" applyBorder="1" applyAlignment="1">
      <alignment horizontal="center"/>
    </xf>
    <xf numFmtId="4" fontId="405" fillId="406" borderId="405" xfId="0" applyNumberFormat="1" applyFont="1" applyFill="1" applyBorder="1" applyAlignment="1">
      <alignment horizontal="right"/>
    </xf>
    <xf numFmtId="0" fontId="406" fillId="407" borderId="406" xfId="0" applyFont="1" applyFill="1" applyBorder="1" applyAlignment="1">
      <alignment horizontal="center"/>
    </xf>
    <xf numFmtId="4" fontId="407" fillId="408" borderId="407" xfId="0" applyNumberFormat="1" applyFont="1" applyFill="1" applyBorder="1" applyAlignment="1">
      <alignment horizontal="right"/>
    </xf>
    <xf numFmtId="0" fontId="408" fillId="409" borderId="408" xfId="0" applyFont="1" applyFill="1" applyBorder="1" applyAlignment="1">
      <alignment horizontal="center"/>
    </xf>
    <xf numFmtId="4" fontId="409" fillId="410" borderId="409" xfId="0" applyNumberFormat="1" applyFont="1" applyFill="1" applyBorder="1" applyAlignment="1">
      <alignment horizontal="right"/>
    </xf>
    <xf numFmtId="0" fontId="410" fillId="411" borderId="410" xfId="0" applyFont="1" applyFill="1" applyBorder="1" applyAlignment="1">
      <alignment horizontal="center"/>
    </xf>
    <xf numFmtId="4" fontId="411" fillId="412" borderId="411" xfId="0" applyNumberFormat="1" applyFont="1" applyFill="1" applyBorder="1" applyAlignment="1">
      <alignment horizontal="right"/>
    </xf>
    <xf numFmtId="0" fontId="412" fillId="413" borderId="412" xfId="0" applyFont="1" applyFill="1" applyBorder="1" applyAlignment="1">
      <alignment horizontal="center"/>
    </xf>
    <xf numFmtId="4" fontId="413" fillId="414" borderId="413" xfId="0" applyNumberFormat="1" applyFont="1" applyFill="1" applyBorder="1" applyAlignment="1">
      <alignment horizontal="right"/>
    </xf>
    <xf numFmtId="0" fontId="414" fillId="415" borderId="414" xfId="0" applyFont="1" applyFill="1" applyBorder="1" applyAlignment="1">
      <alignment horizontal="center"/>
    </xf>
    <xf numFmtId="4" fontId="415" fillId="416" borderId="415" xfId="0" applyNumberFormat="1" applyFont="1" applyFill="1" applyBorder="1" applyAlignment="1">
      <alignment horizontal="right"/>
    </xf>
    <xf numFmtId="0" fontId="416" fillId="417" borderId="416" xfId="0" applyFont="1" applyFill="1" applyBorder="1" applyAlignment="1">
      <alignment horizontal="center"/>
    </xf>
    <xf numFmtId="4" fontId="417" fillId="418" borderId="417" xfId="0" applyNumberFormat="1" applyFont="1" applyFill="1" applyBorder="1" applyAlignment="1">
      <alignment horizontal="right"/>
    </xf>
    <xf numFmtId="0" fontId="418" fillId="419" borderId="418" xfId="0" applyFont="1" applyFill="1" applyBorder="1" applyAlignment="1">
      <alignment horizontal="center"/>
    </xf>
    <xf numFmtId="4" fontId="419" fillId="420" borderId="419" xfId="0" applyNumberFormat="1" applyFont="1" applyFill="1" applyBorder="1" applyAlignment="1">
      <alignment horizontal="right"/>
    </xf>
    <xf numFmtId="0" fontId="420" fillId="421" borderId="420" xfId="0" applyFont="1" applyFill="1" applyBorder="1" applyAlignment="1">
      <alignment horizontal="center"/>
    </xf>
    <xf numFmtId="4" fontId="421" fillId="422" borderId="421" xfId="0" applyNumberFormat="1" applyFont="1" applyFill="1" applyBorder="1" applyAlignment="1">
      <alignment horizontal="right"/>
    </xf>
    <xf numFmtId="0" fontId="422" fillId="423" borderId="422" xfId="0" applyFont="1" applyFill="1" applyBorder="1" applyAlignment="1">
      <alignment horizontal="center"/>
    </xf>
    <xf numFmtId="4" fontId="423" fillId="424" borderId="423" xfId="0" applyNumberFormat="1" applyFont="1" applyFill="1" applyBorder="1" applyAlignment="1">
      <alignment horizontal="right"/>
    </xf>
    <xf numFmtId="0" fontId="424" fillId="425" borderId="424" xfId="0" applyFont="1" applyFill="1" applyBorder="1" applyAlignment="1">
      <alignment horizontal="center"/>
    </xf>
    <xf numFmtId="4" fontId="425" fillId="426" borderId="425" xfId="0" applyNumberFormat="1" applyFont="1" applyFill="1" applyBorder="1" applyAlignment="1">
      <alignment horizontal="right"/>
    </xf>
    <xf numFmtId="0" fontId="426" fillId="427" borderId="426" xfId="0" applyFont="1" applyFill="1" applyBorder="1" applyAlignment="1">
      <alignment horizontal="center"/>
    </xf>
    <xf numFmtId="4" fontId="427" fillId="428" borderId="427" xfId="0" applyNumberFormat="1" applyFont="1" applyFill="1" applyBorder="1" applyAlignment="1">
      <alignment horizontal="right"/>
    </xf>
    <xf numFmtId="0" fontId="428" fillId="429" borderId="428" xfId="0" applyFont="1" applyFill="1" applyBorder="1" applyAlignment="1">
      <alignment horizontal="center"/>
    </xf>
    <xf numFmtId="4" fontId="429" fillId="430" borderId="429" xfId="0" applyNumberFormat="1" applyFont="1" applyFill="1" applyBorder="1" applyAlignment="1">
      <alignment horizontal="right"/>
    </xf>
    <xf numFmtId="0" fontId="430" fillId="431" borderId="430" xfId="0" applyFont="1" applyFill="1" applyBorder="1" applyAlignment="1">
      <alignment horizontal="center"/>
    </xf>
    <xf numFmtId="4" fontId="431" fillId="432" borderId="431" xfId="0" applyNumberFormat="1" applyFont="1" applyFill="1" applyBorder="1" applyAlignment="1">
      <alignment horizontal="right"/>
    </xf>
    <xf numFmtId="0" fontId="432" fillId="433" borderId="432" xfId="0" applyFont="1" applyFill="1" applyBorder="1" applyAlignment="1">
      <alignment horizontal="center"/>
    </xf>
    <xf numFmtId="4" fontId="433" fillId="434" borderId="433" xfId="0" applyNumberFormat="1" applyFont="1" applyFill="1" applyBorder="1" applyAlignment="1">
      <alignment horizontal="right"/>
    </xf>
    <xf numFmtId="0" fontId="434" fillId="435" borderId="434" xfId="0" applyFont="1" applyFill="1" applyBorder="1" applyAlignment="1">
      <alignment horizontal="center"/>
    </xf>
    <xf numFmtId="4" fontId="435" fillId="436" borderId="435" xfId="0" applyNumberFormat="1" applyFont="1" applyFill="1" applyBorder="1" applyAlignment="1">
      <alignment horizontal="right"/>
    </xf>
    <xf numFmtId="0" fontId="436" fillId="437" borderId="436" xfId="0" applyFont="1" applyFill="1" applyBorder="1" applyAlignment="1">
      <alignment horizontal="center"/>
    </xf>
    <xf numFmtId="4" fontId="437" fillId="438" borderId="437" xfId="0" applyNumberFormat="1" applyFont="1" applyFill="1" applyBorder="1" applyAlignment="1">
      <alignment horizontal="right"/>
    </xf>
    <xf numFmtId="0" fontId="438" fillId="439" borderId="438" xfId="0" applyFont="1" applyFill="1" applyBorder="1" applyAlignment="1">
      <alignment horizontal="center"/>
    </xf>
    <xf numFmtId="4" fontId="439" fillId="440" borderId="439" xfId="0" applyNumberFormat="1" applyFont="1" applyFill="1" applyBorder="1" applyAlignment="1">
      <alignment horizontal="right"/>
    </xf>
    <xf numFmtId="0" fontId="440" fillId="441" borderId="440" xfId="0" applyFont="1" applyFill="1" applyBorder="1" applyAlignment="1">
      <alignment horizontal="center"/>
    </xf>
    <xf numFmtId="4" fontId="441" fillId="442" borderId="441" xfId="0" applyNumberFormat="1" applyFont="1" applyFill="1" applyBorder="1" applyAlignment="1">
      <alignment horizontal="right"/>
    </xf>
    <xf numFmtId="0" fontId="442" fillId="443" borderId="442" xfId="0" applyFont="1" applyFill="1" applyBorder="1" applyAlignment="1">
      <alignment horizontal="center"/>
    </xf>
    <xf numFmtId="4" fontId="443" fillId="444" borderId="443" xfId="0" applyNumberFormat="1" applyFont="1" applyFill="1" applyBorder="1" applyAlignment="1">
      <alignment horizontal="right"/>
    </xf>
    <xf numFmtId="0" fontId="444" fillId="445" borderId="444" xfId="0" applyFont="1" applyFill="1" applyBorder="1" applyAlignment="1">
      <alignment horizontal="center"/>
    </xf>
    <xf numFmtId="4" fontId="445" fillId="446" borderId="445" xfId="0" applyNumberFormat="1" applyFont="1" applyFill="1" applyBorder="1" applyAlignment="1">
      <alignment horizontal="right"/>
    </xf>
    <xf numFmtId="0" fontId="446" fillId="447" borderId="446" xfId="0" applyFont="1" applyFill="1" applyBorder="1" applyAlignment="1">
      <alignment horizontal="center"/>
    </xf>
    <xf numFmtId="4" fontId="447" fillId="448" borderId="447" xfId="0" applyNumberFormat="1" applyFont="1" applyFill="1" applyBorder="1" applyAlignment="1">
      <alignment horizontal="right"/>
    </xf>
    <xf numFmtId="0" fontId="448" fillId="449" borderId="448" xfId="0" applyFont="1" applyFill="1" applyBorder="1" applyAlignment="1">
      <alignment horizontal="center"/>
    </xf>
    <xf numFmtId="4" fontId="449" fillId="450" borderId="449" xfId="0" applyNumberFormat="1" applyFont="1" applyFill="1" applyBorder="1" applyAlignment="1">
      <alignment horizontal="right"/>
    </xf>
    <xf numFmtId="0" fontId="450" fillId="451" borderId="450" xfId="0" applyFont="1" applyFill="1" applyBorder="1" applyAlignment="1">
      <alignment horizontal="center"/>
    </xf>
    <xf numFmtId="4" fontId="451" fillId="452" borderId="451" xfId="0" applyNumberFormat="1" applyFont="1" applyFill="1" applyBorder="1" applyAlignment="1">
      <alignment horizontal="right"/>
    </xf>
    <xf numFmtId="0" fontId="452" fillId="453" borderId="452" xfId="0" applyFont="1" applyFill="1" applyBorder="1" applyAlignment="1">
      <alignment horizontal="center"/>
    </xf>
    <xf numFmtId="4" fontId="453" fillId="454" borderId="453" xfId="0" applyNumberFormat="1" applyFont="1" applyFill="1" applyBorder="1" applyAlignment="1">
      <alignment horizontal="right"/>
    </xf>
    <xf numFmtId="0" fontId="454" fillId="455" borderId="454" xfId="0" applyFont="1" applyFill="1" applyBorder="1" applyAlignment="1">
      <alignment horizontal="center"/>
    </xf>
    <xf numFmtId="4" fontId="455" fillId="456" borderId="455" xfId="0" applyNumberFormat="1" applyFont="1" applyFill="1" applyBorder="1" applyAlignment="1">
      <alignment horizontal="right"/>
    </xf>
    <xf numFmtId="0" fontId="456" fillId="457" borderId="456" xfId="0" applyFont="1" applyFill="1" applyBorder="1" applyAlignment="1">
      <alignment horizontal="center"/>
    </xf>
    <xf numFmtId="4" fontId="457" fillId="458" borderId="457" xfId="0" applyNumberFormat="1" applyFont="1" applyFill="1" applyBorder="1" applyAlignment="1">
      <alignment horizontal="right"/>
    </xf>
    <xf numFmtId="0" fontId="458" fillId="459" borderId="458" xfId="0" applyFont="1" applyFill="1" applyBorder="1" applyAlignment="1">
      <alignment horizontal="center"/>
    </xf>
    <xf numFmtId="4" fontId="459" fillId="460" borderId="459" xfId="0" applyNumberFormat="1" applyFont="1" applyFill="1" applyBorder="1" applyAlignment="1">
      <alignment horizontal="right"/>
    </xf>
    <xf numFmtId="0" fontId="460" fillId="461" borderId="460" xfId="0" applyFont="1" applyFill="1" applyBorder="1" applyAlignment="1">
      <alignment horizontal="center"/>
    </xf>
    <xf numFmtId="4" fontId="461" fillId="462" borderId="461" xfId="0" applyNumberFormat="1" applyFont="1" applyFill="1" applyBorder="1" applyAlignment="1">
      <alignment horizontal="right"/>
    </xf>
    <xf numFmtId="0" fontId="462" fillId="463" borderId="462" xfId="0" applyFont="1" applyFill="1" applyBorder="1" applyAlignment="1">
      <alignment horizontal="center"/>
    </xf>
    <xf numFmtId="4" fontId="463" fillId="464" borderId="463" xfId="0" applyNumberFormat="1" applyFont="1" applyFill="1" applyBorder="1" applyAlignment="1">
      <alignment horizontal="right"/>
    </xf>
    <xf numFmtId="0" fontId="464" fillId="465" borderId="464" xfId="0" applyFont="1" applyFill="1" applyBorder="1" applyAlignment="1">
      <alignment horizontal="center"/>
    </xf>
    <xf numFmtId="4" fontId="465" fillId="466" borderId="465" xfId="0" applyNumberFormat="1" applyFont="1" applyFill="1" applyBorder="1" applyAlignment="1">
      <alignment horizontal="right"/>
    </xf>
    <xf numFmtId="0" fontId="466" fillId="467" borderId="466" xfId="0" applyFont="1" applyFill="1" applyBorder="1" applyAlignment="1">
      <alignment horizontal="center"/>
    </xf>
    <xf numFmtId="4" fontId="467" fillId="468" borderId="467" xfId="0" applyNumberFormat="1" applyFont="1" applyFill="1" applyBorder="1" applyAlignment="1">
      <alignment horizontal="right"/>
    </xf>
    <xf numFmtId="0" fontId="468" fillId="469" borderId="468" xfId="0" applyFont="1" applyFill="1" applyBorder="1" applyAlignment="1">
      <alignment horizontal="center"/>
    </xf>
    <xf numFmtId="4" fontId="469" fillId="470" borderId="469" xfId="0" applyNumberFormat="1" applyFont="1" applyFill="1" applyBorder="1" applyAlignment="1">
      <alignment horizontal="right"/>
    </xf>
    <xf numFmtId="0" fontId="470" fillId="471" borderId="470" xfId="0" applyFont="1" applyFill="1" applyBorder="1" applyAlignment="1">
      <alignment horizontal="center"/>
    </xf>
    <xf numFmtId="4" fontId="471" fillId="472" borderId="471" xfId="0" applyNumberFormat="1" applyFont="1" applyFill="1" applyBorder="1" applyAlignment="1">
      <alignment horizontal="right"/>
    </xf>
    <xf numFmtId="0" fontId="472" fillId="473" borderId="472" xfId="0" applyFont="1" applyFill="1" applyBorder="1" applyAlignment="1">
      <alignment horizontal="center"/>
    </xf>
    <xf numFmtId="4" fontId="473" fillId="474" borderId="473" xfId="0" applyNumberFormat="1" applyFont="1" applyFill="1" applyBorder="1" applyAlignment="1">
      <alignment horizontal="right"/>
    </xf>
    <xf numFmtId="0" fontId="474" fillId="475" borderId="474" xfId="0" applyFont="1" applyFill="1" applyBorder="1" applyAlignment="1">
      <alignment horizontal="center"/>
    </xf>
    <xf numFmtId="4" fontId="475" fillId="476" borderId="475" xfId="0" applyNumberFormat="1" applyFont="1" applyFill="1" applyBorder="1" applyAlignment="1">
      <alignment horizontal="right"/>
    </xf>
    <xf numFmtId="0" fontId="476" fillId="477" borderId="476" xfId="0" applyFont="1" applyFill="1" applyBorder="1" applyAlignment="1">
      <alignment horizontal="center"/>
    </xf>
    <xf numFmtId="4" fontId="477" fillId="478" borderId="477" xfId="0" applyNumberFormat="1" applyFont="1" applyFill="1" applyBorder="1" applyAlignment="1">
      <alignment horizontal="right"/>
    </xf>
    <xf numFmtId="0" fontId="478" fillId="479" borderId="478" xfId="0" applyFont="1" applyFill="1" applyBorder="1" applyAlignment="1">
      <alignment horizontal="center"/>
    </xf>
    <xf numFmtId="4" fontId="479" fillId="480" borderId="479" xfId="0" applyNumberFormat="1" applyFont="1" applyFill="1" applyBorder="1" applyAlignment="1">
      <alignment horizontal="right"/>
    </xf>
    <xf numFmtId="0" fontId="480" fillId="481" borderId="480" xfId="0" applyFont="1" applyFill="1" applyBorder="1" applyAlignment="1">
      <alignment horizontal="center"/>
    </xf>
    <xf numFmtId="4" fontId="481" fillId="482" borderId="481" xfId="0" applyNumberFormat="1" applyFont="1" applyFill="1" applyBorder="1" applyAlignment="1">
      <alignment horizontal="right"/>
    </xf>
    <xf numFmtId="0" fontId="482" fillId="483" borderId="482" xfId="0" applyFont="1" applyFill="1" applyBorder="1" applyAlignment="1">
      <alignment horizontal="center"/>
    </xf>
    <xf numFmtId="4" fontId="483" fillId="484" borderId="483" xfId="0" applyNumberFormat="1" applyFont="1" applyFill="1" applyBorder="1" applyAlignment="1">
      <alignment horizontal="right"/>
    </xf>
    <xf numFmtId="0" fontId="484" fillId="485" borderId="484" xfId="0" applyFont="1" applyFill="1" applyBorder="1" applyAlignment="1">
      <alignment horizontal="center"/>
    </xf>
    <xf numFmtId="4" fontId="485" fillId="486" borderId="485" xfId="0" applyNumberFormat="1" applyFont="1" applyFill="1" applyBorder="1" applyAlignment="1">
      <alignment horizontal="right"/>
    </xf>
    <xf numFmtId="0" fontId="486" fillId="487" borderId="486" xfId="0" applyFont="1" applyFill="1" applyBorder="1" applyAlignment="1">
      <alignment horizontal="center"/>
    </xf>
    <xf numFmtId="4" fontId="487" fillId="488" borderId="487" xfId="0" applyNumberFormat="1" applyFont="1" applyFill="1" applyBorder="1" applyAlignment="1">
      <alignment horizontal="right"/>
    </xf>
    <xf numFmtId="0" fontId="488" fillId="489" borderId="488" xfId="0" applyFont="1" applyFill="1" applyBorder="1" applyAlignment="1">
      <alignment horizontal="center"/>
    </xf>
    <xf numFmtId="4" fontId="489" fillId="490" borderId="489" xfId="0" applyNumberFormat="1" applyFont="1" applyFill="1" applyBorder="1" applyAlignment="1">
      <alignment horizontal="right"/>
    </xf>
    <xf numFmtId="0" fontId="490" fillId="491" borderId="490" xfId="0" applyFont="1" applyFill="1" applyBorder="1" applyAlignment="1">
      <alignment horizontal="center"/>
    </xf>
    <xf numFmtId="4" fontId="491" fillId="492" borderId="491" xfId="0" applyNumberFormat="1" applyFont="1" applyFill="1" applyBorder="1" applyAlignment="1">
      <alignment horizontal="right"/>
    </xf>
    <xf numFmtId="0" fontId="492" fillId="493" borderId="492" xfId="0" applyFont="1" applyFill="1" applyBorder="1" applyAlignment="1">
      <alignment horizontal="center"/>
    </xf>
    <xf numFmtId="4" fontId="493" fillId="494" borderId="493" xfId="0" applyNumberFormat="1" applyFont="1" applyFill="1" applyBorder="1" applyAlignment="1">
      <alignment horizontal="right"/>
    </xf>
    <xf numFmtId="0" fontId="494" fillId="495" borderId="494" xfId="0" applyFont="1" applyFill="1" applyBorder="1" applyAlignment="1">
      <alignment horizontal="center"/>
    </xf>
    <xf numFmtId="4" fontId="495" fillId="496" borderId="495" xfId="0" applyNumberFormat="1" applyFont="1" applyFill="1" applyBorder="1" applyAlignment="1">
      <alignment horizontal="right"/>
    </xf>
    <xf numFmtId="0" fontId="496" fillId="497" borderId="496" xfId="0" applyFont="1" applyFill="1" applyBorder="1" applyAlignment="1">
      <alignment horizontal="center"/>
    </xf>
    <xf numFmtId="4" fontId="497" fillId="498" borderId="497" xfId="0" applyNumberFormat="1" applyFont="1" applyFill="1" applyBorder="1" applyAlignment="1">
      <alignment horizontal="right"/>
    </xf>
    <xf numFmtId="0" fontId="498" fillId="499" borderId="498" xfId="0" applyFont="1" applyFill="1" applyBorder="1" applyAlignment="1">
      <alignment horizontal="center"/>
    </xf>
    <xf numFmtId="4" fontId="499" fillId="500" borderId="499" xfId="0" applyNumberFormat="1" applyFont="1" applyFill="1" applyBorder="1" applyAlignment="1">
      <alignment horizontal="right"/>
    </xf>
    <xf numFmtId="0" fontId="500" fillId="501" borderId="500" xfId="0" applyFont="1" applyFill="1" applyBorder="1" applyAlignment="1">
      <alignment horizontal="center"/>
    </xf>
    <xf numFmtId="4" fontId="501" fillId="502" borderId="501" xfId="0" applyNumberFormat="1" applyFont="1" applyFill="1" applyBorder="1" applyAlignment="1">
      <alignment horizontal="right"/>
    </xf>
    <xf numFmtId="0" fontId="502" fillId="503" borderId="502" xfId="0" applyFont="1" applyFill="1" applyBorder="1" applyAlignment="1">
      <alignment horizontal="center"/>
    </xf>
    <xf numFmtId="4" fontId="503" fillId="504" borderId="503" xfId="0" applyNumberFormat="1" applyFont="1" applyFill="1" applyBorder="1" applyAlignment="1">
      <alignment horizontal="right"/>
    </xf>
    <xf numFmtId="0" fontId="504" fillId="505" borderId="504" xfId="0" applyFont="1" applyFill="1" applyBorder="1" applyAlignment="1">
      <alignment horizontal="center"/>
    </xf>
    <xf numFmtId="4" fontId="505" fillId="506" borderId="505" xfId="0" applyNumberFormat="1" applyFont="1" applyFill="1" applyBorder="1" applyAlignment="1">
      <alignment horizontal="right"/>
    </xf>
    <xf numFmtId="0" fontId="506" fillId="507" borderId="506" xfId="0" applyFont="1" applyFill="1" applyBorder="1" applyAlignment="1">
      <alignment horizontal="center"/>
    </xf>
    <xf numFmtId="4" fontId="507" fillId="508" borderId="507" xfId="0" applyNumberFormat="1" applyFont="1" applyFill="1" applyBorder="1" applyAlignment="1">
      <alignment horizontal="right"/>
    </xf>
    <xf numFmtId="0" fontId="508" fillId="509" borderId="508" xfId="0" applyFont="1" applyFill="1" applyBorder="1" applyAlignment="1">
      <alignment horizontal="center"/>
    </xf>
    <xf numFmtId="4" fontId="509" fillId="510" borderId="509" xfId="0" applyNumberFormat="1" applyFont="1" applyFill="1" applyBorder="1" applyAlignment="1">
      <alignment horizontal="right"/>
    </xf>
    <xf numFmtId="0" fontId="510" fillId="511" borderId="510" xfId="0" applyFont="1" applyFill="1" applyBorder="1" applyAlignment="1">
      <alignment horizontal="center"/>
    </xf>
    <xf numFmtId="4" fontId="511" fillId="512" borderId="511" xfId="0" applyNumberFormat="1" applyFont="1" applyFill="1" applyBorder="1" applyAlignment="1">
      <alignment horizontal="right"/>
    </xf>
    <xf numFmtId="0" fontId="512" fillId="513" borderId="512" xfId="0" applyFont="1" applyFill="1" applyBorder="1" applyAlignment="1">
      <alignment horizontal="center"/>
    </xf>
    <xf numFmtId="4" fontId="513" fillId="514" borderId="513" xfId="0" applyNumberFormat="1" applyFont="1" applyFill="1" applyBorder="1" applyAlignment="1">
      <alignment horizontal="right"/>
    </xf>
    <xf numFmtId="0" fontId="514" fillId="515" borderId="514" xfId="0" applyFont="1" applyFill="1" applyBorder="1" applyAlignment="1">
      <alignment horizontal="center"/>
    </xf>
    <xf numFmtId="4" fontId="515" fillId="516" borderId="515" xfId="0" applyNumberFormat="1" applyFont="1" applyFill="1" applyBorder="1" applyAlignment="1">
      <alignment horizontal="right"/>
    </xf>
    <xf numFmtId="0" fontId="516" fillId="517" borderId="516" xfId="0" applyFont="1" applyFill="1" applyBorder="1" applyAlignment="1">
      <alignment horizontal="center"/>
    </xf>
    <xf numFmtId="4" fontId="517" fillId="518" borderId="517" xfId="0" applyNumberFormat="1" applyFont="1" applyFill="1" applyBorder="1" applyAlignment="1">
      <alignment horizontal="right"/>
    </xf>
    <xf numFmtId="0" fontId="518" fillId="519" borderId="518" xfId="0" applyFont="1" applyFill="1" applyBorder="1" applyAlignment="1">
      <alignment horizontal="center"/>
    </xf>
    <xf numFmtId="4" fontId="519" fillId="520" borderId="519" xfId="0" applyNumberFormat="1" applyFont="1" applyFill="1" applyBorder="1" applyAlignment="1">
      <alignment horizontal="right"/>
    </xf>
    <xf numFmtId="0" fontId="520" fillId="521" borderId="520" xfId="0" applyFont="1" applyFill="1" applyBorder="1" applyAlignment="1">
      <alignment horizontal="center"/>
    </xf>
    <xf numFmtId="4" fontId="521" fillId="522" borderId="521" xfId="0" applyNumberFormat="1" applyFont="1" applyFill="1" applyBorder="1" applyAlignment="1">
      <alignment horizontal="right"/>
    </xf>
    <xf numFmtId="0" fontId="522" fillId="523" borderId="522" xfId="0" applyFont="1" applyFill="1" applyBorder="1" applyAlignment="1">
      <alignment horizontal="center"/>
    </xf>
    <xf numFmtId="4" fontId="523" fillId="524" borderId="523" xfId="0" applyNumberFormat="1" applyFont="1" applyFill="1" applyBorder="1" applyAlignment="1">
      <alignment horizontal="right"/>
    </xf>
    <xf numFmtId="0" fontId="524" fillId="525" borderId="524" xfId="0" applyFont="1" applyFill="1" applyBorder="1" applyAlignment="1">
      <alignment horizontal="center"/>
    </xf>
    <xf numFmtId="4" fontId="525" fillId="526" borderId="525" xfId="0" applyNumberFormat="1" applyFont="1" applyFill="1" applyBorder="1" applyAlignment="1">
      <alignment horizontal="right"/>
    </xf>
    <xf numFmtId="0" fontId="526" fillId="527" borderId="526" xfId="0" applyFont="1" applyFill="1" applyBorder="1" applyAlignment="1">
      <alignment horizontal="center"/>
    </xf>
    <xf numFmtId="4" fontId="527" fillId="528" borderId="527" xfId="0" applyNumberFormat="1" applyFont="1" applyFill="1" applyBorder="1" applyAlignment="1">
      <alignment horizontal="right"/>
    </xf>
    <xf numFmtId="0" fontId="528" fillId="529" borderId="528" xfId="0" applyFont="1" applyFill="1" applyBorder="1" applyAlignment="1">
      <alignment horizontal="center"/>
    </xf>
    <xf numFmtId="4" fontId="529" fillId="530" borderId="529" xfId="0" applyNumberFormat="1" applyFont="1" applyFill="1" applyBorder="1" applyAlignment="1">
      <alignment horizontal="right"/>
    </xf>
    <xf numFmtId="0" fontId="530" fillId="531" borderId="530" xfId="0" applyFont="1" applyFill="1" applyBorder="1" applyAlignment="1">
      <alignment horizontal="center"/>
    </xf>
    <xf numFmtId="4" fontId="531" fillId="532" borderId="531" xfId="0" applyNumberFormat="1" applyFont="1" applyFill="1" applyBorder="1" applyAlignment="1">
      <alignment horizontal="right"/>
    </xf>
    <xf numFmtId="0" fontId="532" fillId="533" borderId="532" xfId="0" applyFont="1" applyFill="1" applyBorder="1" applyAlignment="1">
      <alignment horizontal="center"/>
    </xf>
    <xf numFmtId="4" fontId="533" fillId="534" borderId="533" xfId="0" applyNumberFormat="1" applyFont="1" applyFill="1" applyBorder="1" applyAlignment="1">
      <alignment horizontal="right"/>
    </xf>
    <xf numFmtId="0" fontId="534" fillId="535" borderId="534" xfId="0" applyFont="1" applyFill="1" applyBorder="1" applyAlignment="1">
      <alignment horizontal="center"/>
    </xf>
    <xf numFmtId="4" fontId="535" fillId="536" borderId="535" xfId="0" applyNumberFormat="1" applyFont="1" applyFill="1" applyBorder="1" applyAlignment="1">
      <alignment horizontal="right"/>
    </xf>
    <xf numFmtId="0" fontId="536" fillId="537" borderId="536" xfId="0" applyFont="1" applyFill="1" applyBorder="1" applyAlignment="1">
      <alignment horizontal="center"/>
    </xf>
    <xf numFmtId="4" fontId="537" fillId="538" borderId="537" xfId="0" applyNumberFormat="1" applyFont="1" applyFill="1" applyBorder="1" applyAlignment="1">
      <alignment horizontal="right"/>
    </xf>
    <xf numFmtId="0" fontId="538" fillId="539" borderId="538" xfId="0" applyFont="1" applyFill="1" applyBorder="1" applyAlignment="1">
      <alignment horizontal="center"/>
    </xf>
    <xf numFmtId="4" fontId="539" fillId="540" borderId="539" xfId="0" applyNumberFormat="1" applyFont="1" applyFill="1" applyBorder="1" applyAlignment="1">
      <alignment horizontal="right"/>
    </xf>
    <xf numFmtId="0" fontId="540" fillId="541" borderId="540" xfId="0" applyFont="1" applyFill="1" applyBorder="1" applyAlignment="1">
      <alignment horizontal="center"/>
    </xf>
    <xf numFmtId="4" fontId="541" fillId="542" borderId="541" xfId="0" applyNumberFormat="1" applyFont="1" applyFill="1" applyBorder="1" applyAlignment="1">
      <alignment horizontal="right"/>
    </xf>
    <xf numFmtId="0" fontId="542" fillId="543" borderId="542" xfId="0" applyFont="1" applyFill="1" applyBorder="1" applyAlignment="1">
      <alignment horizontal="center"/>
    </xf>
    <xf numFmtId="4" fontId="543" fillId="544" borderId="543" xfId="0" applyNumberFormat="1" applyFont="1" applyFill="1" applyBorder="1" applyAlignment="1">
      <alignment horizontal="right"/>
    </xf>
    <xf numFmtId="0" fontId="544" fillId="545" borderId="544" xfId="0" applyFont="1" applyFill="1" applyBorder="1" applyAlignment="1">
      <alignment horizontal="center"/>
    </xf>
    <xf numFmtId="4" fontId="545" fillId="546" borderId="545" xfId="0" applyNumberFormat="1" applyFont="1" applyFill="1" applyBorder="1" applyAlignment="1">
      <alignment horizontal="right"/>
    </xf>
    <xf numFmtId="0" fontId="546" fillId="547" borderId="546" xfId="0" applyFont="1" applyFill="1" applyBorder="1" applyAlignment="1">
      <alignment horizontal="center"/>
    </xf>
    <xf numFmtId="4" fontId="547" fillId="548" borderId="547" xfId="0" applyNumberFormat="1" applyFont="1" applyFill="1" applyBorder="1" applyAlignment="1">
      <alignment horizontal="right"/>
    </xf>
    <xf numFmtId="0" fontId="548" fillId="549" borderId="548" xfId="0" applyFont="1" applyFill="1" applyBorder="1" applyAlignment="1">
      <alignment horizontal="center"/>
    </xf>
    <xf numFmtId="4" fontId="549" fillId="550" borderId="549" xfId="0" applyNumberFormat="1" applyFont="1" applyFill="1" applyBorder="1" applyAlignment="1">
      <alignment horizontal="right"/>
    </xf>
    <xf numFmtId="0" fontId="550" fillId="551" borderId="550" xfId="0" applyFont="1" applyFill="1" applyBorder="1" applyAlignment="1">
      <alignment horizontal="center"/>
    </xf>
    <xf numFmtId="4" fontId="551" fillId="552" borderId="551" xfId="0" applyNumberFormat="1" applyFont="1" applyFill="1" applyBorder="1" applyAlignment="1">
      <alignment horizontal="right"/>
    </xf>
    <xf numFmtId="0" fontId="552" fillId="553" borderId="552" xfId="0" applyFont="1" applyFill="1" applyBorder="1" applyAlignment="1">
      <alignment horizontal="center"/>
    </xf>
    <xf numFmtId="4" fontId="553" fillId="554" borderId="553" xfId="0" applyNumberFormat="1" applyFont="1" applyFill="1" applyBorder="1" applyAlignment="1">
      <alignment horizontal="right"/>
    </xf>
    <xf numFmtId="0" fontId="554" fillId="555" borderId="554" xfId="0" applyFont="1" applyFill="1" applyBorder="1" applyAlignment="1">
      <alignment horizontal="center"/>
    </xf>
    <xf numFmtId="4" fontId="555" fillId="556" borderId="555" xfId="0" applyNumberFormat="1" applyFont="1" applyFill="1" applyBorder="1" applyAlignment="1">
      <alignment horizontal="right"/>
    </xf>
    <xf numFmtId="0" fontId="556" fillId="557" borderId="556" xfId="0" applyFont="1" applyFill="1" applyBorder="1" applyAlignment="1">
      <alignment horizontal="center"/>
    </xf>
    <xf numFmtId="4" fontId="557" fillId="558" borderId="557" xfId="0" applyNumberFormat="1" applyFont="1" applyFill="1" applyBorder="1" applyAlignment="1">
      <alignment horizontal="right"/>
    </xf>
    <xf numFmtId="0" fontId="558" fillId="559" borderId="558" xfId="0" applyFont="1" applyFill="1" applyBorder="1" applyAlignment="1">
      <alignment horizontal="center"/>
    </xf>
    <xf numFmtId="4" fontId="559" fillId="560" borderId="559" xfId="0" applyNumberFormat="1" applyFont="1" applyFill="1" applyBorder="1" applyAlignment="1">
      <alignment horizontal="right"/>
    </xf>
    <xf numFmtId="0" fontId="560" fillId="561" borderId="560" xfId="0" applyFont="1" applyFill="1" applyBorder="1" applyAlignment="1">
      <alignment horizontal="center"/>
    </xf>
    <xf numFmtId="4" fontId="561" fillId="562" borderId="561" xfId="0" applyNumberFormat="1" applyFont="1" applyFill="1" applyBorder="1" applyAlignment="1">
      <alignment horizontal="right"/>
    </xf>
    <xf numFmtId="0" fontId="562" fillId="563" borderId="562" xfId="0" applyFont="1" applyFill="1" applyBorder="1" applyAlignment="1">
      <alignment horizontal="center"/>
    </xf>
    <xf numFmtId="4" fontId="563" fillId="564" borderId="563" xfId="0" applyNumberFormat="1" applyFont="1" applyFill="1" applyBorder="1" applyAlignment="1">
      <alignment horizontal="right"/>
    </xf>
    <xf numFmtId="0" fontId="564" fillId="565" borderId="564" xfId="0" applyFont="1" applyFill="1" applyBorder="1" applyAlignment="1">
      <alignment horizontal="center"/>
    </xf>
    <xf numFmtId="4" fontId="565" fillId="566" borderId="565" xfId="0" applyNumberFormat="1" applyFont="1" applyFill="1" applyBorder="1" applyAlignment="1">
      <alignment horizontal="right"/>
    </xf>
    <xf numFmtId="0" fontId="566" fillId="567" borderId="566" xfId="0" applyFont="1" applyFill="1" applyBorder="1" applyAlignment="1">
      <alignment horizontal="center"/>
    </xf>
    <xf numFmtId="4" fontId="567" fillId="568" borderId="567" xfId="0" applyNumberFormat="1" applyFont="1" applyFill="1" applyBorder="1" applyAlignment="1">
      <alignment horizontal="right"/>
    </xf>
    <xf numFmtId="0" fontId="568" fillId="569" borderId="568" xfId="0" applyFont="1" applyFill="1" applyBorder="1" applyAlignment="1">
      <alignment horizontal="center"/>
    </xf>
    <xf numFmtId="4" fontId="569" fillId="570" borderId="569" xfId="0" applyNumberFormat="1" applyFont="1" applyFill="1" applyBorder="1" applyAlignment="1">
      <alignment horizontal="right"/>
    </xf>
    <xf numFmtId="0" fontId="570" fillId="571" borderId="570" xfId="0" applyFont="1" applyFill="1" applyBorder="1" applyAlignment="1">
      <alignment horizontal="center"/>
    </xf>
    <xf numFmtId="4" fontId="571" fillId="572" borderId="571" xfId="0" applyNumberFormat="1" applyFont="1" applyFill="1" applyBorder="1" applyAlignment="1">
      <alignment horizontal="right"/>
    </xf>
    <xf numFmtId="0" fontId="572" fillId="573" borderId="572" xfId="0" applyFont="1" applyFill="1" applyBorder="1" applyAlignment="1">
      <alignment horizontal="center"/>
    </xf>
    <xf numFmtId="4" fontId="573" fillId="574" borderId="573" xfId="0" applyNumberFormat="1" applyFont="1" applyFill="1" applyBorder="1" applyAlignment="1">
      <alignment horizontal="right"/>
    </xf>
    <xf numFmtId="0" fontId="574" fillId="575" borderId="574" xfId="0" applyFont="1" applyFill="1" applyBorder="1" applyAlignment="1">
      <alignment horizontal="center"/>
    </xf>
    <xf numFmtId="4" fontId="575" fillId="576" borderId="575" xfId="0" applyNumberFormat="1" applyFont="1" applyFill="1" applyBorder="1" applyAlignment="1">
      <alignment horizontal="right"/>
    </xf>
    <xf numFmtId="0" fontId="576" fillId="577" borderId="576" xfId="0" applyFont="1" applyFill="1" applyBorder="1" applyAlignment="1">
      <alignment horizontal="center"/>
    </xf>
    <xf numFmtId="4" fontId="577" fillId="578" borderId="577" xfId="0" applyNumberFormat="1" applyFont="1" applyFill="1" applyBorder="1" applyAlignment="1">
      <alignment horizontal="right"/>
    </xf>
    <xf numFmtId="0" fontId="578" fillId="579" borderId="578" xfId="0" applyFont="1" applyFill="1" applyBorder="1" applyAlignment="1">
      <alignment horizontal="center"/>
    </xf>
    <xf numFmtId="4" fontId="579" fillId="580" borderId="579" xfId="0" applyNumberFormat="1" applyFont="1" applyFill="1" applyBorder="1" applyAlignment="1">
      <alignment horizontal="right"/>
    </xf>
    <xf numFmtId="0" fontId="580" fillId="581" borderId="580" xfId="0" applyFont="1" applyFill="1" applyBorder="1" applyAlignment="1">
      <alignment horizontal="center"/>
    </xf>
    <xf numFmtId="4" fontId="581" fillId="582" borderId="581" xfId="0" applyNumberFormat="1" applyFont="1" applyFill="1" applyBorder="1" applyAlignment="1">
      <alignment horizontal="right"/>
    </xf>
    <xf numFmtId="0" fontId="582" fillId="583" borderId="582" xfId="0" applyFont="1" applyFill="1" applyBorder="1" applyAlignment="1">
      <alignment horizontal="center"/>
    </xf>
    <xf numFmtId="4" fontId="583" fillId="584" borderId="583" xfId="0" applyNumberFormat="1" applyFont="1" applyFill="1" applyBorder="1" applyAlignment="1">
      <alignment horizontal="right"/>
    </xf>
    <xf numFmtId="0" fontId="584" fillId="585" borderId="584" xfId="0" applyFont="1" applyFill="1" applyBorder="1" applyAlignment="1">
      <alignment horizontal="center"/>
    </xf>
    <xf numFmtId="4" fontId="585" fillId="586" borderId="585" xfId="0" applyNumberFormat="1" applyFont="1" applyFill="1" applyBorder="1" applyAlignment="1">
      <alignment horizontal="right"/>
    </xf>
    <xf numFmtId="0" fontId="586" fillId="587" borderId="586" xfId="0" applyFont="1" applyFill="1" applyBorder="1" applyAlignment="1">
      <alignment horizontal="center"/>
    </xf>
    <xf numFmtId="4" fontId="587" fillId="588" borderId="587" xfId="0" applyNumberFormat="1" applyFont="1" applyFill="1" applyBorder="1" applyAlignment="1">
      <alignment horizontal="right"/>
    </xf>
    <xf numFmtId="0" fontId="588" fillId="589" borderId="588" xfId="0" applyFont="1" applyFill="1" applyBorder="1" applyAlignment="1">
      <alignment horizontal="center"/>
    </xf>
    <xf numFmtId="4" fontId="589" fillId="590" borderId="589" xfId="0" applyNumberFormat="1" applyFont="1" applyFill="1" applyBorder="1" applyAlignment="1">
      <alignment horizontal="right"/>
    </xf>
    <xf numFmtId="0" fontId="590" fillId="591" borderId="590" xfId="0" applyFont="1" applyFill="1" applyBorder="1" applyAlignment="1">
      <alignment horizontal="center"/>
    </xf>
    <xf numFmtId="4" fontId="591" fillId="592" borderId="591" xfId="0" applyNumberFormat="1" applyFont="1" applyFill="1" applyBorder="1" applyAlignment="1">
      <alignment horizontal="right"/>
    </xf>
    <xf numFmtId="0" fontId="592" fillId="593" borderId="592" xfId="0" applyFont="1" applyFill="1" applyBorder="1" applyAlignment="1">
      <alignment horizontal="center"/>
    </xf>
    <xf numFmtId="4" fontId="593" fillId="594" borderId="593" xfId="0" applyNumberFormat="1" applyFont="1" applyFill="1" applyBorder="1" applyAlignment="1">
      <alignment horizontal="right"/>
    </xf>
    <xf numFmtId="0" fontId="594" fillId="595" borderId="594" xfId="0" applyFont="1" applyFill="1" applyBorder="1" applyAlignment="1">
      <alignment horizontal="center"/>
    </xf>
    <xf numFmtId="4" fontId="595" fillId="596" borderId="595" xfId="0" applyNumberFormat="1" applyFont="1" applyFill="1" applyBorder="1" applyAlignment="1">
      <alignment horizontal="right"/>
    </xf>
    <xf numFmtId="0" fontId="596" fillId="597" borderId="596" xfId="0" applyFont="1" applyFill="1" applyBorder="1" applyAlignment="1">
      <alignment horizontal="center"/>
    </xf>
    <xf numFmtId="4" fontId="597" fillId="598" borderId="597" xfId="0" applyNumberFormat="1" applyFont="1" applyFill="1" applyBorder="1" applyAlignment="1">
      <alignment horizontal="right"/>
    </xf>
    <xf numFmtId="0" fontId="598" fillId="599" borderId="598" xfId="0" applyFont="1" applyFill="1" applyBorder="1" applyAlignment="1">
      <alignment horizontal="center"/>
    </xf>
    <xf numFmtId="4" fontId="599" fillId="600" borderId="599" xfId="0" applyNumberFormat="1" applyFont="1" applyFill="1" applyBorder="1" applyAlignment="1">
      <alignment horizontal="right"/>
    </xf>
    <xf numFmtId="0" fontId="600" fillId="601" borderId="600" xfId="0" applyFont="1" applyFill="1" applyBorder="1" applyAlignment="1">
      <alignment horizontal="center"/>
    </xf>
    <xf numFmtId="4" fontId="601" fillId="602" borderId="601" xfId="0" applyNumberFormat="1" applyFont="1" applyFill="1" applyBorder="1" applyAlignment="1">
      <alignment horizontal="right"/>
    </xf>
    <xf numFmtId="0" fontId="602" fillId="603" borderId="602" xfId="0" applyFont="1" applyFill="1" applyBorder="1" applyAlignment="1">
      <alignment horizontal="center"/>
    </xf>
    <xf numFmtId="4" fontId="603" fillId="604" borderId="603" xfId="0" applyNumberFormat="1" applyFont="1" applyFill="1" applyBorder="1" applyAlignment="1">
      <alignment horizontal="right"/>
    </xf>
    <xf numFmtId="0" fontId="604" fillId="605" borderId="604" xfId="0" applyFont="1" applyFill="1" applyBorder="1" applyAlignment="1">
      <alignment horizontal="center"/>
    </xf>
    <xf numFmtId="4" fontId="605" fillId="606" borderId="605" xfId="0" applyNumberFormat="1" applyFont="1" applyFill="1" applyBorder="1" applyAlignment="1">
      <alignment horizontal="right"/>
    </xf>
    <xf numFmtId="0" fontId="606" fillId="607" borderId="606" xfId="0" applyFont="1" applyFill="1" applyBorder="1" applyAlignment="1">
      <alignment horizontal="center"/>
    </xf>
    <xf numFmtId="4" fontId="607" fillId="608" borderId="607" xfId="0" applyNumberFormat="1" applyFont="1" applyFill="1" applyBorder="1" applyAlignment="1">
      <alignment horizontal="right"/>
    </xf>
    <xf numFmtId="0" fontId="608" fillId="609" borderId="608" xfId="0" applyFont="1" applyFill="1" applyBorder="1" applyAlignment="1">
      <alignment horizontal="center"/>
    </xf>
    <xf numFmtId="4" fontId="609" fillId="610" borderId="609" xfId="0" applyNumberFormat="1" applyFont="1" applyFill="1" applyBorder="1" applyAlignment="1">
      <alignment horizontal="right"/>
    </xf>
    <xf numFmtId="0" fontId="610" fillId="611" borderId="610" xfId="0" applyFont="1" applyFill="1" applyBorder="1" applyAlignment="1">
      <alignment horizontal="center"/>
    </xf>
    <xf numFmtId="4" fontId="611" fillId="612" borderId="611" xfId="0" applyNumberFormat="1" applyFont="1" applyFill="1" applyBorder="1" applyAlignment="1">
      <alignment horizontal="right"/>
    </xf>
    <xf numFmtId="0" fontId="612" fillId="613" borderId="612" xfId="0" applyFont="1" applyFill="1" applyBorder="1" applyAlignment="1">
      <alignment horizontal="center"/>
    </xf>
    <xf numFmtId="4" fontId="613" fillId="614" borderId="613" xfId="0" applyNumberFormat="1" applyFont="1" applyFill="1" applyBorder="1" applyAlignment="1">
      <alignment horizontal="right"/>
    </xf>
    <xf numFmtId="0" fontId="614" fillId="615" borderId="614" xfId="0" applyFont="1" applyFill="1" applyBorder="1" applyAlignment="1">
      <alignment horizontal="center"/>
    </xf>
    <xf numFmtId="4" fontId="615" fillId="616" borderId="615" xfId="0" applyNumberFormat="1" applyFont="1" applyFill="1" applyBorder="1" applyAlignment="1">
      <alignment horizontal="right"/>
    </xf>
    <xf numFmtId="0" fontId="616" fillId="617" borderId="616" xfId="0" applyFont="1" applyFill="1" applyBorder="1" applyAlignment="1">
      <alignment horizontal="center"/>
    </xf>
    <xf numFmtId="4" fontId="617" fillId="618" borderId="617" xfId="0" applyNumberFormat="1" applyFont="1" applyFill="1" applyBorder="1" applyAlignment="1">
      <alignment horizontal="right"/>
    </xf>
    <xf numFmtId="0" fontId="618" fillId="619" borderId="618" xfId="0" applyFont="1" applyFill="1" applyBorder="1" applyAlignment="1">
      <alignment horizontal="center"/>
    </xf>
    <xf numFmtId="4" fontId="619" fillId="620" borderId="619" xfId="0" applyNumberFormat="1" applyFont="1" applyFill="1" applyBorder="1" applyAlignment="1">
      <alignment horizontal="right"/>
    </xf>
    <xf numFmtId="0" fontId="620" fillId="621" borderId="620" xfId="0" applyFont="1" applyFill="1" applyBorder="1" applyAlignment="1">
      <alignment horizontal="center"/>
    </xf>
    <xf numFmtId="4" fontId="621" fillId="622" borderId="621" xfId="0" applyNumberFormat="1" applyFont="1" applyFill="1" applyBorder="1" applyAlignment="1">
      <alignment horizontal="right"/>
    </xf>
    <xf numFmtId="0" fontId="622" fillId="623" borderId="622" xfId="0" applyFont="1" applyFill="1" applyBorder="1" applyAlignment="1">
      <alignment horizontal="center"/>
    </xf>
    <xf numFmtId="4" fontId="623" fillId="624" borderId="623" xfId="0" applyNumberFormat="1" applyFont="1" applyFill="1" applyBorder="1" applyAlignment="1">
      <alignment horizontal="right"/>
    </xf>
    <xf numFmtId="0" fontId="624" fillId="625" borderId="624" xfId="0" applyFont="1" applyFill="1" applyBorder="1" applyAlignment="1">
      <alignment horizontal="center"/>
    </xf>
    <xf numFmtId="4" fontId="625" fillId="626" borderId="625" xfId="0" applyNumberFormat="1" applyFont="1" applyFill="1" applyBorder="1" applyAlignment="1">
      <alignment horizontal="right"/>
    </xf>
    <xf numFmtId="0" fontId="626" fillId="627" borderId="626" xfId="0" applyFont="1" applyFill="1" applyBorder="1" applyAlignment="1">
      <alignment horizontal="center"/>
    </xf>
    <xf numFmtId="4" fontId="627" fillId="628" borderId="627" xfId="0" applyNumberFormat="1" applyFont="1" applyFill="1" applyBorder="1" applyAlignment="1">
      <alignment horizontal="right"/>
    </xf>
    <xf numFmtId="0" fontId="628" fillId="629" borderId="628" xfId="0" applyFont="1" applyFill="1" applyBorder="1" applyAlignment="1">
      <alignment horizontal="center"/>
    </xf>
    <xf numFmtId="4" fontId="629" fillId="630" borderId="629" xfId="0" applyNumberFormat="1" applyFont="1" applyFill="1" applyBorder="1" applyAlignment="1">
      <alignment horizontal="right"/>
    </xf>
    <xf numFmtId="0" fontId="630" fillId="631" borderId="630" xfId="0" applyFont="1" applyFill="1" applyBorder="1" applyAlignment="1">
      <alignment horizontal="center"/>
    </xf>
    <xf numFmtId="4" fontId="631" fillId="632" borderId="631" xfId="0" applyNumberFormat="1" applyFont="1" applyFill="1" applyBorder="1" applyAlignment="1">
      <alignment horizontal="right"/>
    </xf>
    <xf numFmtId="0" fontId="632" fillId="633" borderId="632" xfId="0" applyFont="1" applyFill="1" applyBorder="1" applyAlignment="1">
      <alignment horizontal="center"/>
    </xf>
    <xf numFmtId="4" fontId="633" fillId="634" borderId="633" xfId="0" applyNumberFormat="1" applyFont="1" applyFill="1" applyBorder="1" applyAlignment="1">
      <alignment horizontal="right"/>
    </xf>
    <xf numFmtId="0" fontId="634" fillId="635" borderId="634" xfId="0" applyFont="1" applyFill="1" applyBorder="1" applyAlignment="1">
      <alignment horizontal="center"/>
    </xf>
    <xf numFmtId="4" fontId="635" fillId="636" borderId="635" xfId="0" applyNumberFormat="1" applyFont="1" applyFill="1" applyBorder="1" applyAlignment="1">
      <alignment horizontal="right"/>
    </xf>
    <xf numFmtId="0" fontId="636" fillId="637" borderId="636" xfId="0" applyFont="1" applyFill="1" applyBorder="1" applyAlignment="1">
      <alignment horizontal="center"/>
    </xf>
    <xf numFmtId="4" fontId="637" fillId="638" borderId="637" xfId="0" applyNumberFormat="1" applyFont="1" applyFill="1" applyBorder="1" applyAlignment="1">
      <alignment horizontal="right"/>
    </xf>
    <xf numFmtId="0" fontId="638" fillId="639" borderId="638" xfId="0" applyFont="1" applyFill="1" applyBorder="1" applyAlignment="1">
      <alignment horizontal="center"/>
    </xf>
    <xf numFmtId="4" fontId="639" fillId="640" borderId="639" xfId="0" applyNumberFormat="1" applyFont="1" applyFill="1" applyBorder="1" applyAlignment="1">
      <alignment horizontal="right"/>
    </xf>
    <xf numFmtId="0" fontId="640" fillId="641" borderId="640" xfId="0" applyFont="1" applyFill="1" applyBorder="1" applyAlignment="1">
      <alignment horizontal="center"/>
    </xf>
    <xf numFmtId="4" fontId="641" fillId="642" borderId="641" xfId="0" applyNumberFormat="1" applyFont="1" applyFill="1" applyBorder="1" applyAlignment="1">
      <alignment horizontal="right"/>
    </xf>
    <xf numFmtId="0" fontId="642" fillId="643" borderId="642" xfId="0" applyFont="1" applyFill="1" applyBorder="1" applyAlignment="1">
      <alignment horizontal="center"/>
    </xf>
    <xf numFmtId="4" fontId="643" fillId="644" borderId="643" xfId="0" applyNumberFormat="1" applyFont="1" applyFill="1" applyBorder="1" applyAlignment="1">
      <alignment horizontal="right"/>
    </xf>
    <xf numFmtId="0" fontId="644" fillId="645" borderId="644" xfId="0" applyFont="1" applyFill="1" applyBorder="1" applyAlignment="1">
      <alignment horizontal="center"/>
    </xf>
    <xf numFmtId="4" fontId="645" fillId="646" borderId="645" xfId="0" applyNumberFormat="1" applyFont="1" applyFill="1" applyBorder="1" applyAlignment="1">
      <alignment horizontal="right"/>
    </xf>
    <xf numFmtId="0" fontId="646" fillId="647" borderId="646" xfId="0" applyFont="1" applyFill="1" applyBorder="1" applyAlignment="1">
      <alignment horizontal="center"/>
    </xf>
    <xf numFmtId="4" fontId="647" fillId="648" borderId="647" xfId="0" applyNumberFormat="1" applyFont="1" applyFill="1" applyBorder="1" applyAlignment="1">
      <alignment horizontal="right"/>
    </xf>
    <xf numFmtId="0" fontId="648" fillId="649" borderId="648" xfId="0" applyFont="1" applyFill="1" applyBorder="1" applyAlignment="1">
      <alignment horizontal="center"/>
    </xf>
    <xf numFmtId="4" fontId="649" fillId="650" borderId="649" xfId="0" applyNumberFormat="1" applyFont="1" applyFill="1" applyBorder="1" applyAlignment="1">
      <alignment horizontal="right"/>
    </xf>
    <xf numFmtId="0" fontId="650" fillId="651" borderId="650" xfId="0" applyFont="1" applyFill="1" applyBorder="1" applyAlignment="1">
      <alignment horizontal="center"/>
    </xf>
    <xf numFmtId="4" fontId="651" fillId="652" borderId="651" xfId="0" applyNumberFormat="1" applyFont="1" applyFill="1" applyBorder="1" applyAlignment="1">
      <alignment horizontal="right"/>
    </xf>
    <xf numFmtId="0" fontId="652" fillId="653" borderId="652" xfId="0" applyFont="1" applyFill="1" applyBorder="1" applyAlignment="1">
      <alignment horizontal="center"/>
    </xf>
    <xf numFmtId="4" fontId="653" fillId="654" borderId="653" xfId="0" applyNumberFormat="1" applyFont="1" applyFill="1" applyBorder="1" applyAlignment="1">
      <alignment horizontal="right"/>
    </xf>
    <xf numFmtId="0" fontId="654" fillId="655" borderId="654" xfId="0" applyFont="1" applyFill="1" applyBorder="1" applyAlignment="1">
      <alignment horizontal="center"/>
    </xf>
    <xf numFmtId="4" fontId="655" fillId="656" borderId="655" xfId="0" applyNumberFormat="1" applyFont="1" applyFill="1" applyBorder="1" applyAlignment="1">
      <alignment horizontal="right"/>
    </xf>
    <xf numFmtId="0" fontId="656" fillId="657" borderId="656" xfId="0" applyFont="1" applyFill="1" applyBorder="1" applyAlignment="1">
      <alignment horizontal="center"/>
    </xf>
    <xf numFmtId="4" fontId="657" fillId="658" borderId="657" xfId="0" applyNumberFormat="1" applyFont="1" applyFill="1" applyBorder="1" applyAlignment="1">
      <alignment horizontal="right"/>
    </xf>
    <xf numFmtId="0" fontId="658" fillId="659" borderId="658" xfId="0" applyFont="1" applyFill="1" applyBorder="1" applyAlignment="1">
      <alignment horizontal="center"/>
    </xf>
    <xf numFmtId="4" fontId="659" fillId="660" borderId="659" xfId="0" applyNumberFormat="1" applyFont="1" applyFill="1" applyBorder="1" applyAlignment="1">
      <alignment horizontal="right"/>
    </xf>
    <xf numFmtId="0" fontId="660" fillId="661" borderId="660" xfId="0" applyFont="1" applyFill="1" applyBorder="1" applyAlignment="1">
      <alignment horizontal="center"/>
    </xf>
    <xf numFmtId="4" fontId="661" fillId="662" borderId="661" xfId="0" applyNumberFormat="1" applyFont="1" applyFill="1" applyBorder="1" applyAlignment="1">
      <alignment horizontal="right"/>
    </xf>
    <xf numFmtId="0" fontId="662" fillId="663" borderId="662" xfId="0" applyFont="1" applyFill="1" applyBorder="1" applyAlignment="1">
      <alignment horizontal="center"/>
    </xf>
    <xf numFmtId="4" fontId="663" fillId="664" borderId="663" xfId="0" applyNumberFormat="1" applyFont="1" applyFill="1" applyBorder="1" applyAlignment="1">
      <alignment horizontal="right"/>
    </xf>
    <xf numFmtId="0" fontId="664" fillId="665" borderId="664" xfId="0" applyFont="1" applyFill="1" applyBorder="1" applyAlignment="1">
      <alignment horizontal="center"/>
    </xf>
    <xf numFmtId="4" fontId="665" fillId="666" borderId="665" xfId="0" applyNumberFormat="1" applyFont="1" applyFill="1" applyBorder="1" applyAlignment="1">
      <alignment horizontal="right"/>
    </xf>
    <xf numFmtId="0" fontId="666" fillId="667" borderId="666" xfId="0" applyFont="1" applyFill="1" applyBorder="1" applyAlignment="1">
      <alignment horizontal="center"/>
    </xf>
    <xf numFmtId="4" fontId="667" fillId="668" borderId="667" xfId="0" applyNumberFormat="1" applyFont="1" applyFill="1" applyBorder="1" applyAlignment="1">
      <alignment horizontal="right"/>
    </xf>
    <xf numFmtId="0" fontId="668" fillId="669" borderId="668" xfId="0" applyFont="1" applyFill="1" applyBorder="1" applyAlignment="1">
      <alignment horizontal="center"/>
    </xf>
    <xf numFmtId="4" fontId="669" fillId="670" borderId="669" xfId="0" applyNumberFormat="1" applyFont="1" applyFill="1" applyBorder="1" applyAlignment="1">
      <alignment horizontal="right"/>
    </xf>
    <xf numFmtId="0" fontId="670" fillId="671" borderId="670" xfId="0" applyFont="1" applyFill="1" applyBorder="1" applyAlignment="1">
      <alignment horizontal="center"/>
    </xf>
    <xf numFmtId="4" fontId="671" fillId="672" borderId="671" xfId="0" applyNumberFormat="1" applyFont="1" applyFill="1" applyBorder="1" applyAlignment="1">
      <alignment horizontal="right"/>
    </xf>
    <xf numFmtId="0" fontId="672" fillId="673" borderId="672" xfId="0" applyFont="1" applyFill="1" applyBorder="1" applyAlignment="1">
      <alignment horizontal="center"/>
    </xf>
    <xf numFmtId="4" fontId="673" fillId="674" borderId="673" xfId="0" applyNumberFormat="1" applyFont="1" applyFill="1" applyBorder="1" applyAlignment="1">
      <alignment horizontal="right"/>
    </xf>
    <xf numFmtId="0" fontId="674" fillId="675" borderId="674" xfId="0" applyFont="1" applyFill="1" applyBorder="1" applyAlignment="1">
      <alignment horizontal="center"/>
    </xf>
    <xf numFmtId="4" fontId="675" fillId="676" borderId="675" xfId="0" applyNumberFormat="1" applyFont="1" applyFill="1" applyBorder="1" applyAlignment="1">
      <alignment horizontal="right"/>
    </xf>
    <xf numFmtId="0" fontId="676" fillId="677" borderId="676" xfId="0" applyFont="1" applyFill="1" applyBorder="1" applyAlignment="1">
      <alignment horizontal="center"/>
    </xf>
    <xf numFmtId="4" fontId="677" fillId="678" borderId="677" xfId="0" applyNumberFormat="1" applyFont="1" applyFill="1" applyBorder="1" applyAlignment="1">
      <alignment horizontal="right"/>
    </xf>
    <xf numFmtId="0" fontId="678" fillId="679" borderId="678" xfId="0" applyFont="1" applyFill="1" applyBorder="1" applyAlignment="1">
      <alignment horizontal="center"/>
    </xf>
    <xf numFmtId="4" fontId="679" fillId="680" borderId="679" xfId="0" applyNumberFormat="1" applyFont="1" applyFill="1" applyBorder="1" applyAlignment="1">
      <alignment horizontal="right"/>
    </xf>
    <xf numFmtId="0" fontId="680" fillId="681" borderId="680" xfId="0" applyFont="1" applyFill="1" applyBorder="1" applyAlignment="1">
      <alignment horizontal="center"/>
    </xf>
    <xf numFmtId="4" fontId="681" fillId="682" borderId="681" xfId="0" applyNumberFormat="1" applyFont="1" applyFill="1" applyBorder="1" applyAlignment="1">
      <alignment horizontal="right"/>
    </xf>
    <xf numFmtId="0" fontId="682" fillId="683" borderId="682" xfId="0" applyFont="1" applyFill="1" applyBorder="1" applyAlignment="1">
      <alignment horizontal="center"/>
    </xf>
    <xf numFmtId="4" fontId="683" fillId="684" borderId="683" xfId="0" applyNumberFormat="1" applyFont="1" applyFill="1" applyBorder="1" applyAlignment="1">
      <alignment horizontal="right"/>
    </xf>
    <xf numFmtId="0" fontId="684" fillId="685" borderId="684" xfId="0" applyFont="1" applyFill="1" applyBorder="1" applyAlignment="1">
      <alignment horizontal="center"/>
    </xf>
    <xf numFmtId="4" fontId="685" fillId="686" borderId="685" xfId="0" applyNumberFormat="1" applyFont="1" applyFill="1" applyBorder="1" applyAlignment="1">
      <alignment horizontal="right"/>
    </xf>
    <xf numFmtId="0" fontId="686" fillId="687" borderId="686" xfId="0" applyFont="1" applyFill="1" applyBorder="1" applyAlignment="1">
      <alignment horizontal="center"/>
    </xf>
    <xf numFmtId="4" fontId="687" fillId="688" borderId="687" xfId="0" applyNumberFormat="1" applyFont="1" applyFill="1" applyBorder="1" applyAlignment="1">
      <alignment horizontal="right"/>
    </xf>
    <xf numFmtId="0" fontId="688" fillId="689" borderId="688" xfId="0" applyFont="1" applyFill="1" applyBorder="1" applyAlignment="1">
      <alignment horizontal="center"/>
    </xf>
    <xf numFmtId="4" fontId="689" fillId="690" borderId="689" xfId="0" applyNumberFormat="1" applyFont="1" applyFill="1" applyBorder="1" applyAlignment="1">
      <alignment horizontal="right"/>
    </xf>
    <xf numFmtId="0" fontId="690" fillId="691" borderId="690" xfId="0" applyFont="1" applyFill="1" applyBorder="1" applyAlignment="1">
      <alignment horizontal="center"/>
    </xf>
    <xf numFmtId="4" fontId="691" fillId="692" borderId="691" xfId="0" applyNumberFormat="1" applyFont="1" applyFill="1" applyBorder="1" applyAlignment="1">
      <alignment horizontal="right"/>
    </xf>
    <xf numFmtId="0" fontId="692" fillId="693" borderId="692" xfId="0" applyFont="1" applyFill="1" applyBorder="1" applyAlignment="1">
      <alignment horizontal="center"/>
    </xf>
    <xf numFmtId="4" fontId="693" fillId="694" borderId="693" xfId="0" applyNumberFormat="1" applyFont="1" applyFill="1" applyBorder="1" applyAlignment="1">
      <alignment horizontal="right"/>
    </xf>
    <xf numFmtId="0" fontId="694" fillId="695" borderId="694" xfId="0" applyFont="1" applyFill="1" applyBorder="1" applyAlignment="1">
      <alignment horizontal="center"/>
    </xf>
    <xf numFmtId="4" fontId="695" fillId="696" borderId="695" xfId="0" applyNumberFormat="1" applyFont="1" applyFill="1" applyBorder="1" applyAlignment="1">
      <alignment horizontal="right"/>
    </xf>
    <xf numFmtId="0" fontId="696" fillId="697" borderId="696" xfId="0" applyFont="1" applyFill="1" applyBorder="1" applyAlignment="1">
      <alignment horizontal="center"/>
    </xf>
    <xf numFmtId="4" fontId="697" fillId="698" borderId="697" xfId="0" applyNumberFormat="1" applyFont="1" applyFill="1" applyBorder="1" applyAlignment="1">
      <alignment horizontal="right"/>
    </xf>
    <xf numFmtId="0" fontId="698" fillId="699" borderId="698" xfId="0" applyFont="1" applyFill="1" applyBorder="1" applyAlignment="1">
      <alignment horizontal="center"/>
    </xf>
    <xf numFmtId="4" fontId="699" fillId="700" borderId="699" xfId="0" applyNumberFormat="1" applyFont="1" applyFill="1" applyBorder="1" applyAlignment="1">
      <alignment horizontal="right"/>
    </xf>
    <xf numFmtId="0" fontId="700" fillId="701" borderId="700" xfId="0" applyFont="1" applyFill="1" applyBorder="1" applyAlignment="1">
      <alignment horizontal="center"/>
    </xf>
    <xf numFmtId="4" fontId="701" fillId="702" borderId="701" xfId="0" applyNumberFormat="1" applyFont="1" applyFill="1" applyBorder="1" applyAlignment="1">
      <alignment horizontal="right"/>
    </xf>
    <xf numFmtId="0" fontId="702" fillId="703" borderId="702" xfId="0" applyFont="1" applyFill="1" applyBorder="1" applyAlignment="1">
      <alignment horizontal="center"/>
    </xf>
    <xf numFmtId="4" fontId="703" fillId="704" borderId="703" xfId="0" applyNumberFormat="1" applyFont="1" applyFill="1" applyBorder="1" applyAlignment="1">
      <alignment horizontal="right"/>
    </xf>
    <xf numFmtId="0" fontId="704" fillId="705" borderId="704" xfId="0" applyFont="1" applyFill="1" applyBorder="1" applyAlignment="1">
      <alignment horizontal="center"/>
    </xf>
    <xf numFmtId="4" fontId="705" fillId="706" borderId="705" xfId="0" applyNumberFormat="1" applyFont="1" applyFill="1" applyBorder="1" applyAlignment="1">
      <alignment horizontal="right"/>
    </xf>
    <xf numFmtId="0" fontId="706" fillId="707" borderId="706" xfId="0" applyFont="1" applyFill="1" applyBorder="1" applyAlignment="1">
      <alignment horizontal="center"/>
    </xf>
    <xf numFmtId="4" fontId="707" fillId="708" borderId="707" xfId="0" applyNumberFormat="1" applyFont="1" applyFill="1" applyBorder="1" applyAlignment="1">
      <alignment horizontal="right"/>
    </xf>
    <xf numFmtId="0" fontId="708" fillId="709" borderId="708" xfId="0" applyFont="1" applyFill="1" applyBorder="1" applyAlignment="1">
      <alignment horizontal="center"/>
    </xf>
    <xf numFmtId="4" fontId="709" fillId="710" borderId="709" xfId="0" applyNumberFormat="1" applyFont="1" applyFill="1" applyBorder="1" applyAlignment="1">
      <alignment horizontal="right"/>
    </xf>
    <xf numFmtId="0" fontId="710" fillId="711" borderId="710" xfId="0" applyFont="1" applyFill="1" applyBorder="1" applyAlignment="1">
      <alignment horizontal="center"/>
    </xf>
    <xf numFmtId="4" fontId="711" fillId="712" borderId="711" xfId="0" applyNumberFormat="1" applyFont="1" applyFill="1" applyBorder="1" applyAlignment="1">
      <alignment horizontal="right"/>
    </xf>
    <xf numFmtId="0" fontId="712" fillId="713" borderId="712" xfId="0" applyFont="1" applyFill="1" applyBorder="1" applyAlignment="1">
      <alignment horizontal="center"/>
    </xf>
    <xf numFmtId="4" fontId="713" fillId="714" borderId="713" xfId="0" applyNumberFormat="1" applyFont="1" applyFill="1" applyBorder="1" applyAlignment="1">
      <alignment horizontal="right"/>
    </xf>
    <xf numFmtId="0" fontId="714" fillId="715" borderId="714" xfId="0" applyFont="1" applyFill="1" applyBorder="1" applyAlignment="1">
      <alignment horizontal="center"/>
    </xf>
    <xf numFmtId="4" fontId="715" fillId="716" borderId="715" xfId="0" applyNumberFormat="1" applyFont="1" applyFill="1" applyBorder="1" applyAlignment="1">
      <alignment horizontal="right"/>
    </xf>
    <xf numFmtId="0" fontId="716" fillId="717" borderId="716" xfId="0" applyFont="1" applyFill="1" applyBorder="1" applyAlignment="1">
      <alignment horizontal="center"/>
    </xf>
    <xf numFmtId="4" fontId="717" fillId="718" borderId="717" xfId="0" applyNumberFormat="1" applyFont="1" applyFill="1" applyBorder="1" applyAlignment="1">
      <alignment horizontal="right"/>
    </xf>
    <xf numFmtId="0" fontId="718" fillId="719" borderId="718" xfId="0" applyFont="1" applyFill="1" applyBorder="1" applyAlignment="1">
      <alignment horizontal="center"/>
    </xf>
    <xf numFmtId="4" fontId="719" fillId="720" borderId="719" xfId="0" applyNumberFormat="1" applyFont="1" applyFill="1" applyBorder="1" applyAlignment="1">
      <alignment horizontal="right"/>
    </xf>
    <xf numFmtId="0" fontId="720" fillId="721" borderId="720" xfId="0" applyFont="1" applyFill="1" applyBorder="1" applyAlignment="1">
      <alignment horizontal="center"/>
    </xf>
    <xf numFmtId="4" fontId="721" fillId="722" borderId="721" xfId="0" applyNumberFormat="1" applyFont="1" applyFill="1" applyBorder="1" applyAlignment="1">
      <alignment horizontal="right"/>
    </xf>
    <xf numFmtId="0" fontId="722" fillId="723" borderId="722" xfId="0" applyFont="1" applyFill="1" applyBorder="1" applyAlignment="1">
      <alignment horizontal="center"/>
    </xf>
    <xf numFmtId="4" fontId="723" fillId="724" borderId="723" xfId="0" applyNumberFormat="1" applyFont="1" applyFill="1" applyBorder="1" applyAlignment="1">
      <alignment horizontal="right"/>
    </xf>
    <xf numFmtId="0" fontId="724" fillId="725" borderId="724" xfId="0" applyFont="1" applyFill="1" applyBorder="1" applyAlignment="1">
      <alignment horizontal="center"/>
    </xf>
    <xf numFmtId="4" fontId="725" fillId="726" borderId="725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5" fillId="6" borderId="5" xfId="0" applyFont="1" applyFill="1" applyBorder="1"/>
    <xf numFmtId="0" fontId="6" fillId="7" borderId="6" xfId="0" applyFont="1" applyFill="1" applyBorder="1"/>
    <xf numFmtId="0" fontId="7" fillId="8" borderId="7" xfId="0" applyFont="1" applyFill="1" applyBorder="1"/>
    <xf numFmtId="0" fontId="9" fillId="10" borderId="9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/>
    </xf>
    <xf numFmtId="0" fontId="11" fillId="12" borderId="11" xfId="0" applyFont="1" applyFill="1" applyBorder="1" applyAlignment="1">
      <alignment horizontal="center"/>
    </xf>
    <xf numFmtId="0" fontId="17" fillId="18" borderId="17" xfId="0" applyFont="1" applyFill="1" applyBorder="1"/>
    <xf numFmtId="0" fontId="18" fillId="19" borderId="18" xfId="0" applyFont="1" applyFill="1" applyBorder="1"/>
    <xf numFmtId="0" fontId="19" fillId="20" borderId="19" xfId="0" applyFont="1" applyFill="1" applyBorder="1"/>
    <xf numFmtId="0" fontId="20" fillId="21" borderId="20" xfId="0" applyFont="1" applyFill="1" applyBorder="1"/>
    <xf numFmtId="0" fontId="21" fillId="22" borderId="21" xfId="0" applyFont="1" applyFill="1" applyBorder="1"/>
    <xf numFmtId="0" fontId="22" fillId="23" borderId="22" xfId="0" applyFont="1" applyFill="1" applyBorder="1"/>
    <xf numFmtId="0" fontId="23" fillId="24" borderId="23" xfId="0" applyFont="1" applyFill="1" applyBorder="1"/>
    <xf numFmtId="0" fontId="24" fillId="25" borderId="24" xfId="0" applyFont="1" applyFill="1" applyBorder="1" applyAlignment="1">
      <alignment vertical="center"/>
    </xf>
    <xf numFmtId="0" fontId="121" fillId="122" borderId="121" xfId="0" applyFont="1" applyFill="1" applyBorder="1" applyAlignment="1">
      <alignment vertical="center"/>
    </xf>
    <xf numFmtId="0" fontId="128" fillId="129" borderId="128" xfId="0" applyFont="1" applyFill="1" applyBorder="1" applyAlignment="1">
      <alignment horizontal="center"/>
    </xf>
    <xf numFmtId="0" fontId="129" fillId="130" borderId="129" xfId="0" applyFont="1" applyFill="1" applyBorder="1"/>
    <xf numFmtId="0" fontId="130" fillId="131" borderId="130" xfId="0" applyFont="1" applyFill="1" applyBorder="1"/>
    <xf numFmtId="0" fontId="131" fillId="132" borderId="131" xfId="0" applyFont="1" applyFill="1" applyBorder="1"/>
    <xf numFmtId="0" fontId="132" fillId="133" borderId="132" xfId="0" applyFont="1" applyFill="1" applyBorder="1"/>
    <xf numFmtId="0" fontId="133" fillId="134" borderId="133" xfId="0" applyFont="1" applyFill="1" applyBorder="1"/>
    <xf numFmtId="0" fontId="140" fillId="141" borderId="140" xfId="0" applyFont="1" applyFill="1" applyBorder="1"/>
    <xf numFmtId="0" fontId="141" fillId="142" borderId="141" xfId="0" applyFont="1" applyFill="1" applyBorder="1"/>
    <xf numFmtId="0" fontId="142" fillId="143" borderId="142" xfId="0" applyFont="1" applyFill="1" applyBorder="1"/>
    <xf numFmtId="0" fontId="143" fillId="144" borderId="143" xfId="0" applyFont="1" applyFill="1" applyBorder="1"/>
    <xf numFmtId="0" fontId="144" fillId="145" borderId="144" xfId="0" applyFont="1" applyFill="1" applyBorder="1"/>
    <xf numFmtId="0" fontId="145" fillId="146" borderId="145" xfId="0" applyFont="1" applyFill="1" applyBorder="1"/>
    <xf numFmtId="0" fontId="152" fillId="153" borderId="152" xfId="0" applyFont="1" applyFill="1" applyBorder="1"/>
    <xf numFmtId="0" fontId="153" fillId="154" borderId="153" xfId="0" applyFont="1" applyFill="1" applyBorder="1"/>
    <xf numFmtId="0" fontId="154" fillId="155" borderId="154" xfId="0" applyFont="1" applyFill="1" applyBorder="1"/>
    <xf numFmtId="0" fontId="155" fillId="156" borderId="155" xfId="0" applyFont="1" applyFill="1" applyBorder="1"/>
    <xf numFmtId="0" fontId="156" fillId="157" borderId="156" xfId="0" applyFont="1" applyFill="1" applyBorder="1"/>
    <xf numFmtId="0" fontId="157" fillId="158" borderId="157" xfId="0" applyFont="1" applyFill="1" applyBorder="1"/>
    <xf numFmtId="0" fontId="164" fillId="165" borderId="164" xfId="0" applyFont="1" applyFill="1" applyBorder="1"/>
    <xf numFmtId="0" fontId="165" fillId="166" borderId="165" xfId="0" applyFont="1" applyFill="1" applyBorder="1"/>
    <xf numFmtId="0" fontId="166" fillId="167" borderId="166" xfId="0" applyFont="1" applyFill="1" applyBorder="1"/>
    <xf numFmtId="0" fontId="167" fillId="168" borderId="167" xfId="0" applyFont="1" applyFill="1" applyBorder="1"/>
    <xf numFmtId="0" fontId="168" fillId="169" borderId="168" xfId="0" applyFont="1" applyFill="1" applyBorder="1"/>
    <xf numFmtId="0" fontId="169" fillId="170" borderId="169" xfId="0" applyFont="1" applyFill="1" applyBorder="1"/>
    <xf numFmtId="0" fontId="176" fillId="177" borderId="176" xfId="0" applyFont="1" applyFill="1" applyBorder="1"/>
    <xf numFmtId="0" fontId="177" fillId="178" borderId="177" xfId="0" applyFont="1" applyFill="1" applyBorder="1"/>
    <xf numFmtId="0" fontId="178" fillId="179" borderId="178" xfId="0" applyFont="1" applyFill="1" applyBorder="1"/>
    <xf numFmtId="0" fontId="179" fillId="180" borderId="179" xfId="0" applyFont="1" applyFill="1" applyBorder="1"/>
    <xf numFmtId="0" fontId="180" fillId="181" borderId="180" xfId="0" applyFont="1" applyFill="1" applyBorder="1"/>
    <xf numFmtId="0" fontId="181" fillId="182" borderId="181" xfId="0" applyFont="1" applyFill="1" applyBorder="1"/>
    <xf numFmtId="0" fontId="188" fillId="189" borderId="188" xfId="0" applyFont="1" applyFill="1" applyBorder="1"/>
    <xf numFmtId="0" fontId="189" fillId="190" borderId="189" xfId="0" applyFont="1" applyFill="1" applyBorder="1"/>
    <xf numFmtId="0" fontId="190" fillId="191" borderId="190" xfId="0" applyFont="1" applyFill="1" applyBorder="1"/>
    <xf numFmtId="0" fontId="191" fillId="192" borderId="191" xfId="0" applyFont="1" applyFill="1" applyBorder="1"/>
    <xf numFmtId="0" fontId="192" fillId="193" borderId="192" xfId="0" applyFont="1" applyFill="1" applyBorder="1"/>
    <xf numFmtId="0" fontId="193" fillId="194" borderId="193" xfId="0" applyFont="1" applyFill="1" applyBorder="1"/>
    <xf numFmtId="0" fontId="200" fillId="201" borderId="200" xfId="0" applyFont="1" applyFill="1" applyBorder="1"/>
    <xf numFmtId="0" fontId="201" fillId="202" borderId="201" xfId="0" applyFont="1" applyFill="1" applyBorder="1"/>
    <xf numFmtId="0" fontId="202" fillId="203" borderId="202" xfId="0" applyFont="1" applyFill="1" applyBorder="1"/>
    <xf numFmtId="0" fontId="203" fillId="204" borderId="203" xfId="0" applyFont="1" applyFill="1" applyBorder="1"/>
    <xf numFmtId="0" fontId="204" fillId="205" borderId="204" xfId="0" applyFont="1" applyFill="1" applyBorder="1"/>
    <xf numFmtId="0" fontId="205" fillId="206" borderId="205" xfId="0" applyFont="1" applyFill="1" applyBorder="1"/>
    <xf numFmtId="0" fontId="212" fillId="213" borderId="212" xfId="0" applyFont="1" applyFill="1" applyBorder="1"/>
    <xf numFmtId="0" fontId="213" fillId="214" borderId="213" xfId="0" applyFont="1" applyFill="1" applyBorder="1"/>
    <xf numFmtId="0" fontId="214" fillId="215" borderId="214" xfId="0" applyFont="1" applyFill="1" applyBorder="1"/>
    <xf numFmtId="0" fontId="215" fillId="216" borderId="215" xfId="0" applyFont="1" applyFill="1" applyBorder="1"/>
    <xf numFmtId="0" fontId="216" fillId="217" borderId="216" xfId="0" applyFont="1" applyFill="1" applyBorder="1"/>
    <xf numFmtId="0" fontId="217" fillId="218" borderId="217" xfId="0" applyFont="1" applyFill="1" applyBorder="1"/>
    <xf numFmtId="0" fontId="224" fillId="225" borderId="224" xfId="0" applyFont="1" applyFill="1" applyBorder="1"/>
    <xf numFmtId="0" fontId="225" fillId="226" borderId="225" xfId="0" applyFont="1" applyFill="1" applyBorder="1"/>
    <xf numFmtId="0" fontId="226" fillId="227" borderId="226" xfId="0" applyFont="1" applyFill="1" applyBorder="1"/>
    <xf numFmtId="0" fontId="227" fillId="228" borderId="227" xfId="0" applyFont="1" applyFill="1" applyBorder="1"/>
    <xf numFmtId="0" fontId="228" fillId="229" borderId="228" xfId="0" applyFont="1" applyFill="1" applyBorder="1"/>
    <xf numFmtId="0" fontId="229" fillId="230" borderId="229" xfId="0" applyFont="1" applyFill="1" applyBorder="1"/>
    <xf numFmtId="0" fontId="236" fillId="237" borderId="236" xfId="0" applyFont="1" applyFill="1" applyBorder="1"/>
    <xf numFmtId="0" fontId="237" fillId="238" borderId="237" xfId="0" applyFont="1" applyFill="1" applyBorder="1"/>
    <xf numFmtId="0" fontId="238" fillId="239" borderId="238" xfId="0" applyFont="1" applyFill="1" applyBorder="1"/>
    <xf numFmtId="0" fontId="239" fillId="240" borderId="239" xfId="0" applyFont="1" applyFill="1" applyBorder="1"/>
    <xf numFmtId="0" fontId="240" fillId="241" borderId="240" xfId="0" applyFont="1" applyFill="1" applyBorder="1"/>
    <xf numFmtId="0" fontId="241" fillId="242" borderId="24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7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25400</xdr:rowOff>
    </xdr:from>
    <xdr:to>
      <xdr:col>12</xdr:col>
      <xdr:colOff>156210</xdr:colOff>
      <xdr:row>2</xdr:row>
      <xdr:rowOff>66675</xdr:rowOff>
    </xdr:to>
    <xdr:pic>
      <xdr:nvPicPr>
        <xdr:cNvPr id="3" name="Logo_Tanque_Pagina_1">
          <a:extLst>
            <a:ext uri="{FF2B5EF4-FFF2-40B4-BE49-F238E27FC236}">
              <a16:creationId xmlns:a16="http://schemas.microsoft.com/office/drawing/2014/main" id="{76A7DF73-84C6-FF04-1146-7F4DD87CC6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6220" y="25400"/>
          <a:ext cx="1390650" cy="5441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tabSelected="1" workbookViewId="0"/>
  </sheetViews>
  <sheetFormatPr baseColWidth="10" defaultColWidth="8.88671875" defaultRowHeight="14.4"/>
  <cols>
    <col min="1" max="1" width="8.109375" customWidth="1"/>
    <col min="2" max="2" width="12" customWidth="1"/>
    <col min="3" max="5" width="16" customWidth="1"/>
    <col min="6" max="8" width="18" customWidth="1"/>
    <col min="9" max="9" width="16" customWidth="1"/>
    <col min="10" max="10" width="18" customWidth="1"/>
    <col min="11" max="11" width="14" customWidth="1"/>
    <col min="12" max="12" width="18" customWidth="1"/>
    <col min="13" max="13" width="16" customWidth="1"/>
  </cols>
  <sheetData>
    <row r="1" spans="2:13" ht="19.95" customHeight="1"/>
    <row r="2" spans="2:13" ht="19.95" customHeight="1"/>
    <row r="3" spans="2:13" ht="19.95" customHeight="1"/>
    <row r="4" spans="2:13" ht="30" customHeight="1">
      <c r="B4" t="s" s="650">
        <v>0</v>
      </c>
      <c r="C4" s="651"/>
      <c r="D4" s="651"/>
      <c r="E4" s="651"/>
      <c r="F4" s="651"/>
      <c r="G4" s="651"/>
      <c r="H4" s="651"/>
      <c r="I4" s="651"/>
      <c r="J4" s="651"/>
      <c r="K4" s="651"/>
      <c r="L4" s="651"/>
      <c r="M4" s="651"/>
    </row>
    <row r="5" spans="2:13" ht="15" customHeight="1"/>
    <row r="6" spans="2:13" ht="22.05" customHeight="1">
      <c r="B6" t="s" s="1">
        <v>1</v>
      </c>
      <c r="C6" s="2"/>
      <c r="E6" t="s" s="3">
        <v>3</v>
      </c>
      <c r="F6" s="652"/>
      <c r="G6" s="653"/>
      <c r="H6" s="654"/>
      <c r="J6" t="s" s="4">
        <v>4</v>
      </c>
      <c r="K6" t="s" s="655">
        <v>5</v>
      </c>
      <c r="L6" t="s" s="656">
        <v>5</v>
      </c>
      <c r="M6" t="s" s="657">
        <v>5</v>
      </c>
    </row>
    <row r="7" spans="2:13" ht="22.05" customHeight="1">
      <c r="B7" t="s" s="5">
        <v>6</v>
      </c>
      <c r="C7" s="6"/>
      <c r="D7" t="s" s="7">
        <v>7</v>
      </c>
      <c r="E7" s="8"/>
      <c r="F7" t="s" s="9">
        <v>8</v>
      </c>
      <c r="G7" s="658"/>
      <c r="H7" s="659"/>
      <c r="I7" s="660"/>
      <c r="J7" s="661"/>
      <c r="K7" s="662"/>
      <c r="L7" s="663"/>
      <c r="M7" s="664"/>
    </row>
    <row r="8" spans="2:13" ht="15" customHeight="1"/>
    <row r="9" spans="2:13" ht="22.05" customHeight="1">
      <c r="B9" t="s" s="665">
        <v>9</v>
      </c>
      <c r="C9" s="651"/>
      <c r="D9" s="651"/>
      <c r="E9" s="651"/>
      <c r="F9" s="651"/>
      <c r="G9" s="651"/>
      <c r="H9" s="651"/>
      <c r="I9" s="651"/>
      <c r="J9" s="651"/>
      <c r="K9" s="651"/>
      <c r="L9" s="651"/>
      <c r="M9" s="651"/>
    </row>
    <row r="10" spans="2:13" ht="25.05" customHeight="1">
      <c r="B10" t="s" s="10">
        <v>39</v>
      </c>
      <c r="C10" t="s" s="11">
        <v>40</v>
      </c>
      <c r="D10" t="s" s="12">
        <v>41</v>
      </c>
      <c r="E10" t="s" s="13">
        <v>42</v>
      </c>
      <c r="F10" t="s" s="14">
        <v>43</v>
      </c>
      <c r="G10" t="s" s="15">
        <v>44</v>
      </c>
      <c r="H10" t="s" s="16">
        <v>45</v>
      </c>
      <c r="I10" t="s" s="17">
        <v>17</v>
      </c>
      <c r="J10" t="s" s="18">
        <v>18</v>
      </c>
      <c r="K10" t="s" s="19">
        <v>19</v>
      </c>
      <c r="L10" t="s" s="20">
        <v>20</v>
      </c>
      <c r="M10" t="s" s="21">
        <v>21</v>
      </c>
    </row>
    <row r="11" spans="2:13" ht="22.05" customHeight="1">
      <c r="B11" s="22">
        <f>IF(F11="","", "TNK" &amp; IF($C$6="","", "-" &amp; $C$6) &amp; "-" &amp; TEXT(ROW(A1),"000"))</f>
      </c>
      <c r="C11" s="23"/>
      <c r="D11" s="24"/>
      <c r="E11" s="25"/>
      <c r="F11" s="26"/>
      <c r="G11" s="27"/>
      <c r="H11" s="28">
        <f>IF(F11="","", IFERROR(VLOOKUP(F11, Catalogos!$D$2:$G$50, 4, FALSE), ""))</f>
      </c>
      <c r="I11" s="29"/>
      <c r="J11" s="31">
        <f t="shared" ref="J11:J16" si="0">C11+D11+E11-G11-H11-I11</f>
      </c>
      <c r="K11" s="30"/>
      <c r="L11" s="32">
        <f>IF(OR(ISBLANK(K11), K11=""), "", VLOOKUP(K11, 'Tabla de Cubicación'!$A$2:$B$242, 2, TRUE))</f>
      </c>
      <c r="M11" s="33">
        <f t="shared" ref="M11:M16" si="1">IF(ISNUMBER(L11), L11-J11, "")</f>
      </c>
    </row>
    <row r="12" spans="2:13" ht="22.05" customHeight="1">
      <c r="B12" s="34">
        <f>IF(F12="","", "TNK" &amp; IF($C$6="","", "-" &amp; $C$6) &amp; "-" &amp; TEXT(ROW(A2),"000"))</f>
      </c>
      <c r="C12" s="35">
        <f>IF(L11&gt;0, L11, J11)</f>
      </c>
      <c r="D12" s="36"/>
      <c r="E12" s="37"/>
      <c r="F12" s="38"/>
      <c r="G12" s="39"/>
      <c r="H12" s="40">
        <f>IF(F12="","", IFERROR(VLOOKUP(F12, Catalogos!$D$2:$G$50, 4, FALSE), ""))</f>
      </c>
      <c r="I12" s="41"/>
      <c r="J12" s="43">
        <f t="shared" si="0"/>
      </c>
      <c r="K12" s="42"/>
      <c r="L12" s="44">
        <f>IF(OR(ISBLANK(K12), K12=""), "", VLOOKUP(K12, 'Tabla de Cubicación'!$A$2:$B$242, 2, TRUE))</f>
      </c>
      <c r="M12" s="45">
        <f t="shared" si="1"/>
      </c>
    </row>
    <row r="13" spans="2:13" ht="22.05" customHeight="1">
      <c r="B13" s="46">
        <f>IF(F13="","", "TNK" &amp; IF($C$6="","", "-" &amp; $C$6) &amp; "-" &amp; TEXT(ROW(A3),"000"))</f>
      </c>
      <c r="C13" s="47">
        <f>IF(L12&gt;0, L12, J12)</f>
      </c>
      <c r="D13" s="48"/>
      <c r="E13" s="49"/>
      <c r="F13" s="50"/>
      <c r="G13" s="51"/>
      <c r="H13" s="52">
        <f>IF(F13="","", IFERROR(VLOOKUP(F13, Catalogos!$D$2:$G$50, 4, FALSE), ""))</f>
      </c>
      <c r="I13" s="53"/>
      <c r="J13" s="55">
        <f t="shared" si="0"/>
      </c>
      <c r="K13" s="54"/>
      <c r="L13" s="56">
        <f>IF(OR(ISBLANK(K13), K13=""), "", VLOOKUP(K13, 'Tabla de Cubicación'!$A$2:$B$242, 2, TRUE))</f>
      </c>
      <c r="M13" s="57">
        <f t="shared" si="1"/>
      </c>
    </row>
    <row r="14" spans="2:13" ht="22.05" customHeight="1">
      <c r="B14" s="58">
        <f>IF(F14="","", "TNK" &amp; IF($C$6="","", "-" &amp; $C$6) &amp; "-" &amp; TEXT(ROW(A4),"000"))</f>
      </c>
      <c r="C14" s="59">
        <f>IF(L13&gt;0, L13, J13)</f>
      </c>
      <c r="D14" s="60"/>
      <c r="E14" s="61"/>
      <c r="F14" s="62"/>
      <c r="G14" s="63"/>
      <c r="H14" s="64">
        <f>IF(F14="","", IFERROR(VLOOKUP(F14, Catalogos!$D$2:$G$50, 4, FALSE), ""))</f>
      </c>
      <c r="I14" s="65"/>
      <c r="J14" s="67">
        <f t="shared" si="0"/>
      </c>
      <c r="K14" s="66"/>
      <c r="L14" s="68">
        <f>IF(OR(ISBLANK(K14), K14=""), "", VLOOKUP(K14, 'Tabla de Cubicación'!$A$2:$B$242, 2, TRUE))</f>
      </c>
      <c r="M14" s="69">
        <f t="shared" si="1"/>
      </c>
    </row>
    <row r="15" spans="2:13" ht="22.05" customHeight="1">
      <c r="B15" s="70">
        <f>IF(F15="","", "TNK" &amp; IF($C$6="","", "-" &amp; $C$6) &amp; "-" &amp; TEXT(ROW(A5),"000"))</f>
      </c>
      <c r="C15" s="71">
        <f>IF(L14&gt;0, L14, J14)</f>
      </c>
      <c r="D15" s="72"/>
      <c r="E15" s="73"/>
      <c r="F15" s="74"/>
      <c r="G15" s="75"/>
      <c r="H15" s="76">
        <f>IF(F15="","", IFERROR(VLOOKUP(F15, Catalogos!$D$2:$G$50, 4, FALSE), ""))</f>
      </c>
      <c r="I15" s="77"/>
      <c r="J15" s="79">
        <f t="shared" si="0"/>
      </c>
      <c r="K15" s="78"/>
      <c r="L15" s="80">
        <f>IF(OR(ISBLANK(K15), K15=""), "", VLOOKUP(K15, 'Tabla de Cubicación'!$A$2:$B$242, 2, TRUE))</f>
      </c>
      <c r="M15" s="81">
        <f t="shared" si="1"/>
      </c>
    </row>
    <row r="16" spans="2:13" ht="22.05" customHeight="1">
      <c r="B16" s="82">
        <f>IF(F16="","", "TNK" &amp; IF($C$6="","", "-" &amp; $C$6) &amp; "-" &amp; TEXT(ROW(A6),"000"))</f>
      </c>
      <c r="C16" s="83">
        <f>IF(L15&gt;0, L15, J15)</f>
      </c>
      <c r="D16" s="84"/>
      <c r="E16" s="85"/>
      <c r="F16" s="86"/>
      <c r="G16" s="87"/>
      <c r="H16" s="88">
        <f>IF(F16="","", IFERROR(VLOOKUP(F16, Catalogos!$D$2:$G$50, 4, FALSE), ""))</f>
      </c>
      <c r="I16" s="89"/>
      <c r="J16" s="91">
        <f t="shared" si="0"/>
      </c>
      <c r="K16" s="90"/>
      <c r="L16" s="92">
        <f>IF(OR(ISBLANK(K16), K16=""), "", VLOOKUP(K16, 'Tabla de Cubicación'!$A$2:$B$242, 2, TRUE))</f>
      </c>
      <c r="M16" s="93">
        <f t="shared" si="1"/>
      </c>
    </row>
    <row r="17" spans="2:13" ht="22.05" customHeight="1">
      <c r="B17" t="s" s="94">
        <v>28</v>
      </c>
      <c r="C17" s="103"/>
      <c r="D17" s="95">
        <f>SUM(D11:D16)</f>
      </c>
      <c r="E17" s="96">
        <f>SUM(E11:E16)</f>
      </c>
      <c r="F17" s="104"/>
      <c r="G17" s="97">
        <f>SUM(G11:G16)</f>
      </c>
      <c r="H17" s="98">
        <f>SUM(H11:H16)</f>
      </c>
      <c r="I17" s="99">
        <f>SUM(I11:I16)</f>
      </c>
      <c r="J17" s="100">
        <f>C11+D17+E17-G17-H17-I17</f>
      </c>
      <c r="K17" s="105"/>
      <c r="L17" s="101">
        <f>IF(L16&gt;0, L16, J16)</f>
      </c>
      <c r="M17" s="102">
        <f>SUM(M11:M16)</f>
      </c>
    </row>
    <row r="18" spans="2:13" ht="15" customHeight="1"/>
    <row r="19" spans="2:13" ht="22.05" customHeight="1">
      <c r="B19" t="s" s="666">
        <v>29</v>
      </c>
      <c r="C19" s="651"/>
      <c r="D19" s="651"/>
      <c r="E19" s="651"/>
      <c r="F19" s="651"/>
      <c r="G19" s="651"/>
      <c r="H19" s="651"/>
      <c r="I19" s="651"/>
      <c r="J19" s="651"/>
      <c r="K19" s="651"/>
      <c r="L19" s="651"/>
      <c r="M19" s="651"/>
    </row>
    <row r="20" spans="2:13" ht="25.05" customHeight="1">
      <c r="B20" t="s" s="106">
        <v>30</v>
      </c>
      <c r="C20" t="s" s="107">
        <v>31</v>
      </c>
      <c r="D20" t="s" s="108">
        <v>32</v>
      </c>
      <c r="E20" t="s" s="109">
        <v>33</v>
      </c>
      <c r="F20" t="s" s="110">
        <v>34</v>
      </c>
      <c r="G20" t="s" s="111">
        <v>35</v>
      </c>
      <c r="H20" t="s" s="667">
        <v>36</v>
      </c>
      <c r="I20" s="668"/>
      <c r="J20" s="669"/>
      <c r="K20" s="670"/>
      <c r="L20" s="671"/>
      <c r="M20" s="672"/>
    </row>
    <row r="21" spans="2:13" ht="19.95" customHeight="1">
      <c r="B21" s="112"/>
      <c r="C21" s="113"/>
      <c r="D21" s="114"/>
      <c r="E21" s="115"/>
      <c r="F21" s="116">
        <f t="shared" ref="F21:F28" si="2">IF(AND(ISNUMBER(D21), ISNUMBER(E21)), E21-D21, "")</f>
      </c>
      <c r="G21" s="117">
        <f t="shared" ref="G21:G28" si="3">IF(F21="","",IF(F21=0,"OK (COINCIDE)",IF(F21&gt;0,"EXCEDENTE","FALTANTE")))</f>
      </c>
      <c r="H21" s="673"/>
      <c r="I21" s="674"/>
      <c r="J21" s="675"/>
      <c r="K21" s="676"/>
      <c r="L21" s="677"/>
      <c r="M21" s="678"/>
    </row>
    <row r="22" spans="2:13" ht="19.95" customHeight="1">
      <c r="B22" s="118"/>
      <c r="C22" s="119"/>
      <c r="D22" s="120"/>
      <c r="E22" s="121"/>
      <c r="F22" s="122">
        <f t="shared" si="2"/>
      </c>
      <c r="G22" s="123">
        <f t="shared" si="3"/>
      </c>
      <c r="H22" s="679"/>
      <c r="I22" s="680"/>
      <c r="J22" s="681"/>
      <c r="K22" s="682"/>
      <c r="L22" s="683"/>
      <c r="M22" s="684"/>
    </row>
    <row r="23" spans="2:13" ht="19.95" customHeight="1">
      <c r="B23" s="124"/>
      <c r="C23" s="125"/>
      <c r="D23" s="126"/>
      <c r="E23" s="127"/>
      <c r="F23" s="128">
        <f t="shared" si="2"/>
      </c>
      <c r="G23" s="129">
        <f t="shared" si="3"/>
      </c>
      <c r="H23" s="685"/>
      <c r="I23" s="686"/>
      <c r="J23" s="687"/>
      <c r="K23" s="688"/>
      <c r="L23" s="689"/>
      <c r="M23" s="690"/>
    </row>
    <row r="24" spans="2:13" ht="19.95" customHeight="1">
      <c r="B24" s="130"/>
      <c r="C24" s="131"/>
      <c r="D24" s="132"/>
      <c r="E24" s="133"/>
      <c r="F24" s="134">
        <f t="shared" si="2"/>
      </c>
      <c r="G24" s="135">
        <f t="shared" si="3"/>
      </c>
      <c r="H24" s="691"/>
      <c r="I24" s="692"/>
      <c r="J24" s="693"/>
      <c r="K24" s="694"/>
      <c r="L24" s="695"/>
      <c r="M24" s="696"/>
    </row>
    <row r="25" spans="2:13" ht="19.95" customHeight="1">
      <c r="B25" s="136"/>
      <c r="C25" s="137"/>
      <c r="D25" s="138"/>
      <c r="E25" s="139"/>
      <c r="F25" s="140">
        <f t="shared" si="2"/>
      </c>
      <c r="G25" s="141">
        <f t="shared" si="3"/>
      </c>
      <c r="H25" s="697"/>
      <c r="I25" s="698"/>
      <c r="J25" s="699"/>
      <c r="K25" s="700"/>
      <c r="L25" s="701"/>
      <c r="M25" s="702"/>
    </row>
    <row r="26" spans="2:13" ht="19.95" customHeight="1">
      <c r="B26" s="142"/>
      <c r="C26" s="143"/>
      <c r="D26" s="144"/>
      <c r="E26" s="145"/>
      <c r="F26" s="146">
        <f t="shared" si="2"/>
      </c>
      <c r="G26" s="147">
        <f t="shared" si="3"/>
      </c>
      <c r="H26" s="703"/>
      <c r="I26" s="704"/>
      <c r="J26" s="705"/>
      <c r="K26" s="706"/>
      <c r="L26" s="707"/>
      <c r="M26" s="708"/>
    </row>
    <row r="27" spans="2:13" ht="19.95" customHeight="1">
      <c r="B27" s="148"/>
      <c r="C27" s="149"/>
      <c r="D27" s="150"/>
      <c r="E27" s="151"/>
      <c r="F27" s="152">
        <f t="shared" si="2"/>
      </c>
      <c r="G27" s="153">
        <f t="shared" si="3"/>
      </c>
      <c r="H27" s="709"/>
      <c r="I27" s="710"/>
      <c r="J27" s="711"/>
      <c r="K27" s="712"/>
      <c r="L27" s="713"/>
      <c r="M27" s="714"/>
    </row>
    <row r="28" spans="2:13" ht="19.95" customHeight="1">
      <c r="B28" s="154"/>
      <c r="C28" s="155"/>
      <c r="D28" s="156"/>
      <c r="E28" s="157"/>
      <c r="F28" s="158">
        <f t="shared" si="2"/>
      </c>
      <c r="G28" s="159">
        <f t="shared" si="3"/>
      </c>
      <c r="H28" s="715"/>
      <c r="I28" s="716"/>
      <c r="J28" s="717"/>
      <c r="K28" s="718"/>
      <c r="L28" s="719"/>
      <c r="M28" s="720"/>
    </row>
    <row r="29" spans="2:13" ht="22.05" customHeight="1">
      <c r="B29" t="s" s="160">
        <v>37</v>
      </c>
      <c r="C29" s="164"/>
      <c r="D29" s="161">
        <f>SUM(D21:D28)</f>
      </c>
      <c r="E29" s="162">
        <f>SUM(E21:E28)</f>
      </c>
      <c r="F29" s="163">
        <f>E29-D29</f>
      </c>
      <c r="G29" s="165"/>
      <c r="H29" s="721"/>
      <c r="I29" s="722"/>
      <c r="J29" s="723"/>
      <c r="K29" s="724"/>
      <c r="L29" s="725"/>
      <c r="M29" s="726"/>
    </row>
  </sheetData>
  <mergeCells count="16">
    <mergeCell ref="H29:M29"/>
    <mergeCell ref="H24:M24"/>
    <mergeCell ref="H25:M25"/>
    <mergeCell ref="H26:M26"/>
    <mergeCell ref="H27:M27"/>
    <mergeCell ref="H28:M28"/>
    <mergeCell ref="B19:M19"/>
    <mergeCell ref="H20:M20"/>
    <mergeCell ref="H21:M21"/>
    <mergeCell ref="H22:M22"/>
    <mergeCell ref="H23:M23"/>
    <mergeCell ref="B4:M4"/>
    <mergeCell ref="F6:H6"/>
    <mergeCell ref="K6:M6"/>
    <mergeCell ref="G7:M7"/>
    <mergeCell ref="B9:M9"/>
  </mergeCells>
  <dataValidations>
    <dataValidation type="list" allowBlank="true" showInputMessage="undefined" prompt="undefined" promptTitle="undefined" showErrorMessage="true" error="Seleccione un origen del catálogo." errorTitle="Origen Inválido" operator="undefined" sqref="E11">
      <formula1>'Catalogos'!$B$2:$B$20</formula1>
      <formula2/>
    </dataValidation>
    <dataValidation type="list" allowBlank="true" showInputMessage="undefined" prompt="undefined" promptTitle="undefined" showErrorMessage="true" error="Seleccione un destino del catálogo." errorTitle="Destino Inválido" operator="undefined" sqref="F11">
      <formula1>'Catalogos'!$C$2:$C$50</formula1>
      <formula2/>
    </dataValidation>
    <dataValidation type="list" allowBlank="true" showInputMessage="undefined" prompt="undefined" promptTitle="undefined" showErrorMessage="true" error="Seleccione un origen del catálogo." errorTitle="Origen Inválido" operator="undefined" sqref="E12">
      <formula1>'Catalogos'!$B$2:$B$20</formula1>
      <formula2/>
    </dataValidation>
    <dataValidation type="list" allowBlank="true" showInputMessage="undefined" prompt="undefined" promptTitle="undefined" showErrorMessage="true" error="Seleccione un destino del catálogo." errorTitle="Destino Inválido" operator="undefined" sqref="F12">
      <formula1>'Catalogos'!$C$2:$C$50</formula1>
      <formula2/>
    </dataValidation>
    <dataValidation type="list" allowBlank="true" showInputMessage="undefined" prompt="undefined" promptTitle="undefined" showErrorMessage="true" error="Seleccione un origen del catálogo." errorTitle="Origen Inválido" operator="undefined" sqref="E13">
      <formula1>'Catalogos'!$B$2:$B$20</formula1>
      <formula2/>
    </dataValidation>
    <dataValidation type="list" allowBlank="true" showInputMessage="undefined" prompt="undefined" promptTitle="undefined" showErrorMessage="true" error="Seleccione un destino del catálogo." errorTitle="Destino Inválido" operator="undefined" sqref="F13">
      <formula1>'Catalogos'!$C$2:$C$50</formula1>
      <formula2/>
    </dataValidation>
    <dataValidation type="list" allowBlank="true" showInputMessage="undefined" prompt="undefined" promptTitle="undefined" showErrorMessage="true" error="Seleccione un origen del catálogo." errorTitle="Origen Inválido" operator="undefined" sqref="E14">
      <formula1>'Catalogos'!$B$2:$B$20</formula1>
      <formula2/>
    </dataValidation>
    <dataValidation type="list" allowBlank="true" showInputMessage="undefined" prompt="undefined" promptTitle="undefined" showErrorMessage="true" error="Seleccione un destino del catálogo." errorTitle="Destino Inválido" operator="undefined" sqref="F14">
      <formula1>'Catalogos'!$C$2:$C$50</formula1>
      <formula2/>
    </dataValidation>
    <dataValidation type="list" allowBlank="true" showInputMessage="undefined" prompt="undefined" promptTitle="undefined" showErrorMessage="true" error="Seleccione un origen del catálogo." errorTitle="Origen Inválido" operator="undefined" sqref="E15">
      <formula1>'Catalogos'!$B$2:$B$20</formula1>
      <formula2/>
    </dataValidation>
    <dataValidation type="list" allowBlank="true" showInputMessage="undefined" prompt="undefined" promptTitle="undefined" showErrorMessage="true" error="Seleccione un destino del catálogo." errorTitle="Destino Inválido" operator="undefined" sqref="F15">
      <formula1>'Catalogos'!$C$2:$C$50</formula1>
      <formula2/>
    </dataValidation>
    <dataValidation type="list" allowBlank="true" showInputMessage="undefined" prompt="undefined" promptTitle="undefined" showErrorMessage="true" error="Seleccione un origen del catálogo." errorTitle="Origen Inválido" operator="undefined" sqref="E16">
      <formula1>'Catalogos'!$B$2:$B$20</formula1>
      <formula2/>
    </dataValidation>
    <dataValidation type="list" allowBlank="true" showInputMessage="undefined" prompt="undefined" promptTitle="undefined" showErrorMessage="true" error="Seleccione un destino del catálogo." errorTitle="Destino Inválido" operator="undefined" sqref="F16">
      <formula1>'Catalogos'!$C$2:$C$50</formula1>
      <formula2/>
    </dataValidation>
  </dataValidations>
  <printOptions horizontalCentered="1"/>
  <pageMargins left="0.25" right="0.25" top="0.25" bottom="0.25" header="0" footer="0"/>
  <pageSetup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/>
  <sheetViews>
    <sheetView workbookViewId="0"/>
  </sheetViews>
  <sheetFormatPr baseColWidth="10" defaultRowHeight="14.4"/>
  <cols>
    <col min="1" max="1" width="18" customWidth="1"/>
    <col min="2" max="2" width="22" customWidth="1"/>
  </cols>
  <sheetData>
    <row r="1" spans="1:2" ht="15">
      <c r="A1" t="s" s="166">
        <v>19</v>
      </c>
      <c r="B1" t="s" s="167">
        <v>38</v>
      </c>
    </row>
    <row r="2" spans="1:2" ht="15">
      <c r="A2" s="168">
        <v>0</v>
      </c>
      <c r="B2" s="169">
        <v>0</v>
      </c>
    </row>
    <row r="3" spans="1:2" ht="15">
      <c r="A3" s="170">
        <v>1</v>
      </c>
      <c r="B3" s="171">
        <v>9.120494285667665</v>
      </c>
    </row>
    <row r="4" spans="1:2" ht="15">
      <c r="A4" s="172">
        <v>2</v>
      </c>
      <c r="B4" s="173">
        <v>25.764294882913987</v>
      </c>
    </row>
    <row r="5" spans="1:2" ht="15">
      <c r="A5" s="174">
        <v>3</v>
      </c>
      <c r="B5" s="175">
        <v>47.272496459825476</v>
      </c>
    </row>
    <row r="6" spans="1:2" ht="15">
      <c r="A6" s="176">
        <v>4</v>
      </c>
      <c r="B6" s="177">
        <v>72.68897057086444</v>
      </c>
    </row>
    <row r="7" spans="1:2" ht="15">
      <c r="A7" s="178">
        <v>5</v>
      </c>
      <c r="B7" s="179">
        <v>101.45743807934365</v>
      </c>
    </row>
    <row r="8" spans="1:2" ht="15">
      <c r="A8" s="180">
        <v>6</v>
      </c>
      <c r="B8" s="181">
        <v>133.20011010141351</v>
      </c>
    </row>
    <row r="9" spans="1:2" ht="15">
      <c r="A9" s="182">
        <v>7</v>
      </c>
      <c r="B9" s="183">
        <v>167.63783813935407</v>
      </c>
    </row>
    <row r="10" spans="1:2" ht="15">
      <c r="A10" s="184">
        <v>8</v>
      </c>
      <c r="B10" s="185">
        <v>204.55293074554638</v>
      </c>
    </row>
    <row r="11" spans="1:2" ht="15">
      <c r="A11" s="186">
        <v>9</v>
      </c>
      <c r="B11" s="187">
        <v>243.76910674526252</v>
      </c>
    </row>
    <row r="12" spans="1:2" ht="15">
      <c r="A12" s="188">
        <v>10</v>
      </c>
      <c r="B12" s="189">
        <v>285.1395829882789</v>
      </c>
    </row>
    <row r="13" spans="1:2" ht="15">
      <c r="A13" s="190">
        <v>11</v>
      </c>
      <c r="B13" s="191">
        <v>328.539482798503</v>
      </c>
    </row>
    <row r="14" spans="1:2" ht="15">
      <c r="A14" s="192">
        <v>12</v>
      </c>
      <c r="B14" s="193">
        <v>373.8607346849859</v>
      </c>
    </row>
    <row r="15" spans="1:2" ht="15">
      <c r="A15" s="194">
        <v>13</v>
      </c>
      <c r="B15" s="195">
        <v>421.00849871481773</v>
      </c>
    </row>
    <row r="16" spans="1:2" ht="15">
      <c r="A16" s="196">
        <v>14</v>
      </c>
      <c r="B16" s="197">
        <v>469.8985774556219</v>
      </c>
    </row>
    <row r="17" spans="1:2" ht="15">
      <c r="A17" s="198">
        <v>15</v>
      </c>
      <c r="B17" s="199">
        <v>520.4554874375877</v>
      </c>
    </row>
    <row r="18" spans="1:2" ht="15">
      <c r="A18" s="200">
        <v>16</v>
      </c>
      <c r="B18" s="201">
        <v>572.6109887356647</v>
      </c>
    </row>
    <row r="19" spans="1:2" ht="15">
      <c r="A19" s="202">
        <v>17</v>
      </c>
      <c r="B19" s="203">
        <v>626.3029413432439</v>
      </c>
    </row>
    <row r="20" spans="1:2" ht="15">
      <c r="A20" s="204">
        <v>18</v>
      </c>
      <c r="B20" s="205">
        <v>681.4744003269328</v>
      </c>
    </row>
    <row r="21" spans="1:2" ht="15">
      <c r="A21" s="206">
        <v>19</v>
      </c>
      <c r="B21" s="207">
        <v>738.0728891233379</v>
      </c>
    </row>
    <row r="22" spans="1:2" ht="15">
      <c r="A22" s="208">
        <v>20</v>
      </c>
      <c r="B22" s="209">
        <v>796.0498081790615</v>
      </c>
    </row>
    <row r="23" spans="1:2" ht="15">
      <c r="A23" s="210">
        <v>21</v>
      </c>
      <c r="B23" s="211">
        <v>855.3599480818015</v>
      </c>
    </row>
    <row r="24" spans="1:2" ht="15">
      <c r="A24" s="212">
        <v>22</v>
      </c>
      <c r="B24" s="213">
        <v>915.9610845228985</v>
      </c>
    </row>
    <row r="25" spans="1:2" ht="15">
      <c r="A25" s="214">
        <v>23</v>
      </c>
      <c r="B25" s="215">
        <v>977.8136381693864</v>
      </c>
    </row>
    <row r="26" spans="1:2" ht="15">
      <c r="A26" s="216">
        <v>24</v>
      </c>
      <c r="B26" s="217">
        <v>1040.8803866182777</v>
      </c>
    </row>
    <row r="27" spans="1:2" ht="15">
      <c r="A27" s="218">
        <v>25</v>
      </c>
      <c r="B27" s="219">
        <v>1105.1262185779394</v>
      </c>
    </row>
    <row r="28" spans="1:2" ht="15">
      <c r="A28" s="220">
        <v>26</v>
      </c>
      <c r="B28" s="221">
        <v>1170.5179226117903</v>
      </c>
    </row>
    <row r="29" spans="1:2" ht="15">
      <c r="A29" s="222">
        <v>27</v>
      </c>
      <c r="B29" s="223">
        <v>1237.0240044164887</v>
      </c>
    </row>
    <row r="30" spans="1:2" ht="15">
      <c r="A30" s="224">
        <v>28</v>
      </c>
      <c r="B30" s="225">
        <v>1304.614527845518</v>
      </c>
    </row>
    <row r="31" spans="1:2" ht="15">
      <c r="A31" s="226">
        <v>29</v>
      </c>
      <c r="B31" s="227">
        <v>1373.2609758376793</v>
      </c>
    </row>
    <row r="32" spans="1:2" ht="15">
      <c r="A32" s="228">
        <v>30</v>
      </c>
      <c r="B32" s="229">
        <v>1442.9361281438753</v>
      </c>
    </row>
    <row r="33" spans="1:2" ht="15">
      <c r="A33" s="230">
        <v>31</v>
      </c>
      <c r="B33" s="231">
        <v>1513.613953319296</v>
      </c>
    </row>
    <row r="34" spans="1:2" ht="15">
      <c r="A34" s="232">
        <v>32</v>
      </c>
      <c r="B34" s="233">
        <v>1585.2695129004303</v>
      </c>
    </row>
    <row r="35" spans="1:2" ht="15">
      <c r="A35" s="234">
        <v>33</v>
      </c>
      <c r="B35" s="235">
        <v>1657.878876046142</v>
      </c>
    </row>
    <row r="36" spans="1:2" ht="15">
      <c r="A36" s="236">
        <v>34</v>
      </c>
      <c r="B36" s="237">
        <v>1731.4190432105454</v>
      </c>
    </row>
    <row r="37" spans="1:2" ht="15">
      <c r="A37" s="238">
        <v>35</v>
      </c>
      <c r="B37" s="239">
        <v>1805.8678776482232</v>
      </c>
    </row>
    <row r="38" spans="1:2" ht="15">
      <c r="A38" s="240">
        <v>36</v>
      </c>
      <c r="B38" s="241">
        <v>1881.2040437418732</v>
      </c>
    </row>
    <row r="39" spans="1:2" ht="15">
      <c r="A39" s="242">
        <v>37</v>
      </c>
      <c r="B39" s="243">
        <v>1957.4069512973263</v>
      </c>
    </row>
    <row r="40" spans="1:2" ht="15">
      <c r="A40" s="244">
        <v>38</v>
      </c>
      <c r="B40" s="245">
        <v>2034.4567050786027</v>
      </c>
    </row>
    <row r="41" spans="1:2" ht="15">
      <c r="A41" s="246">
        <v>39</v>
      </c>
      <c r="B41" s="247">
        <v>2112.334058961284</v>
      </c>
    </row>
    <row r="42" spans="1:2" ht="15">
      <c r="A42" s="248">
        <v>40</v>
      </c>
      <c r="B42" s="249">
        <v>2191.0203741704804</v>
      </c>
    </row>
    <row r="43" spans="1:2" ht="15">
      <c r="A43" s="250">
        <v>41</v>
      </c>
      <c r="B43" s="251">
        <v>2270.49758114327</v>
      </c>
    </row>
    <row r="44" spans="1:2" ht="15">
      <c r="A44" s="252">
        <v>42</v>
      </c>
      <c r="B44" s="253">
        <v>2350.7481446174093</v>
      </c>
    </row>
    <row r="45" spans="1:2" ht="15">
      <c r="A45" s="254">
        <v>43</v>
      </c>
      <c r="B45" s="255">
        <v>2431.755031600327</v>
      </c>
    </row>
    <row r="46" spans="1:2" ht="15">
      <c r="A46" s="256">
        <v>44</v>
      </c>
      <c r="B46" s="257">
        <v>2513.50168191684</v>
      </c>
    </row>
    <row r="47" spans="1:2" ht="15">
      <c r="A47" s="258">
        <v>45</v>
      </c>
      <c r="B47" s="259">
        <v>2595.9719810717024</v>
      </c>
    </row>
    <row r="48" spans="1:2" ht="15">
      <c r="A48" s="260">
        <v>46</v>
      </c>
      <c r="B48" s="261">
        <v>2679.150235195489</v>
      </c>
    </row>
    <row r="49" spans="1:2" ht="15">
      <c r="A49" s="262">
        <v>47</v>
      </c>
      <c r="B49" s="263">
        <v>2763.0211478699593</v>
      </c>
    </row>
    <row r="50" spans="1:2" ht="15">
      <c r="A50" s="264">
        <v>48</v>
      </c>
      <c r="B50" s="265">
        <v>2847.569798652941</v>
      </c>
    </row>
    <row r="51" spans="1:2" ht="15">
      <c r="A51" s="266">
        <v>49</v>
      </c>
      <c r="B51" s="267">
        <v>2932.78162314344</v>
      </c>
    </row>
    <row r="52" spans="1:2" ht="15">
      <c r="A52" s="268">
        <v>50</v>
      </c>
      <c r="B52" s="269">
        <v>3018.6423944455087</v>
      </c>
    </row>
    <row r="53" spans="1:2" ht="15">
      <c r="A53" s="270">
        <v>51</v>
      </c>
      <c r="B53" s="271">
        <v>3105.138205905013</v>
      </c>
    </row>
    <row r="54" spans="1:2" ht="15">
      <c r="A54" s="272">
        <v>52</v>
      </c>
      <c r="B54" s="273">
        <v>3192.25545500698</v>
      </c>
    </row>
    <row r="55" spans="1:2" ht="15">
      <c r="A55" s="274">
        <v>53</v>
      </c>
      <c r="B55" s="275">
        <v>3279.980828333096</v>
      </c>
    </row>
    <row r="56" spans="1:2" ht="15">
      <c r="A56" s="276">
        <v>54</v>
      </c>
      <c r="B56" s="277">
        <v>3368.3012874893307</v>
      </c>
    </row>
    <row r="57" spans="1:2" ht="15">
      <c r="A57" s="278">
        <v>55</v>
      </c>
      <c r="B57" s="279">
        <v>3457.204055922801</v>
      </c>
    </row>
    <row r="58" spans="1:2" ht="15">
      <c r="A58" s="280">
        <v>56</v>
      </c>
      <c r="B58" s="281">
        <v>3546.676606555098</v>
      </c>
    </row>
    <row r="59" spans="1:2" ht="15">
      <c r="A59" s="282">
        <v>57</v>
      </c>
      <c r="B59" s="283">
        <v>3636.70665016641</v>
      </c>
    </row>
    <row r="60" spans="1:2" ht="15">
      <c r="A60" s="284">
        <v>58</v>
      </c>
      <c r="B60" s="285">
        <v>3727.282124471099</v>
      </c>
    </row>
    <row r="61" spans="1:2" ht="15">
      <c r="A61" s="286">
        <v>59</v>
      </c>
      <c r="B61" s="287">
        <v>3818.3911838310014</v>
      </c>
    </row>
    <row r="62" spans="1:2" ht="15">
      <c r="A62" s="288">
        <v>60</v>
      </c>
      <c r="B62" s="289">
        <v>3910.0221895577065</v>
      </c>
    </row>
    <row r="63" spans="1:2" ht="15">
      <c r="A63" s="290">
        <v>61</v>
      </c>
      <c r="B63" s="291">
        <v>4002.1637007595486</v>
      </c>
    </row>
    <row r="64" spans="1:2" ht="15">
      <c r="A64" s="292">
        <v>62</v>
      </c>
      <c r="B64" s="293">
        <v>4094.8044656929687</v>
      </c>
    </row>
    <row r="65" spans="1:2" ht="15">
      <c r="A65" s="294">
        <v>63</v>
      </c>
      <c r="B65" s="295">
        <v>4187.933413581534</v>
      </c>
    </row>
    <row r="66" spans="1:2" ht="15">
      <c r="A66" s="296">
        <v>64</v>
      </c>
      <c r="B66" s="297">
        <v>4281.539646869008</v>
      </c>
    </row>
    <row r="67" spans="1:2" ht="15">
      <c r="A67" s="298">
        <v>65</v>
      </c>
      <c r="B67" s="299">
        <v>4375.6124338758245</v>
      </c>
    </row>
    <row r="68" spans="1:2" ht="15">
      <c r="A68" s="300">
        <v>66</v>
      </c>
      <c r="B68" s="301">
        <v>4470.141201830809</v>
      </c>
    </row>
    <row r="69" spans="1:2" ht="15">
      <c r="A69" s="302">
        <v>67</v>
      </c>
      <c r="B69" s="303">
        <v>4565.115530252396</v>
      </c>
    </row>
    <row r="70" spans="1:2" ht="15">
      <c r="A70" s="304">
        <v>68</v>
      </c>
      <c r="B70" s="305">
        <v>4660.525144655629</v>
      </c>
    </row>
    <row r="71" spans="1:2" ht="15">
      <c r="A71" s="306">
        <v>69</v>
      </c>
      <c r="B71" s="307">
        <v>4756.359910563169</v>
      </c>
    </row>
    <row r="72" spans="1:2" ht="15">
      <c r="A72" s="308">
        <v>70</v>
      </c>
      <c r="B72" s="309">
        <v>4852.609827800218</v>
      </c>
    </row>
    <row r="73" spans="1:2" ht="15">
      <c r="A73" s="310">
        <v>71</v>
      </c>
      <c r="B73" s="311">
        <v>4949.265025054895</v>
      </c>
    </row>
    <row r="74" spans="1:2" ht="15">
      <c r="A74" s="312">
        <v>72</v>
      </c>
      <c r="B74" s="313">
        <v>5046.315754686909</v>
      </c>
    </row>
    <row r="75" spans="1:2" ht="15">
      <c r="A75" s="314">
        <v>73</v>
      </c>
      <c r="B75" s="315">
        <v>5143.752387768782</v>
      </c>
    </row>
    <row r="76" spans="1:2" ht="15">
      <c r="A76" s="316">
        <v>74</v>
      </c>
      <c r="B76" s="317">
        <v>5241.565409344952</v>
      </c>
    </row>
    <row r="77" spans="1:2" ht="15">
      <c r="A77" s="318">
        <v>75</v>
      </c>
      <c r="B77" s="319">
        <v>5339.745413895205</v>
      </c>
    </row>
    <row r="78" spans="1:2" ht="15">
      <c r="A78" s="320">
        <v>76</v>
      </c>
      <c r="B78" s="321">
        <v>5438.283100989872</v>
      </c>
    </row>
    <row r="79" spans="1:2" ht="15">
      <c r="A79" s="322">
        <v>77</v>
      </c>
      <c r="B79" s="323">
        <v>5537.169271125063</v>
      </c>
    </row>
    <row r="80" spans="1:2" ht="15">
      <c r="A80" s="324">
        <v>78</v>
      </c>
      <c r="B80" s="325">
        <v>5636.394821727099</v>
      </c>
    </row>
    <row r="81" spans="1:2" ht="15">
      <c r="A81" s="326">
        <v>79</v>
      </c>
      <c r="B81" s="327">
        <v>5735.950743315999</v>
      </c>
    </row>
    <row r="82" spans="1:2" ht="15">
      <c r="A82" s="328">
        <v>80</v>
      </c>
      <c r="B82" s="329">
        <v>5835.8281158185755</v>
      </c>
    </row>
    <row r="83" spans="1:2" ht="15">
      <c r="A83" s="330">
        <v>81</v>
      </c>
      <c r="B83" s="331">
        <v>5936.018105022368</v>
      </c>
    </row>
    <row r="84" spans="1:2" ht="15">
      <c r="A84" s="332">
        <v>82</v>
      </c>
      <c r="B84" s="333">
        <v>6036.51195916213</v>
      </c>
    </row>
    <row r="85" spans="1:2" ht="15">
      <c r="A85" s="334">
        <v>83</v>
      </c>
      <c r="B85" s="335">
        <v>6137.3010056312305</v>
      </c>
    </row>
    <row r="86" spans="1:2" ht="15">
      <c r="A86" s="336">
        <v>84</v>
      </c>
      <c r="B86" s="337">
        <v>6238.376647810729</v>
      </c>
    </row>
    <row r="87" spans="1:2" ht="15">
      <c r="A87" s="338">
        <v>85</v>
      </c>
      <c r="B87" s="339">
        <v>6339.730362009377</v>
      </c>
    </row>
    <row r="88" spans="1:2" ht="15">
      <c r="A88" s="340">
        <v>86</v>
      </c>
      <c r="B88" s="341">
        <v>6441.353694508232</v>
      </c>
    </row>
    <row r="89" spans="1:2" ht="15">
      <c r="A89" s="342">
        <v>87</v>
      </c>
      <c r="B89" s="343">
        <v>6543.2382587038965</v>
      </c>
    </row>
    <row r="90" spans="1:2" ht="15">
      <c r="A90" s="344">
        <v>88</v>
      </c>
      <c r="B90" s="345">
        <v>6645.375732344828</v>
      </c>
    </row>
    <row r="91" spans="1:2" ht="15">
      <c r="A91" s="346">
        <v>89</v>
      </c>
      <c r="B91" s="347">
        <v>6747.7578548554275</v>
      </c>
    </row>
    <row r="92" spans="1:2" ht="15">
      <c r="A92" s="348">
        <v>90</v>
      </c>
      <c r="B92" s="349">
        <v>6850.376424742927</v>
      </c>
    </row>
    <row r="93" spans="1:2" ht="15">
      <c r="A93" s="350">
        <v>91</v>
      </c>
      <c r="B93" s="351">
        <v>6953.223297082449</v>
      </c>
    </row>
    <row r="94" spans="1:2" ht="15">
      <c r="A94" s="352">
        <v>92</v>
      </c>
      <c r="B94" s="353">
        <v>7056.290381075778</v>
      </c>
    </row>
    <row r="95" spans="1:2" ht="15">
      <c r="A95" s="354">
        <v>93</v>
      </c>
      <c r="B95" s="355">
        <v>7159.569637679639</v>
      </c>
    </row>
    <row r="96" spans="1:2" ht="15">
      <c r="A96" s="356">
        <v>94</v>
      </c>
      <c r="B96" s="357">
        <v>7263.0530772995835</v>
      </c>
    </row>
    <row r="97" spans="1:2" ht="15">
      <c r="A97" s="358">
        <v>95</v>
      </c>
      <c r="B97" s="359">
        <v>7366.732757545709</v>
      </c>
    </row>
    <row r="98" spans="1:2" ht="15">
      <c r="A98" s="360">
        <v>96</v>
      </c>
      <c r="B98" s="361">
        <v>7470.600781046622</v>
      </c>
    </row>
    <row r="99" spans="1:2" ht="15">
      <c r="A99" s="362">
        <v>97</v>
      </c>
      <c r="B99" s="363">
        <v>7574.649293318308</v>
      </c>
    </row>
    <row r="100" spans="1:2" ht="15">
      <c r="A100" s="364">
        <v>98</v>
      </c>
      <c r="B100" s="365">
        <v>7678.870480684683</v>
      </c>
    </row>
    <row r="101" spans="1:2" ht="15">
      <c r="A101" s="366">
        <v>99</v>
      </c>
      <c r="B101" s="367">
        <v>7783.256568246734</v>
      </c>
    </row>
    <row r="102" spans="1:2" ht="15">
      <c r="A102" s="368">
        <v>100</v>
      </c>
      <c r="B102" s="369">
        <v>7887.799817897357</v>
      </c>
    </row>
    <row r="103" spans="1:2" ht="15">
      <c r="A103" s="370">
        <v>101</v>
      </c>
      <c r="B103" s="371">
        <v>7992.492526379103</v>
      </c>
    </row>
    <row r="104" spans="1:2" ht="15">
      <c r="A104" s="372">
        <v>102</v>
      </c>
      <c r="B104" s="373">
        <v>8097.327023382138</v>
      </c>
    </row>
    <row r="105" spans="1:2" ht="15">
      <c r="A105" s="374">
        <v>103</v>
      </c>
      <c r="B105" s="375">
        <v>8202.295669679881</v>
      </c>
    </row>
    <row r="106" spans="1:2" ht="15">
      <c r="A106" s="376">
        <v>104</v>
      </c>
      <c r="B106" s="377">
        <v>8307.390855299884</v>
      </c>
    </row>
    <row r="107" spans="1:2" ht="15">
      <c r="A107" s="378">
        <v>105</v>
      </c>
      <c r="B107" s="379">
        <v>8412.604997727523</v>
      </c>
    </row>
    <row r="108" spans="1:2" ht="15">
      <c r="A108" s="380">
        <v>106</v>
      </c>
      <c r="B108" s="381">
        <v>8517.930540140358</v>
      </c>
    </row>
    <row r="109" spans="1:2" ht="15">
      <c r="A109" s="382">
        <v>107</v>
      </c>
      <c r="B109" s="383">
        <v>8623.359949670847</v>
      </c>
    </row>
    <row r="110" spans="1:2" ht="15">
      <c r="A110" s="384">
        <v>108</v>
      </c>
      <c r="B110" s="385">
        <v>8728.885715695382</v>
      </c>
    </row>
    <row r="111" spans="1:2" ht="15">
      <c r="A111" s="386">
        <v>109</v>
      </c>
      <c r="B111" s="387">
        <v>8834.500348147585</v>
      </c>
    </row>
    <row r="112" spans="1:2" ht="15">
      <c r="A112" s="388">
        <v>110</v>
      </c>
      <c r="B112" s="389">
        <v>8940.196375853884</v>
      </c>
    </row>
    <row r="113" spans="1:2" ht="15">
      <c r="A113" s="390">
        <v>111</v>
      </c>
      <c r="B113" s="391">
        <v>9045.966344889435</v>
      </c>
    </row>
    <row r="114" spans="1:2" ht="15">
      <c r="A114" s="392">
        <v>112</v>
      </c>
      <c r="B114" s="393">
        <v>9151.80281695254</v>
      </c>
    </row>
    <row r="115" spans="1:2" ht="15">
      <c r="A115" s="394">
        <v>113</v>
      </c>
      <c r="B115" s="395">
        <v>9257.698367755715</v>
      </c>
    </row>
    <row r="116" spans="1:2" ht="15">
      <c r="A116" s="396">
        <v>114</v>
      </c>
      <c r="B116" s="397">
        <v>9363.645585431666</v>
      </c>
    </row>
    <row r="117" spans="1:2" ht="15">
      <c r="A117" s="398">
        <v>115</v>
      </c>
      <c r="B117" s="399">
        <v>9469.637068952374</v>
      </c>
    </row>
    <row r="118" spans="1:2" ht="15">
      <c r="A118" s="400">
        <v>116</v>
      </c>
      <c r="B118" s="401">
        <v>9575.665426559612</v>
      </c>
    </row>
    <row r="119" spans="1:2" ht="15">
      <c r="A119" s="402">
        <v>117</v>
      </c>
      <c r="B119" s="403">
        <v>9681.723274205207</v>
      </c>
    </row>
    <row r="120" spans="1:2" ht="15">
      <c r="A120" s="404">
        <v>118</v>
      </c>
      <c r="B120" s="405">
        <v>9787.803233999399</v>
      </c>
    </row>
    <row r="121" spans="1:2" ht="15">
      <c r="A121" s="406">
        <v>119</v>
      </c>
      <c r="B121" s="407">
        <v>9893.897932665594</v>
      </c>
    </row>
    <row r="122" spans="1:2" ht="15">
      <c r="A122" s="408">
        <v>120</v>
      </c>
      <c r="B122" s="409">
        <v>9999.999999999998</v>
      </c>
    </row>
    <row r="123" spans="1:2" ht="15">
      <c r="A123" s="410">
        <v>121</v>
      </c>
      <c r="B123" s="411">
        <v>10106.102067334403</v>
      </c>
    </row>
    <row r="124" spans="1:2" ht="15">
      <c r="A124" s="412">
        <v>122</v>
      </c>
      <c r="B124" s="413">
        <v>10212.196766000601</v>
      </c>
    </row>
    <row r="125" spans="1:2" ht="15">
      <c r="A125" s="414">
        <v>123</v>
      </c>
      <c r="B125" s="415">
        <v>10318.27672579479</v>
      </c>
    </row>
    <row r="126" spans="1:2" ht="15">
      <c r="A126" s="416">
        <v>124</v>
      </c>
      <c r="B126" s="417">
        <v>10424.33457344039</v>
      </c>
    </row>
    <row r="127" spans="1:2" ht="15">
      <c r="A127" s="418">
        <v>125</v>
      </c>
      <c r="B127" s="419">
        <v>10530.362931047626</v>
      </c>
    </row>
    <row r="128" spans="1:2" ht="15">
      <c r="A128" s="420">
        <v>126</v>
      </c>
      <c r="B128" s="421">
        <v>10636.354414568334</v>
      </c>
    </row>
    <row r="129" spans="1:2" ht="15">
      <c r="A129" s="422">
        <v>127</v>
      </c>
      <c r="B129" s="423">
        <v>10742.301632244285</v>
      </c>
    </row>
    <row r="130" spans="1:2" ht="15">
      <c r="A130" s="424">
        <v>128</v>
      </c>
      <c r="B130" s="425">
        <v>10848.197183047461</v>
      </c>
    </row>
    <row r="131" spans="1:2" ht="15">
      <c r="A131" s="426">
        <v>129</v>
      </c>
      <c r="B131" s="427">
        <v>10954.033655110563</v>
      </c>
    </row>
    <row r="132" spans="1:2" ht="15">
      <c r="A132" s="428">
        <v>130</v>
      </c>
      <c r="B132" s="429">
        <v>11059.803624146112</v>
      </c>
    </row>
    <row r="133" spans="1:2" ht="15">
      <c r="A133" s="430">
        <v>131</v>
      </c>
      <c r="B133" s="431">
        <v>11165.499651852413</v>
      </c>
    </row>
    <row r="134" spans="1:2" ht="15">
      <c r="A134" s="432">
        <v>132</v>
      </c>
      <c r="B134" s="433">
        <v>11271.11428430462</v>
      </c>
    </row>
    <row r="135" spans="1:2" ht="15">
      <c r="A135" s="434">
        <v>133</v>
      </c>
      <c r="B135" s="435">
        <v>11376.640050329153</v>
      </c>
    </row>
    <row r="136" spans="1:2" ht="15">
      <c r="A136" s="436">
        <v>134</v>
      </c>
      <c r="B136" s="437">
        <v>11482.069459859638</v>
      </c>
    </row>
    <row r="137" spans="1:2" ht="15">
      <c r="A137" s="438">
        <v>135</v>
      </c>
      <c r="B137" s="439">
        <v>11587.395002272477</v>
      </c>
    </row>
    <row r="138" spans="1:2" ht="15">
      <c r="A138" s="440">
        <v>136</v>
      </c>
      <c r="B138" s="441">
        <v>11692.609144700116</v>
      </c>
    </row>
    <row r="139" spans="1:2" ht="15">
      <c r="A139" s="442">
        <v>137</v>
      </c>
      <c r="B139" s="443">
        <v>11797.704330320115</v>
      </c>
    </row>
    <row r="140" spans="1:2" ht="15">
      <c r="A140" s="444">
        <v>138</v>
      </c>
      <c r="B140" s="445">
        <v>11902.672976617861</v>
      </c>
    </row>
    <row r="141" spans="1:2" ht="15">
      <c r="A141" s="446">
        <v>139</v>
      </c>
      <c r="B141" s="447">
        <v>12007.507473620895</v>
      </c>
    </row>
    <row r="142" spans="1:2" ht="15">
      <c r="A142" s="448">
        <v>140</v>
      </c>
      <c r="B142" s="449">
        <v>12112.20018210264</v>
      </c>
    </row>
    <row r="143" spans="1:2" ht="15">
      <c r="A143" s="450">
        <v>141</v>
      </c>
      <c r="B143" s="451">
        <v>12216.743431753266</v>
      </c>
    </row>
    <row r="144" spans="1:2" ht="15">
      <c r="A144" s="452">
        <v>142</v>
      </c>
      <c r="B144" s="453">
        <v>12321.129519315315</v>
      </c>
    </row>
    <row r="145" spans="1:2" ht="15">
      <c r="A145" s="454">
        <v>143</v>
      </c>
      <c r="B145" s="455">
        <v>12425.350706681695</v>
      </c>
    </row>
    <row r="146" spans="1:2" ht="15">
      <c r="A146" s="456">
        <v>144</v>
      </c>
      <c r="B146" s="457">
        <v>12529.39921895338</v>
      </c>
    </row>
    <row r="147" spans="1:2" ht="15">
      <c r="A147" s="458">
        <v>145</v>
      </c>
      <c r="B147" s="459">
        <v>12633.26724245429</v>
      </c>
    </row>
    <row r="148" spans="1:2" ht="15">
      <c r="A148" s="460">
        <v>146</v>
      </c>
      <c r="B148" s="461">
        <v>12736.946922700414</v>
      </c>
    </row>
    <row r="149" spans="1:2" ht="15">
      <c r="A149" s="462">
        <v>147</v>
      </c>
      <c r="B149" s="463">
        <v>12840.43036232036</v>
      </c>
    </row>
    <row r="150" spans="1:2" ht="15">
      <c r="A150" s="464">
        <v>148</v>
      </c>
      <c r="B150" s="465">
        <v>12943.70961892422</v>
      </c>
    </row>
    <row r="151" spans="1:2" ht="15">
      <c r="A151" s="466">
        <v>149</v>
      </c>
      <c r="B151" s="467">
        <v>13046.77670291755</v>
      </c>
    </row>
    <row r="152" spans="1:2" ht="15">
      <c r="A152" s="468">
        <v>150</v>
      </c>
      <c r="B152" s="469">
        <v>13149.623575257076</v>
      </c>
    </row>
    <row r="153" spans="1:2" ht="15">
      <c r="A153" s="470">
        <v>151</v>
      </c>
      <c r="B153" s="471">
        <v>13252.242145144573</v>
      </c>
    </row>
    <row r="154" spans="1:2" ht="15">
      <c r="A154" s="472">
        <v>152</v>
      </c>
      <c r="B154" s="473">
        <v>13354.62426765517</v>
      </c>
    </row>
    <row r="155" spans="1:2" ht="15">
      <c r="A155" s="474">
        <v>153</v>
      </c>
      <c r="B155" s="475">
        <v>13456.761741296103</v>
      </c>
    </row>
    <row r="156" spans="1:2" ht="15">
      <c r="A156" s="476">
        <v>154</v>
      </c>
      <c r="B156" s="477">
        <v>13558.64630549177</v>
      </c>
    </row>
    <row r="157" spans="1:2" ht="15">
      <c r="A157" s="478">
        <v>155</v>
      </c>
      <c r="B157" s="479">
        <v>13660.269637990623</v>
      </c>
    </row>
    <row r="158" spans="1:2" ht="15">
      <c r="A158" s="480">
        <v>156</v>
      </c>
      <c r="B158" s="481">
        <v>13761.62335218927</v>
      </c>
    </row>
    <row r="159" spans="1:2" ht="15">
      <c r="A159" s="482">
        <v>157</v>
      </c>
      <c r="B159" s="483">
        <v>13862.698994368768</v>
      </c>
    </row>
    <row r="160" spans="1:2" ht="15">
      <c r="A160" s="484">
        <v>158</v>
      </c>
      <c r="B160" s="485">
        <v>13963.48804083787</v>
      </c>
    </row>
    <row r="161" spans="1:2" ht="15">
      <c r="A161" s="486">
        <v>159</v>
      </c>
      <c r="B161" s="487">
        <v>14063.98189497763</v>
      </c>
    </row>
    <row r="162" spans="1:2" ht="15">
      <c r="A162" s="488">
        <v>160</v>
      </c>
      <c r="B162" s="489">
        <v>14164.171884181424</v>
      </c>
    </row>
    <row r="163" spans="1:2" ht="15">
      <c r="A163" s="490">
        <v>161</v>
      </c>
      <c r="B163" s="491">
        <v>14264.049256684</v>
      </c>
    </row>
    <row r="164" spans="1:2" ht="15">
      <c r="A164" s="492">
        <v>162</v>
      </c>
      <c r="B164" s="493">
        <v>14363.6051782729</v>
      </c>
    </row>
    <row r="165" spans="1:2" ht="15">
      <c r="A165" s="494">
        <v>163</v>
      </c>
      <c r="B165" s="495">
        <v>14462.830728874937</v>
      </c>
    </row>
    <row r="166" spans="1:2" ht="15">
      <c r="A166" s="496">
        <v>164</v>
      </c>
      <c r="B166" s="497">
        <v>14561.716899010125</v>
      </c>
    </row>
    <row r="167" spans="1:2" ht="15">
      <c r="A167" s="498">
        <v>165</v>
      </c>
      <c r="B167" s="499">
        <v>14660.254586104793</v>
      </c>
    </row>
    <row r="168" spans="1:2" ht="15">
      <c r="A168" s="500">
        <v>166</v>
      </c>
      <c r="B168" s="501">
        <v>14758.434590655046</v>
      </c>
    </row>
    <row r="169" spans="1:2" ht="15">
      <c r="A169" s="502">
        <v>167</v>
      </c>
      <c r="B169" s="503">
        <v>14856.247612231218</v>
      </c>
    </row>
    <row r="170" spans="1:2" ht="15">
      <c r="A170" s="504">
        <v>168</v>
      </c>
      <c r="B170" s="505">
        <v>14953.68424531309</v>
      </c>
    </row>
    <row r="171" spans="1:2" ht="15">
      <c r="A171" s="506">
        <v>169</v>
      </c>
      <c r="B171" s="507">
        <v>15050.734974945102</v>
      </c>
    </row>
    <row r="172" spans="1:2" ht="15">
      <c r="A172" s="508">
        <v>170</v>
      </c>
      <c r="B172" s="509">
        <v>15147.390172199779</v>
      </c>
    </row>
    <row r="173" spans="1:2" ht="15">
      <c r="A173" s="510">
        <v>171</v>
      </c>
      <c r="B173" s="511">
        <v>15243.64008943683</v>
      </c>
    </row>
    <row r="174" spans="1:2" ht="15">
      <c r="A174" s="512">
        <v>172</v>
      </c>
      <c r="B174" s="513">
        <v>15339.47485534437</v>
      </c>
    </row>
    <row r="175" spans="1:2" ht="15">
      <c r="A175" s="514">
        <v>173</v>
      </c>
      <c r="B175" s="515">
        <v>15434.884469747602</v>
      </c>
    </row>
    <row r="176" spans="1:2" ht="15">
      <c r="A176" s="516">
        <v>174</v>
      </c>
      <c r="B176" s="517">
        <v>15529.85879816919</v>
      </c>
    </row>
    <row r="177" spans="1:2" ht="15">
      <c r="A177" s="518">
        <v>175</v>
      </c>
      <c r="B177" s="519">
        <v>15624.387566124176</v>
      </c>
    </row>
    <row r="178" spans="1:2" ht="15">
      <c r="A178" s="520">
        <v>176</v>
      </c>
      <c r="B178" s="521">
        <v>15718.460353130993</v>
      </c>
    </row>
    <row r="179" spans="1:2" ht="15">
      <c r="A179" s="522">
        <v>177</v>
      </c>
      <c r="B179" s="523">
        <v>15812.066586418465</v>
      </c>
    </row>
    <row r="180" spans="1:2" ht="15">
      <c r="A180" s="524">
        <v>178</v>
      </c>
      <c r="B180" s="525">
        <v>15905.195534307033</v>
      </c>
    </row>
    <row r="181" spans="1:2" ht="15">
      <c r="A181" s="526">
        <v>179</v>
      </c>
      <c r="B181" s="527">
        <v>15997.836299240453</v>
      </c>
    </row>
    <row r="182" spans="1:2" ht="15">
      <c r="A182" s="528">
        <v>180</v>
      </c>
      <c r="B182" s="529">
        <v>16089.977810442297</v>
      </c>
    </row>
    <row r="183" spans="1:2" ht="15">
      <c r="A183" s="530">
        <v>181</v>
      </c>
      <c r="B183" s="531">
        <v>16181.608816168997</v>
      </c>
    </row>
    <row r="184" spans="1:2" ht="15">
      <c r="A184" s="532">
        <v>182</v>
      </c>
      <c r="B184" s="533">
        <v>16272.717875528902</v>
      </c>
    </row>
    <row r="185" spans="1:2" ht="15">
      <c r="A185" s="534">
        <v>183</v>
      </c>
      <c r="B185" s="535">
        <v>16363.29334983359</v>
      </c>
    </row>
    <row r="186" spans="1:2" ht="15">
      <c r="A186" s="536">
        <v>184</v>
      </c>
      <c r="B186" s="537">
        <v>16453.3233934449</v>
      </c>
    </row>
    <row r="187" spans="1:2" ht="15">
      <c r="A187" s="538">
        <v>185</v>
      </c>
      <c r="B187" s="539">
        <v>16542.7959440772</v>
      </c>
    </row>
    <row r="188" spans="1:2" ht="15">
      <c r="A188" s="540">
        <v>186</v>
      </c>
      <c r="B188" s="541">
        <v>16631.698712510664</v>
      </c>
    </row>
    <row r="189" spans="1:2" ht="15">
      <c r="A189" s="542">
        <v>187</v>
      </c>
      <c r="B189" s="543">
        <v>16720.0191716669</v>
      </c>
    </row>
    <row r="190" spans="1:2" ht="15">
      <c r="A190" s="544">
        <v>188</v>
      </c>
      <c r="B190" s="545">
        <v>16807.74454499302</v>
      </c>
    </row>
    <row r="191" spans="1:2" ht="15">
      <c r="A191" s="546">
        <v>189</v>
      </c>
      <c r="B191" s="547">
        <v>16894.861794094988</v>
      </c>
    </row>
    <row r="192" spans="1:2" ht="15">
      <c r="A192" s="548">
        <v>190</v>
      </c>
      <c r="B192" s="549">
        <v>16981.35760555449</v>
      </c>
    </row>
    <row r="193" spans="1:2" ht="15">
      <c r="A193" s="550">
        <v>191</v>
      </c>
      <c r="B193" s="551">
        <v>17067.21837685656</v>
      </c>
    </row>
    <row r="194" spans="1:2" ht="15">
      <c r="A194" s="552">
        <v>192</v>
      </c>
      <c r="B194" s="553">
        <v>17152.43020134706</v>
      </c>
    </row>
    <row r="195" spans="1:2" ht="15">
      <c r="A195" s="554">
        <v>193</v>
      </c>
      <c r="B195" s="555">
        <v>17236.97885213004</v>
      </c>
    </row>
    <row r="196" spans="1:2" ht="15">
      <c r="A196" s="556">
        <v>194</v>
      </c>
      <c r="B196" s="557">
        <v>17320.84976480451</v>
      </c>
    </row>
    <row r="197" spans="1:2" ht="15">
      <c r="A197" s="558">
        <v>195</v>
      </c>
      <c r="B197" s="559">
        <v>17404.028018928297</v>
      </c>
    </row>
    <row r="198" spans="1:2" ht="15">
      <c r="A198" s="560">
        <v>196</v>
      </c>
      <c r="B198" s="561">
        <v>17486.49831808316</v>
      </c>
    </row>
    <row r="199" spans="1:2" ht="15">
      <c r="A199" s="562">
        <v>197</v>
      </c>
      <c r="B199" s="563">
        <v>17568.24496839967</v>
      </c>
    </row>
    <row r="200" spans="1:2" ht="15">
      <c r="A200" s="564">
        <v>198</v>
      </c>
      <c r="B200" s="565">
        <v>17649.25185538259</v>
      </c>
    </row>
    <row r="201" spans="1:2" ht="15">
      <c r="A201" s="566">
        <v>199</v>
      </c>
      <c r="B201" s="567">
        <v>17729.50241885673</v>
      </c>
    </row>
    <row r="202" spans="1:2" ht="15">
      <c r="A202" s="568">
        <v>200</v>
      </c>
      <c r="B202" s="569">
        <v>17808.97962582952</v>
      </c>
    </row>
    <row r="203" spans="1:2" ht="15">
      <c r="A203" s="570">
        <v>201</v>
      </c>
      <c r="B203" s="571">
        <v>17887.665941038715</v>
      </c>
    </row>
    <row r="204" spans="1:2" ht="15">
      <c r="A204" s="572">
        <v>202</v>
      </c>
      <c r="B204" s="573">
        <v>17965.543294921397</v>
      </c>
    </row>
    <row r="205" spans="1:2" ht="15">
      <c r="A205" s="574">
        <v>203</v>
      </c>
      <c r="B205" s="575">
        <v>18042.59304870267</v>
      </c>
    </row>
    <row r="206" spans="1:2" ht="15">
      <c r="A206" s="576">
        <v>204</v>
      </c>
      <c r="B206" s="577">
        <v>18118.79595625813</v>
      </c>
    </row>
    <row r="207" spans="1:2" ht="15">
      <c r="A207" s="578">
        <v>205</v>
      </c>
      <c r="B207" s="579">
        <v>18194.132122351777</v>
      </c>
    </row>
    <row r="208" spans="1:2" ht="15">
      <c r="A208" s="580">
        <v>206</v>
      </c>
      <c r="B208" s="581">
        <v>18268.580956789454</v>
      </c>
    </row>
    <row r="209" spans="1:2" ht="15">
      <c r="A209" s="582">
        <v>207</v>
      </c>
      <c r="B209" s="583">
        <v>18342.121123953857</v>
      </c>
    </row>
    <row r="210" spans="1:2" ht="15">
      <c r="A210" s="584">
        <v>208</v>
      </c>
      <c r="B210" s="585">
        <v>18414.73048709957</v>
      </c>
    </row>
    <row r="211" spans="1:2" ht="15">
      <c r="A211" s="586">
        <v>209</v>
      </c>
      <c r="B211" s="587">
        <v>18486.386046680702</v>
      </c>
    </row>
    <row r="212" spans="1:2" ht="15">
      <c r="A212" s="588">
        <v>210</v>
      </c>
      <c r="B212" s="589">
        <v>18557.063871856124</v>
      </c>
    </row>
    <row r="213" spans="1:2" ht="15">
      <c r="A213" s="590">
        <v>211</v>
      </c>
      <c r="B213" s="591">
        <v>18626.73902416232</v>
      </c>
    </row>
    <row r="214" spans="1:2" ht="15">
      <c r="A214" s="592">
        <v>212</v>
      </c>
      <c r="B214" s="593">
        <v>18695.385472154478</v>
      </c>
    </row>
    <row r="215" spans="1:2" ht="15">
      <c r="A215" s="594">
        <v>213</v>
      </c>
      <c r="B215" s="595">
        <v>18762.975995583514</v>
      </c>
    </row>
    <row r="216" spans="1:2" ht="15">
      <c r="A216" s="596">
        <v>214</v>
      </c>
      <c r="B216" s="597">
        <v>18829.48207738821</v>
      </c>
    </row>
    <row r="217" spans="1:2" ht="15">
      <c r="A217" s="598">
        <v>215</v>
      </c>
      <c r="B217" s="599">
        <v>18894.87378142206</v>
      </c>
    </row>
    <row r="218" spans="1:2" ht="15">
      <c r="A218" s="600">
        <v>216</v>
      </c>
      <c r="B218" s="601">
        <v>18959.119613381717</v>
      </c>
    </row>
    <row r="219" spans="1:2" ht="15">
      <c r="A219" s="602">
        <v>217</v>
      </c>
      <c r="B219" s="603">
        <v>19022.186361830616</v>
      </c>
    </row>
    <row r="220" spans="1:2" ht="15">
      <c r="A220" s="604">
        <v>218</v>
      </c>
      <c r="B220" s="605">
        <v>19084.0389154771</v>
      </c>
    </row>
    <row r="221" spans="1:2" ht="15">
      <c r="A221" s="606">
        <v>219</v>
      </c>
      <c r="B221" s="607">
        <v>19144.6400519182</v>
      </c>
    </row>
    <row r="222" spans="1:2" ht="15">
      <c r="A222" s="608">
        <v>220</v>
      </c>
      <c r="B222" s="609">
        <v>19203.950191820935</v>
      </c>
    </row>
    <row r="223" spans="1:2" ht="15">
      <c r="A223" s="610">
        <v>221</v>
      </c>
      <c r="B223" s="611">
        <v>19261.92711087666</v>
      </c>
    </row>
    <row r="224" spans="1:2" ht="15">
      <c r="A224" s="612">
        <v>222</v>
      </c>
      <c r="B224" s="613">
        <v>19318.525599673067</v>
      </c>
    </row>
    <row r="225" spans="1:2" ht="15">
      <c r="A225" s="614">
        <v>223</v>
      </c>
      <c r="B225" s="615">
        <v>19373.69705865675</v>
      </c>
    </row>
    <row r="226" spans="1:2" ht="15">
      <c r="A226" s="616">
        <v>224</v>
      </c>
      <c r="B226" s="617">
        <v>19427.389011264335</v>
      </c>
    </row>
    <row r="227" spans="1:2" ht="15">
      <c r="A227" s="618">
        <v>225</v>
      </c>
      <c r="B227" s="619">
        <v>19479.544512562414</v>
      </c>
    </row>
    <row r="228" spans="1:2" ht="15">
      <c r="A228" s="620">
        <v>226</v>
      </c>
      <c r="B228" s="621">
        <v>19530.10142254438</v>
      </c>
    </row>
    <row r="229" spans="1:2" ht="15">
      <c r="A229" s="622">
        <v>227</v>
      </c>
      <c r="B229" s="623">
        <v>19578.991501285178</v>
      </c>
    </row>
    <row r="230" spans="1:2" ht="15">
      <c r="A230" s="624">
        <v>228</v>
      </c>
      <c r="B230" s="625">
        <v>19626.139265315014</v>
      </c>
    </row>
    <row r="231" spans="1:2" ht="15">
      <c r="A231" s="626">
        <v>229</v>
      </c>
      <c r="B231" s="627">
        <v>19671.460517201496</v>
      </c>
    </row>
    <row r="232" spans="1:2" ht="15">
      <c r="A232" s="628">
        <v>230</v>
      </c>
      <c r="B232" s="629">
        <v>19714.86041701172</v>
      </c>
    </row>
    <row r="233" spans="1:2" ht="15">
      <c r="A233" s="630">
        <v>231</v>
      </c>
      <c r="B233" s="631">
        <v>19756.23089325474</v>
      </c>
    </row>
    <row r="234" spans="1:2" ht="15">
      <c r="A234" s="632">
        <v>232</v>
      </c>
      <c r="B234" s="633">
        <v>19795.447069254453</v>
      </c>
    </row>
    <row r="235" spans="1:2" ht="15">
      <c r="A235" s="634">
        <v>233</v>
      </c>
      <c r="B235" s="635">
        <v>19832.36216186065</v>
      </c>
    </row>
    <row r="236" spans="1:2" ht="15">
      <c r="A236" s="636">
        <v>234</v>
      </c>
      <c r="B236" s="637">
        <v>19866.799889898586</v>
      </c>
    </row>
    <row r="237" spans="1:2" ht="15">
      <c r="A237" s="638">
        <v>235</v>
      </c>
      <c r="B237" s="639">
        <v>19898.54256192066</v>
      </c>
    </row>
    <row r="238" spans="1:2" ht="15">
      <c r="A238" s="640">
        <v>236</v>
      </c>
      <c r="B238" s="641">
        <v>19927.311029429133</v>
      </c>
    </row>
    <row r="239" spans="1:2" ht="15">
      <c r="A239" s="642">
        <v>237</v>
      </c>
      <c r="B239" s="643">
        <v>19952.72750354018</v>
      </c>
    </row>
    <row r="240" spans="1:2" ht="15">
      <c r="A240" s="644">
        <v>238</v>
      </c>
      <c r="B240" s="645">
        <v>19974.235705117084</v>
      </c>
    </row>
    <row r="241" spans="1:2" ht="15">
      <c r="A241" s="646">
        <v>239</v>
      </c>
      <c r="B241" s="647">
        <v>19990.87950571433</v>
      </c>
    </row>
    <row r="242" spans="1:2" ht="15">
      <c r="A242" s="648">
        <v>240</v>
      </c>
      <c r="B242" s="649">
        <v>20000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Data>
    <row r="1">
      <c r="A1" t="s">
        <v>46</v>
      </c>
      <c r="B1" t="s">
        <v>96</v>
      </c>
      <c r="C1" t="s">
        <v>42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/>
    </row>
    <row r="2">
      <c r="A2" t="s">
        <v>48</v>
      </c>
      <c r="B2" t="s">
        <v>103</v>
      </c>
      <c r="C2" t="s">
        <v>49</v>
      </c>
      <c r="D2" t="s">
        <v>104</v>
      </c>
      <c r="E2" t="s">
        <v>50</v>
      </c>
      <c r="F2"/>
      <c r="G2"/>
      <c r="H2" t="s">
        <v>51</v>
      </c>
      <c r="I2" t="s">
        <v>105</v>
      </c>
      <c r="J2"/>
    </row>
    <row r="3">
      <c r="A3" t="s">
        <v>51</v>
      </c>
      <c r="B3" t="s">
        <v>106</v>
      </c>
      <c r="C3" t="s">
        <v>52</v>
      </c>
      <c r="D3" t="s">
        <v>107</v>
      </c>
      <c r="E3" t="s">
        <v>53</v>
      </c>
      <c r="F3" t="s">
        <v>48</v>
      </c>
      <c r="G3" t="s">
        <v>108</v>
      </c>
      <c r="H3" t="s">
        <v>48</v>
      </c>
      <c r="I3" t="s">
        <v>109</v>
      </c>
      <c r="J3"/>
    </row>
    <row r="4">
      <c r="A4" t="s">
        <v>54</v>
      </c>
      <c r="B4" t="s">
        <v>110</v>
      </c>
      <c r="C4" t="s">
        <v>55</v>
      </c>
      <c r="D4" t="s">
        <v>111</v>
      </c>
      <c r="E4" t="s">
        <v>56</v>
      </c>
      <c r="F4"/>
      <c r="G4"/>
      <c r="H4" t="s">
        <v>57</v>
      </c>
      <c r="I4" t="s">
        <v>112</v>
      </c>
      <c r="J4"/>
    </row>
    <row r="5">
      <c r="A5" t="s">
        <v>57</v>
      </c>
      <c r="B5" t="s">
        <v>113</v>
      </c>
      <c r="C5" t="s">
        <v>58</v>
      </c>
      <c r="D5" t="s">
        <v>114</v>
      </c>
      <c r="E5" t="s">
        <v>59</v>
      </c>
      <c r="F5" t="s">
        <v>51</v>
      </c>
      <c r="G5" t="s">
        <v>115</v>
      </c>
      <c r="H5" t="s">
        <v>60</v>
      </c>
      <c r="I5" t="s">
        <v>116</v>
      </c>
      <c r="J5"/>
    </row>
    <row r="6">
      <c r="A6" t="s">
        <v>60</v>
      </c>
      <c r="B6" t="s">
        <v>117</v>
      </c>
      <c r="C6" t="s">
        <v>61</v>
      </c>
      <c r="D6" t="s">
        <v>118</v>
      </c>
      <c r="E6" t="s">
        <v>62</v>
      </c>
      <c r="F6"/>
      <c r="G6"/>
      <c r="H6" t="s">
        <v>55</v>
      </c>
      <c r="I6" t="s">
        <v>119</v>
      </c>
      <c r="J6"/>
    </row>
    <row r="7">
      <c r="A7" t="s">
        <v>55</v>
      </c>
      <c r="B7"/>
      <c r="C7" t="s">
        <v>63</v>
      </c>
      <c r="D7" t="s">
        <v>120</v>
      </c>
      <c r="E7" t="s">
        <v>64</v>
      </c>
      <c r="F7" t="s">
        <v>51</v>
      </c>
      <c r="G7" t="s">
        <v>121</v>
      </c>
      <c r="H7" t="s">
        <v>68</v>
      </c>
      <c r="I7" t="s">
        <v>122</v>
      </c>
      <c r="J7"/>
    </row>
    <row r="8">
      <c r="A8" t="s">
        <v>65</v>
      </c>
      <c r="B8"/>
      <c r="C8" t="s">
        <v>66</v>
      </c>
      <c r="D8" t="s">
        <v>123</v>
      </c>
      <c r="E8" t="s">
        <v>67</v>
      </c>
      <c r="F8" t="s">
        <v>48</v>
      </c>
      <c r="G8" t="s">
        <v>124</v>
      </c>
      <c r="H8"/>
      <c r="I8"/>
      <c r="J8"/>
    </row>
    <row r="9">
      <c r="A9" t="s">
        <v>68</v>
      </c>
      <c r="B9"/>
      <c r="C9" t="s">
        <v>69</v>
      </c>
      <c r="D9" t="s">
        <v>125</v>
      </c>
      <c r="E9" t="s">
        <v>70</v>
      </c>
      <c r="F9"/>
      <c r="G9"/>
      <c r="H9"/>
      <c r="I9"/>
      <c r="J9"/>
    </row>
    <row r="10">
      <c r="A10" t="s">
        <v>71</v>
      </c>
      <c r="B10"/>
      <c r="C10"/>
      <c r="D10" t="s">
        <v>126</v>
      </c>
      <c r="E10" t="s">
        <v>72</v>
      </c>
      <c r="F10"/>
      <c r="G10"/>
      <c r="H10"/>
      <c r="I10"/>
      <c r="J10"/>
    </row>
    <row r="11">
      <c r="A11"/>
      <c r="B11"/>
      <c r="C11"/>
      <c r="D11" t="s">
        <v>125</v>
      </c>
      <c r="E11" t="s">
        <v>73</v>
      </c>
      <c r="F11" t="s">
        <v>51</v>
      </c>
      <c r="G11" t="s">
        <v>127</v>
      </c>
      <c r="H11"/>
      <c r="I11"/>
      <c r="J11"/>
    </row>
    <row r="12">
      <c r="A12"/>
      <c r="B12"/>
      <c r="C12"/>
      <c r="D12" t="s">
        <v>128</v>
      </c>
      <c r="E12" t="s">
        <v>74</v>
      </c>
      <c r="F12" t="s">
        <v>48</v>
      </c>
      <c r="G12" t="s">
        <v>129</v>
      </c>
      <c r="H12"/>
      <c r="I12"/>
      <c r="J12"/>
    </row>
    <row r="13">
      <c r="A13"/>
      <c r="B13"/>
      <c r="C13"/>
      <c r="D13" t="s">
        <v>130</v>
      </c>
      <c r="E13" t="s">
        <v>75</v>
      </c>
      <c r="F13" t="s">
        <v>48</v>
      </c>
      <c r="G13" t="s">
        <v>131</v>
      </c>
      <c r="H13"/>
      <c r="I13"/>
      <c r="J13"/>
    </row>
    <row r="14">
      <c r="A14"/>
      <c r="B14"/>
      <c r="C14"/>
      <c r="D14" t="s">
        <v>132</v>
      </c>
      <c r="E14" t="s">
        <v>76</v>
      </c>
      <c r="F14"/>
      <c r="G14"/>
      <c r="H14"/>
      <c r="I14"/>
      <c r="J14"/>
    </row>
    <row r="15">
      <c r="A15"/>
      <c r="B15"/>
      <c r="C15"/>
      <c r="D15" t="s">
        <v>133</v>
      </c>
      <c r="E15" t="s">
        <v>77</v>
      </c>
      <c r="F15" t="s">
        <v>51</v>
      </c>
      <c r="G15" t="s">
        <v>134</v>
      </c>
      <c r="H15"/>
      <c r="I15"/>
      <c r="J15"/>
    </row>
    <row r="16">
      <c r="A16"/>
      <c r="B16"/>
      <c r="C16"/>
      <c r="D16" t="s">
        <v>135</v>
      </c>
      <c r="E16" t="s">
        <v>78</v>
      </c>
      <c r="F16" t="s">
        <v>51</v>
      </c>
      <c r="G16" t="s">
        <v>136</v>
      </c>
      <c r="H16"/>
      <c r="I16"/>
      <c r="J16"/>
    </row>
    <row r="17">
      <c r="A17"/>
      <c r="B17"/>
      <c r="C17"/>
      <c r="D17" t="s">
        <v>137</v>
      </c>
      <c r="E17" t="s">
        <v>79</v>
      </c>
      <c r="F17" t="s">
        <v>48</v>
      </c>
      <c r="G17" t="s">
        <v>138</v>
      </c>
      <c r="H17"/>
      <c r="I17"/>
      <c r="J17"/>
    </row>
    <row r="18">
      <c r="A18"/>
      <c r="B18"/>
      <c r="C18"/>
      <c r="D18" t="s">
        <v>139</v>
      </c>
      <c r="E18" t="s">
        <v>80</v>
      </c>
      <c r="F18" t="s">
        <v>51</v>
      </c>
      <c r="G18" t="s">
        <v>140</v>
      </c>
      <c r="H18"/>
      <c r="I18"/>
      <c r="J18"/>
    </row>
    <row r="19">
      <c r="A19"/>
      <c r="B19"/>
      <c r="C19"/>
      <c r="D19" t="s">
        <v>139</v>
      </c>
      <c r="E19" t="s">
        <v>81</v>
      </c>
      <c r="F19"/>
      <c r="G19"/>
      <c r="H19"/>
      <c r="I19"/>
      <c r="J19"/>
    </row>
    <row r="20">
      <c r="A20"/>
      <c r="B20"/>
      <c r="C20"/>
      <c r="D20" t="s">
        <v>141</v>
      </c>
      <c r="E20" t="s">
        <v>82</v>
      </c>
      <c r="F20"/>
      <c r="G20"/>
      <c r="H20"/>
      <c r="I20"/>
      <c r="J20"/>
    </row>
    <row r="21">
      <c r="A21"/>
      <c r="B21"/>
      <c r="C21"/>
      <c r="D21" t="s">
        <v>142</v>
      </c>
      <c r="E21" t="s">
        <v>83</v>
      </c>
      <c r="F21"/>
      <c r="G21"/>
      <c r="H21"/>
      <c r="I21"/>
      <c r="J21"/>
    </row>
    <row r="22">
      <c r="A22"/>
      <c r="B22"/>
      <c r="C22"/>
      <c r="D22" t="s">
        <v>143</v>
      </c>
      <c r="E22" t="s">
        <v>84</v>
      </c>
      <c r="F22" t="s">
        <v>48</v>
      </c>
      <c r="G22" t="s">
        <v>144</v>
      </c>
      <c r="H22"/>
      <c r="I22"/>
      <c r="J22"/>
    </row>
    <row r="23">
      <c r="A23"/>
      <c r="B23"/>
      <c r="C23"/>
      <c r="D23" t="s">
        <v>142</v>
      </c>
      <c r="E23" t="s">
        <v>85</v>
      </c>
      <c r="F23"/>
      <c r="G23"/>
      <c r="H23"/>
      <c r="I23"/>
      <c r="J23"/>
    </row>
    <row r="24">
      <c r="A24"/>
      <c r="B24"/>
      <c r="C24"/>
      <c r="D24" t="s">
        <v>145</v>
      </c>
      <c r="E24" t="s">
        <v>86</v>
      </c>
      <c r="F24"/>
      <c r="G24"/>
      <c r="H24"/>
      <c r="I24"/>
      <c r="J24"/>
    </row>
    <row r="25">
      <c r="A25"/>
      <c r="B25"/>
      <c r="C25"/>
      <c r="D25" t="s">
        <v>146</v>
      </c>
      <c r="E25" t="s">
        <v>87</v>
      </c>
      <c r="F25"/>
      <c r="G25"/>
      <c r="H25"/>
      <c r="I25"/>
      <c r="J25"/>
    </row>
    <row r="26">
      <c r="A26"/>
      <c r="B26"/>
      <c r="C26"/>
      <c r="D26" t="s">
        <v>147</v>
      </c>
      <c r="E26" t="s">
        <v>88</v>
      </c>
      <c r="F26"/>
      <c r="G26"/>
      <c r="H26"/>
      <c r="I26"/>
      <c r="J26"/>
    </row>
    <row r="27">
      <c r="A27"/>
      <c r="B27"/>
      <c r="C27"/>
      <c r="D27" t="s">
        <v>148</v>
      </c>
      <c r="E27" t="s">
        <v>89</v>
      </c>
      <c r="F27" t="s">
        <v>51</v>
      </c>
      <c r="G27" t="s">
        <v>149</v>
      </c>
      <c r="H27"/>
      <c r="I27"/>
      <c r="J27"/>
    </row>
    <row r="28">
      <c r="A28"/>
      <c r="B28"/>
      <c r="C28"/>
      <c r="D28" t="s">
        <v>150</v>
      </c>
      <c r="E28" t="s">
        <v>90</v>
      </c>
      <c r="F28"/>
      <c r="G28"/>
      <c r="H28"/>
      <c r="I28"/>
      <c r="J28"/>
    </row>
    <row r="29">
      <c r="A29"/>
      <c r="B29"/>
      <c r="C29"/>
      <c r="D29" t="s">
        <v>151</v>
      </c>
      <c r="E29" t="s">
        <v>91</v>
      </c>
      <c r="F29" t="s">
        <v>51</v>
      </c>
      <c r="G29" t="s">
        <v>152</v>
      </c>
      <c r="H29"/>
      <c r="I29"/>
      <c r="J29"/>
    </row>
    <row r="30">
      <c r="A30"/>
      <c r="B30"/>
      <c r="C30"/>
      <c r="D30" t="s">
        <v>153</v>
      </c>
      <c r="E30" t="s">
        <v>92</v>
      </c>
      <c r="F30"/>
      <c r="G30"/>
      <c r="H30"/>
      <c r="I30"/>
      <c r="J30"/>
    </row>
    <row r="31">
      <c r="A31"/>
      <c r="B31"/>
      <c r="C31"/>
      <c r="D31" t="s">
        <v>154</v>
      </c>
      <c r="E31" t="s">
        <v>93</v>
      </c>
      <c r="F31"/>
      <c r="G31"/>
      <c r="H31"/>
      <c r="I31"/>
      <c r="J31"/>
    </row>
    <row r="32">
      <c r="A32"/>
      <c r="B32"/>
      <c r="C32"/>
      <c r="D32" t="s">
        <v>155</v>
      </c>
      <c r="E32" t="s">
        <v>94</v>
      </c>
      <c r="F32" t="s">
        <v>48</v>
      </c>
      <c r="G32" t="s">
        <v>156</v>
      </c>
      <c r="H32"/>
      <c r="I32"/>
      <c r="J32"/>
    </row>
    <row r="33">
      <c r="A33"/>
      <c r="B33"/>
      <c r="C33"/>
      <c r="D33" t="s">
        <v>157</v>
      </c>
      <c r="E33" t="s">
        <v>95</v>
      </c>
      <c r="F33" t="s">
        <v>48</v>
      </c>
      <c r="G33" t="s">
        <v>158</v>
      </c>
      <c r="H33"/>
      <c r="I33"/>
      <c r="J33"/>
    </row>
    <row r="34">
      <c r="A34"/>
      <c r="B34"/>
      <c r="C34"/>
      <c r="D34"/>
      <c r="E34"/>
      <c r="F34"/>
      <c r="G34"/>
      <c r="H34"/>
      <c r="I34"/>
      <c r="J34"/>
    </row>
    <row r="35">
      <c r="A35"/>
      <c r="B35"/>
      <c r="C35"/>
      <c r="D35"/>
      <c r="E35"/>
      <c r="F35"/>
      <c r="G35"/>
      <c r="H35"/>
      <c r="I35"/>
      <c r="J35"/>
    </row>
    <row r="36">
      <c r="A36"/>
      <c r="B36"/>
      <c r="C36"/>
      <c r="D36"/>
      <c r="E36"/>
      <c r="F36"/>
      <c r="G36"/>
      <c r="H36"/>
      <c r="I36"/>
      <c r="J36"/>
    </row>
    <row r="37">
      <c r="A37"/>
      <c r="B37"/>
      <c r="C37"/>
      <c r="D37"/>
      <c r="E37"/>
      <c r="F37"/>
      <c r="G37"/>
      <c r="H37"/>
      <c r="I37"/>
      <c r="J37"/>
    </row>
    <row r="38">
      <c r="A38"/>
      <c r="B38"/>
      <c r="C38"/>
      <c r="D38"/>
      <c r="E38"/>
      <c r="F38"/>
      <c r="G38"/>
      <c r="H38"/>
      <c r="I38"/>
      <c r="J38"/>
    </row>
    <row r="39">
      <c r="A39"/>
      <c r="B39"/>
      <c r="C39"/>
      <c r="D39"/>
      <c r="E39"/>
      <c r="F39"/>
      <c r="G39"/>
      <c r="H39"/>
      <c r="I39"/>
      <c r="J39"/>
    </row>
    <row r="40">
      <c r="A40"/>
      <c r="B40"/>
      <c r="C40"/>
      <c r="D40"/>
      <c r="E40"/>
      <c r="F40"/>
      <c r="G40"/>
      <c r="H40"/>
      <c r="I40"/>
      <c r="J40"/>
    </row>
    <row r="41">
      <c r="A41"/>
      <c r="B41"/>
      <c r="C41"/>
      <c r="D41"/>
      <c r="E41"/>
      <c r="F41"/>
      <c r="G41"/>
      <c r="H41"/>
      <c r="I41"/>
      <c r="J41"/>
    </row>
    <row r="42">
      <c r="A42"/>
      <c r="B42"/>
      <c r="C42"/>
      <c r="D42"/>
      <c r="E42"/>
      <c r="F42"/>
      <c r="G42"/>
      <c r="H42"/>
      <c r="I42"/>
      <c r="J42"/>
    </row>
    <row r="43">
      <c r="A43"/>
      <c r="B43"/>
      <c r="C43"/>
      <c r="D43"/>
      <c r="E43"/>
      <c r="F43"/>
      <c r="G43"/>
      <c r="H43"/>
      <c r="I43"/>
      <c r="J43"/>
    </row>
    <row r="44">
      <c r="A44"/>
      <c r="B44"/>
      <c r="C44"/>
      <c r="D44"/>
      <c r="E44"/>
      <c r="F44"/>
      <c r="G44"/>
      <c r="H44"/>
      <c r="I44"/>
      <c r="J44"/>
    </row>
    <row r="45">
      <c r="A45"/>
      <c r="B45"/>
      <c r="C45"/>
      <c r="D45"/>
      <c r="E45"/>
      <c r="F45"/>
      <c r="G45"/>
      <c r="H45"/>
      <c r="I45"/>
      <c r="J45"/>
    </row>
    <row r="46">
      <c r="A46"/>
      <c r="B46"/>
      <c r="C46"/>
      <c r="D46"/>
      <c r="E46"/>
      <c r="F46"/>
      <c r="G46"/>
      <c r="H46"/>
      <c r="I46"/>
      <c r="J46"/>
    </row>
    <row r="47">
      <c r="A47"/>
      <c r="B47"/>
      <c r="C47"/>
      <c r="D47"/>
      <c r="E47"/>
      <c r="F47"/>
      <c r="G47"/>
      <c r="H47"/>
      <c r="I47"/>
      <c r="J47"/>
    </row>
    <row r="48">
      <c r="A48"/>
      <c r="B48"/>
      <c r="C48"/>
      <c r="D48"/>
      <c r="E48"/>
      <c r="F48"/>
      <c r="G48"/>
      <c r="H48"/>
      <c r="I48"/>
      <c r="J48"/>
    </row>
    <row r="49">
      <c r="A49"/>
      <c r="B49"/>
      <c r="C49"/>
      <c r="D49"/>
      <c r="E49"/>
      <c r="F49"/>
      <c r="G49"/>
      <c r="H49"/>
      <c r="I49"/>
      <c r="J49"/>
    </row>
    <row r="50">
      <c r="A50"/>
      <c r="B50"/>
      <c r="C50"/>
      <c r="D50"/>
      <c r="E50"/>
      <c r="F50"/>
      <c r="G50"/>
      <c r="H50"/>
      <c r="I50"/>
      <c r="J50"/>
    </row>
    <row r="51">
      <c r="A51"/>
      <c r="B51"/>
      <c r="C51"/>
      <c r="D51"/>
      <c r="E51"/>
      <c r="F51"/>
      <c r="G51"/>
      <c r="H51"/>
      <c r="I51"/>
      <c r="J51"/>
    </row>
    <row r="52">
      <c r="A52"/>
      <c r="B52"/>
      <c r="C52"/>
      <c r="D52"/>
      <c r="E52"/>
      <c r="F52"/>
      <c r="G52"/>
      <c r="H52"/>
      <c r="I52"/>
      <c r="J52"/>
    </row>
    <row r="53">
      <c r="A53"/>
      <c r="B53"/>
      <c r="C53"/>
      <c r="D53"/>
      <c r="E53"/>
      <c r="F53"/>
      <c r="G53"/>
      <c r="H53"/>
      <c r="I53"/>
      <c r="J53"/>
    </row>
    <row r="54">
      <c r="A54"/>
      <c r="B54"/>
      <c r="C54"/>
      <c r="D54"/>
      <c r="E54"/>
      <c r="F54"/>
      <c r="G54"/>
      <c r="H54"/>
      <c r="I54"/>
      <c r="J54"/>
    </row>
    <row r="55">
      <c r="A55"/>
      <c r="B55"/>
      <c r="C55"/>
      <c r="D55"/>
      <c r="E55"/>
      <c r="F55"/>
      <c r="G55"/>
      <c r="H55"/>
      <c r="I55"/>
      <c r="J55"/>
    </row>
    <row r="56">
      <c r="A56"/>
      <c r="B56"/>
      <c r="C56"/>
      <c r="D56"/>
      <c r="E56"/>
      <c r="F56"/>
      <c r="G56"/>
      <c r="H56"/>
      <c r="I56"/>
      <c r="J56"/>
    </row>
    <row r="57">
      <c r="A57"/>
      <c r="B57"/>
      <c r="C57"/>
      <c r="D57"/>
      <c r="E57"/>
      <c r="F57"/>
      <c r="G57"/>
      <c r="H57"/>
      <c r="I57"/>
      <c r="J57"/>
    </row>
    <row r="58">
      <c r="A58"/>
      <c r="B58"/>
      <c r="C58"/>
      <c r="D58"/>
      <c r="E58"/>
      <c r="F58"/>
      <c r="G58"/>
      <c r="H58"/>
      <c r="I58"/>
      <c r="J58"/>
    </row>
    <row r="59">
      <c r="A59"/>
      <c r="B59"/>
      <c r="C59"/>
      <c r="D59"/>
      <c r="E59"/>
      <c r="F59"/>
      <c r="G59"/>
      <c r="H59"/>
      <c r="I59"/>
      <c r="J59"/>
    </row>
    <row r="60">
      <c r="A60"/>
      <c r="B60"/>
      <c r="C60"/>
      <c r="D60"/>
      <c r="E60"/>
      <c r="F60"/>
      <c r="G60"/>
      <c r="H60"/>
      <c r="I60"/>
      <c r="J60"/>
    </row>
    <row r="61">
      <c r="A61"/>
      <c r="B61"/>
      <c r="C61"/>
      <c r="D61"/>
      <c r="E61"/>
      <c r="F61"/>
      <c r="G61"/>
      <c r="H61"/>
      <c r="I61"/>
      <c r="J61"/>
    </row>
    <row r="62">
      <c r="A62"/>
      <c r="B62"/>
      <c r="C62"/>
      <c r="D62"/>
      <c r="E62"/>
      <c r="F62"/>
      <c r="G62"/>
      <c r="H62"/>
      <c r="I62"/>
      <c r="J62"/>
    </row>
    <row r="63">
      <c r="A63"/>
      <c r="B63"/>
      <c r="C63"/>
      <c r="D63"/>
      <c r="E63"/>
      <c r="F63"/>
      <c r="G63"/>
      <c r="H63"/>
      <c r="I63"/>
      <c r="J63"/>
    </row>
    <row r="64">
      <c r="A64"/>
      <c r="B64"/>
      <c r="C64"/>
      <c r="D64"/>
      <c r="E64"/>
      <c r="F64"/>
      <c r="G64"/>
      <c r="H64"/>
      <c r="I64"/>
      <c r="J64"/>
    </row>
    <row r="65">
      <c r="A65"/>
      <c r="B65"/>
      <c r="C65"/>
      <c r="D65"/>
      <c r="E65"/>
      <c r="F65"/>
      <c r="G65"/>
      <c r="H65"/>
      <c r="I65"/>
      <c r="J65"/>
    </row>
    <row r="66">
      <c r="A66"/>
      <c r="B66"/>
      <c r="C66"/>
      <c r="D66"/>
      <c r="E66"/>
      <c r="F66"/>
      <c r="G66"/>
      <c r="H66"/>
      <c r="I66"/>
      <c r="J66"/>
    </row>
    <row r="67">
      <c r="A67"/>
      <c r="B67"/>
      <c r="C67"/>
      <c r="D67"/>
      <c r="E67"/>
      <c r="F67"/>
      <c r="G67"/>
      <c r="H67"/>
      <c r="I67"/>
      <c r="J67"/>
    </row>
    <row r="68">
      <c r="A68"/>
      <c r="B68"/>
      <c r="C68"/>
      <c r="D68"/>
      <c r="E68"/>
      <c r="F68"/>
      <c r="G68"/>
      <c r="H68"/>
      <c r="I68"/>
      <c r="J68"/>
    </row>
    <row r="69">
      <c r="A69"/>
      <c r="B69"/>
      <c r="C69"/>
      <c r="D69"/>
      <c r="E69"/>
      <c r="F69"/>
      <c r="G69"/>
      <c r="H69"/>
      <c r="I69"/>
      <c r="J69"/>
    </row>
    <row r="70">
      <c r="A70"/>
      <c r="B70"/>
      <c r="C70"/>
      <c r="D70"/>
      <c r="E70"/>
      <c r="F70"/>
      <c r="G70"/>
      <c r="H70"/>
      <c r="I70"/>
      <c r="J70"/>
    </row>
    <row r="71">
      <c r="A71"/>
      <c r="B71"/>
      <c r="C71"/>
      <c r="D71"/>
      <c r="E71"/>
      <c r="F71"/>
      <c r="G71"/>
      <c r="H71"/>
      <c r="I71"/>
      <c r="J71"/>
    </row>
    <row r="72">
      <c r="A72"/>
      <c r="B72"/>
      <c r="C72"/>
      <c r="D72"/>
      <c r="E72"/>
      <c r="F72"/>
      <c r="G72"/>
      <c r="H72"/>
      <c r="I72"/>
      <c r="J72"/>
    </row>
    <row r="73">
      <c r="A73"/>
      <c r="B73"/>
      <c r="C73"/>
      <c r="D73"/>
      <c r="E73"/>
      <c r="F73"/>
      <c r="G73"/>
      <c r="H73"/>
      <c r="I73"/>
      <c r="J73"/>
    </row>
    <row r="74">
      <c r="A74"/>
      <c r="B74"/>
      <c r="C74"/>
      <c r="D74"/>
      <c r="E74"/>
      <c r="F74"/>
      <c r="G74"/>
      <c r="H74"/>
      <c r="I74"/>
      <c r="J74"/>
    </row>
    <row r="75">
      <c r="A75"/>
      <c r="B75"/>
      <c r="C75"/>
      <c r="D75"/>
      <c r="E75"/>
      <c r="F75"/>
      <c r="G75"/>
      <c r="H75"/>
      <c r="I75"/>
      <c r="J75"/>
    </row>
    <row r="76">
      <c r="A76"/>
      <c r="B76"/>
      <c r="C76"/>
      <c r="D76"/>
      <c r="E76"/>
      <c r="F76"/>
      <c r="G76"/>
      <c r="H76"/>
      <c r="I76"/>
      <c r="J76"/>
    </row>
    <row r="77">
      <c r="A77"/>
      <c r="B77"/>
      <c r="C77"/>
      <c r="D77"/>
      <c r="E77"/>
      <c r="F77"/>
      <c r="G77"/>
      <c r="H77"/>
      <c r="I77"/>
      <c r="J77"/>
    </row>
    <row r="78">
      <c r="A78"/>
      <c r="B78"/>
      <c r="C78"/>
      <c r="D78"/>
      <c r="E78"/>
      <c r="F78"/>
      <c r="G78"/>
      <c r="H78"/>
      <c r="I78"/>
      <c r="J78"/>
    </row>
    <row r="79">
      <c r="A79"/>
      <c r="B79"/>
      <c r="C79"/>
      <c r="D79"/>
      <c r="E79"/>
      <c r="F79"/>
      <c r="G79"/>
      <c r="H79"/>
      <c r="I79"/>
      <c r="J79"/>
    </row>
    <row r="80">
      <c r="A80"/>
      <c r="B80"/>
      <c r="C80"/>
      <c r="D80"/>
      <c r="E80"/>
      <c r="F80"/>
      <c r="G80"/>
      <c r="H80"/>
      <c r="I80"/>
      <c r="J80"/>
    </row>
    <row r="81">
      <c r="A81"/>
      <c r="B81"/>
      <c r="C81"/>
      <c r="D81"/>
      <c r="E81"/>
      <c r="F81"/>
      <c r="G81"/>
      <c r="H81"/>
      <c r="I81"/>
      <c r="J81"/>
    </row>
    <row r="82">
      <c r="A82"/>
      <c r="B82"/>
      <c r="C82"/>
      <c r="D82"/>
      <c r="E82"/>
      <c r="F82"/>
      <c r="G82"/>
      <c r="H82"/>
      <c r="I82"/>
      <c r="J82"/>
    </row>
    <row r="83">
      <c r="A83"/>
      <c r="B83"/>
      <c r="C83"/>
      <c r="D83"/>
      <c r="E83"/>
      <c r="F83"/>
      <c r="G83"/>
      <c r="H83"/>
      <c r="I83"/>
      <c r="J83"/>
    </row>
    <row r="84">
      <c r="A84"/>
      <c r="B84"/>
      <c r="C84"/>
      <c r="D84"/>
      <c r="E84"/>
      <c r="F84"/>
      <c r="G84"/>
      <c r="H84"/>
      <c r="I84"/>
      <c r="J84"/>
    </row>
    <row r="85">
      <c r="A85"/>
      <c r="B85"/>
      <c r="C85"/>
      <c r="D85"/>
      <c r="E85"/>
      <c r="F85"/>
      <c r="G85"/>
      <c r="H85"/>
      <c r="I85"/>
      <c r="J85"/>
    </row>
    <row r="86">
      <c r="A86"/>
      <c r="B86"/>
      <c r="C86"/>
      <c r="D86"/>
      <c r="E86"/>
      <c r="F86"/>
      <c r="G86"/>
      <c r="H86"/>
      <c r="I86"/>
      <c r="J86"/>
    </row>
    <row r="87">
      <c r="A87"/>
      <c r="B87"/>
      <c r="C87"/>
      <c r="D87"/>
      <c r="E87"/>
      <c r="F87"/>
      <c r="G87"/>
      <c r="H87"/>
      <c r="I87"/>
      <c r="J87"/>
    </row>
    <row r="88">
      <c r="A88"/>
      <c r="B88"/>
      <c r="C88"/>
      <c r="D88"/>
      <c r="E88"/>
      <c r="F88"/>
      <c r="G88"/>
      <c r="H88"/>
      <c r="I88"/>
      <c r="J88"/>
    </row>
    <row r="89">
      <c r="A89"/>
      <c r="B89"/>
      <c r="C89"/>
      <c r="D89"/>
      <c r="E89"/>
      <c r="F89"/>
      <c r="G89"/>
      <c r="H89"/>
      <c r="I89"/>
      <c r="J89"/>
    </row>
    <row r="90">
      <c r="A90"/>
      <c r="B90"/>
      <c r="C90"/>
      <c r="D90"/>
      <c r="E90"/>
      <c r="F90"/>
      <c r="G90"/>
      <c r="H90"/>
      <c r="I90"/>
      <c r="J90"/>
    </row>
    <row r="91">
      <c r="A91"/>
      <c r="B91"/>
      <c r="C91"/>
      <c r="D91"/>
      <c r="E91"/>
      <c r="F91"/>
      <c r="G91"/>
      <c r="H91"/>
      <c r="I91"/>
      <c r="J91"/>
    </row>
    <row r="92">
      <c r="A92"/>
      <c r="B92"/>
      <c r="C92"/>
      <c r="D92"/>
      <c r="E92"/>
      <c r="F92"/>
      <c r="G92"/>
      <c r="H92"/>
      <c r="I92"/>
      <c r="J92"/>
    </row>
    <row r="93">
      <c r="A93"/>
      <c r="B93"/>
      <c r="C93"/>
      <c r="D93"/>
      <c r="E93"/>
      <c r="F93"/>
      <c r="G93"/>
      <c r="H93"/>
      <c r="I93"/>
      <c r="J93"/>
    </row>
    <row r="94">
      <c r="A94"/>
      <c r="B94"/>
      <c r="C94"/>
      <c r="D94"/>
      <c r="E94"/>
      <c r="F94"/>
      <c r="G94"/>
      <c r="H94"/>
      <c r="I94"/>
      <c r="J94"/>
    </row>
    <row r="95">
      <c r="A95"/>
      <c r="B95"/>
      <c r="C95"/>
      <c r="D95"/>
      <c r="E95"/>
      <c r="F95"/>
      <c r="G95"/>
      <c r="H95"/>
      <c r="I95"/>
      <c r="J95"/>
    </row>
    <row r="96">
      <c r="A96"/>
      <c r="B96"/>
      <c r="C96"/>
      <c r="D96"/>
      <c r="E96"/>
      <c r="F96"/>
      <c r="G96"/>
      <c r="H96"/>
      <c r="I96"/>
      <c r="J96"/>
    </row>
    <row r="97">
      <c r="A97"/>
      <c r="B97"/>
      <c r="C97"/>
      <c r="D97"/>
      <c r="E97"/>
      <c r="F97"/>
      <c r="G97"/>
      <c r="H97"/>
      <c r="I97"/>
      <c r="J97"/>
    </row>
    <row r="98">
      <c r="A98"/>
      <c r="B98"/>
      <c r="C98"/>
      <c r="D98"/>
      <c r="E98"/>
      <c r="F98"/>
      <c r="G98"/>
      <c r="H98"/>
      <c r="I98"/>
      <c r="J98"/>
    </row>
    <row r="99">
      <c r="A99"/>
      <c r="B99"/>
      <c r="C99"/>
      <c r="D99"/>
      <c r="E99"/>
      <c r="F99"/>
      <c r="G99"/>
      <c r="H99"/>
      <c r="I99"/>
      <c r="J99"/>
    </row>
    <row r="100">
      <c r="A100"/>
      <c r="B100"/>
      <c r="C100"/>
      <c r="D100"/>
      <c r="E100"/>
      <c r="F100"/>
      <c r="G100"/>
      <c r="H100"/>
      <c r="I100"/>
      <c r="J100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Bitácora de Tanque</vt:lpstr>
      <vt:lpstr>Tabla de Cubicación</vt:lpstr>
      <vt:lpstr>'Bitácora de Tanque'!Área_de_impresión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GRUPO TRUJANO 03</cp:lastModifiedBy>
  <dcterms:modified xsi:type="dcterms:W3CDTF">2026-06-19T22:25:30Z</dcterms:modified>
</cp:coreProperties>
</file>