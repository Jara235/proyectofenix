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ácora Maquin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 &quot;L&quot;"/>
    <numFmt numFmtId="166" formatCode="#,##0.0 &quot;hrs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E0F2FE"/>
      <sz val="11"/>
    </font>
    <font>
      <name val="Calibri"/>
      <b val="1"/>
      <color rgb="001E293B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9FF"/>
        <bgColor rgb="00F0F9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94A3B8"/>
      </left>
      <right style="thin">
        <color rgb="0094A3B8"/>
      </right>
      <top style="thin">
        <color rgb="001E3A8A"/>
      </top>
      <bottom style="double">
        <color rgb="001E3A8A"/>
      </bottom>
    </border>
    <border>
      <top style="medium">
        <color rgb="001E293B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7" fillId="6" borderId="2" applyAlignment="1" pivotButton="0" quotePrefix="0" xfId="0">
      <alignment horizontal="right" vertical="center"/>
    </xf>
    <xf numFmtId="0" fontId="0" fillId="6" borderId="2" pivotButton="0" quotePrefix="0" xfId="0"/>
    <xf numFmtId="166" fontId="7" fillId="6" borderId="2" applyAlignment="1" pivotButton="0" quotePrefix="0" xfId="0">
      <alignment horizontal="right" vertical="center"/>
    </xf>
    <xf numFmtId="165" fontId="7" fillId="6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6" customWidth="1" min="4" max="4"/>
    <col width="32" customWidth="1" min="5" max="5"/>
    <col width="15" customWidth="1" min="6" max="6"/>
    <col width="15" customWidth="1" min="7" max="7"/>
    <col width="15" customWidth="1" min="8" max="8"/>
    <col width="18" customWidth="1" min="9" max="9"/>
    <col width="22" customWidth="1" min="10" max="10"/>
    <col width="20" customWidth="1" min="11" max="11"/>
    <col width="35" customWidth="1" min="12" max="12"/>
  </cols>
  <sheetData>
    <row r="1" ht="30" customHeight="1">
      <c r="A1" s="1" t="inlineStr">
        <is>
          <t>🛡️ GRUPO TRUJANO — FÉNIX 2.0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FORMATO DE BITÁCORA Y CONTROL DIARIO DE MAQUINARIA, CUADRILLAS Y TURNO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2" customHeight="1">
      <c r="A4" s="4" t="inlineStr">
        <is>
          <t>FECHA DE CAPTURA:</t>
        </is>
      </c>
      <c r="B4" s="5" t="inlineStr">
        <is>
          <t>YYYY-MM-DD</t>
        </is>
      </c>
      <c r="D4" s="4" t="inlineStr">
        <is>
          <t>SEMANA NO.:</t>
        </is>
      </c>
      <c r="E4" s="5" t="inlineStr">
        <is>
          <t>32</t>
        </is>
      </c>
      <c r="G4" s="4" t="inlineStr">
        <is>
          <t>INGENIERO RESPONSABLE:</t>
        </is>
      </c>
      <c r="H4" s="5" t="inlineStr">
        <is>
          <t>Apolinar / Francisco Javier / Diego Carreola / Luis / Samuel / Jack</t>
        </is>
      </c>
      <c r="J4" s="4" t="inlineStr">
        <is>
          <t>CÓDIGO DE CUADRILLA:</t>
        </is>
      </c>
      <c r="K4" s="5" t="inlineStr">
        <is>
          <t>CUAD-APO / CUAD-FJ / CUAD-DC</t>
        </is>
      </c>
    </row>
    <row r="6" ht="32" customHeight="1">
      <c r="A6" s="6" t="inlineStr">
        <is>
          <t>N°</t>
        </is>
      </c>
      <c r="B6" s="6" t="inlineStr">
        <is>
          <t>FECHA</t>
        </is>
      </c>
      <c r="C6" s="6" t="inlineStr">
        <is>
          <t>TURNO
(MAÑANA / TARDE-NOCHE)</t>
        </is>
      </c>
      <c r="D6" s="6" t="inlineStr">
        <is>
          <t>OBRA / FRENTE DE TRABAJO</t>
        </is>
      </c>
      <c r="E6" s="6" t="inlineStr">
        <is>
          <t>MAQUINARIA / EQUIPO ASIGNADO</t>
        </is>
      </c>
      <c r="F6" s="6" t="inlineStr">
        <is>
          <t>HORÓMETRO
INICIAL</t>
        </is>
      </c>
      <c r="G6" s="6" t="inlineStr">
        <is>
          <t>HORÓMETRO
FINAL</t>
        </is>
      </c>
      <c r="H6" s="6" t="inlineStr">
        <is>
          <t>HORAS DE
OPERACIÓN</t>
        </is>
      </c>
      <c r="I6" s="6" t="inlineStr">
        <is>
          <t>DIÉSEL ESTIMADO
(LITROS)</t>
        </is>
      </c>
      <c r="J6" s="6" t="inlineStr">
        <is>
          <t>OPERADOR</t>
        </is>
      </c>
      <c r="K6" s="6" t="inlineStr">
        <is>
          <t>ESTATUS DE EQUIPO
(OPERANDO / TRASLADO)</t>
        </is>
      </c>
      <c r="L6" s="6" t="inlineStr">
        <is>
          <t>OBSERVACIONES Y ACTIVIDADES REALIZADAS</t>
        </is>
      </c>
    </row>
    <row r="7" ht="22" customHeight="1">
      <c r="A7" s="7" t="n">
        <v>1</v>
      </c>
      <c r="B7" s="7" t="inlineStr">
        <is>
          <t>2026-08-10</t>
        </is>
      </c>
      <c r="C7" s="7" t="inlineStr">
        <is>
          <t>MAÑANA</t>
        </is>
      </c>
      <c r="D7" s="8" t="inlineStr">
        <is>
          <t>México - Toluca</t>
        </is>
      </c>
      <c r="E7" s="8" t="inlineStr">
        <is>
          <t>PAVIMENTADORA VOGELE 1800-3 i</t>
        </is>
      </c>
      <c r="F7" s="9" t="n">
        <v>1250</v>
      </c>
      <c r="G7" s="9" t="n">
        <v>1258.5</v>
      </c>
      <c r="H7" s="9">
        <f>G7-F7</f>
        <v/>
      </c>
      <c r="I7" s="10" t="n">
        <v>180</v>
      </c>
      <c r="J7" s="8" t="inlineStr">
        <is>
          <t>R. Gómez</t>
        </is>
      </c>
      <c r="K7" s="7" t="inlineStr">
        <is>
          <t>EN OPERACION</t>
        </is>
      </c>
      <c r="L7" s="8" t="inlineStr">
        <is>
          <t>Tendido de carpeta asfáltica km 42</t>
        </is>
      </c>
    </row>
    <row r="8" ht="22" customHeight="1">
      <c r="A8" s="11" t="n">
        <v>2</v>
      </c>
      <c r="B8" s="11" t="inlineStr">
        <is>
          <t>2026-08-10</t>
        </is>
      </c>
      <c r="C8" s="11" t="inlineStr">
        <is>
          <t>TARDE/NOCHE</t>
        </is>
      </c>
      <c r="D8" s="12" t="inlineStr">
        <is>
          <t>Alfredo del Mazo</t>
        </is>
      </c>
      <c r="E8" s="12" t="inlineStr">
        <is>
          <t>PAVIMENTADORA VOGELE 1800-3 i</t>
        </is>
      </c>
      <c r="F8" s="13" t="n">
        <v>1258.5</v>
      </c>
      <c r="G8" s="13" t="n">
        <v>1263</v>
      </c>
      <c r="H8" s="13">
        <f>G8-F8</f>
        <v/>
      </c>
      <c r="I8" s="14" t="n">
        <v>95</v>
      </c>
      <c r="J8" s="12" t="inlineStr">
        <is>
          <t>R. Gómez</t>
        </is>
      </c>
      <c r="K8" s="11" t="inlineStr">
        <is>
          <t>EN TRASLADO</t>
        </is>
      </c>
      <c r="L8" s="12" t="inlineStr">
        <is>
          <t>Traslado de cuadrilla y colado nocturno</t>
        </is>
      </c>
    </row>
    <row r="9" ht="22" customHeight="1">
      <c r="A9" s="7" t="n">
        <v>3</v>
      </c>
      <c r="B9" s="7" t="inlineStr">
        <is>
          <t>2026-08-10</t>
        </is>
      </c>
      <c r="C9" s="7" t="inlineStr">
        <is>
          <t>MAÑANA</t>
        </is>
      </c>
      <c r="D9" s="8" t="inlineStr">
        <is>
          <t>Desasolve</t>
        </is>
      </c>
      <c r="E9" s="8" t="inlineStr">
        <is>
          <t>EXCAVADORA CAT 324 DL</t>
        </is>
      </c>
      <c r="F9" s="9" t="n">
        <v>3420</v>
      </c>
      <c r="G9" s="9" t="n">
        <v>3428</v>
      </c>
      <c r="H9" s="9">
        <f>G9-F9</f>
        <v/>
      </c>
      <c r="I9" s="10" t="n">
        <v>280</v>
      </c>
      <c r="J9" s="8" t="inlineStr">
        <is>
          <t>Sin Registro</t>
        </is>
      </c>
      <c r="K9" s="7" t="inlineStr">
        <is>
          <t>EN OPERACION</t>
        </is>
      </c>
      <c r="L9" s="8" t="inlineStr">
        <is>
          <t>Limpieza de canal principal</t>
        </is>
      </c>
    </row>
    <row r="10" ht="22" customHeight="1">
      <c r="A10" s="11" t="n">
        <v>4</v>
      </c>
      <c r="B10" s="11" t="inlineStr">
        <is>
          <t>2026-08-10</t>
        </is>
      </c>
      <c r="C10" s="11" t="inlineStr">
        <is>
          <t>TARDE/NOCHE</t>
        </is>
      </c>
      <c r="D10" s="12" t="inlineStr">
        <is>
          <t>Bacheo Toluca</t>
        </is>
      </c>
      <c r="E10" s="12" t="inlineStr">
        <is>
          <t>RETROEXCAVADORA CASE 580 N</t>
        </is>
      </c>
      <c r="F10" s="13" t="n">
        <v>890</v>
      </c>
      <c r="G10" s="13" t="n">
        <v>894</v>
      </c>
      <c r="H10" s="13">
        <f>G10-F10</f>
        <v/>
      </c>
      <c r="I10" s="14" t="n">
        <v>50</v>
      </c>
      <c r="J10" s="12" t="inlineStr">
        <is>
          <t>Sin Registro</t>
        </is>
      </c>
      <c r="K10" s="11" t="inlineStr">
        <is>
          <t>EN OPERACION</t>
        </is>
      </c>
      <c r="L10" s="12" t="inlineStr">
        <is>
          <t>Bacheo nocturno centro histórico</t>
        </is>
      </c>
    </row>
    <row r="11" ht="22" customHeight="1">
      <c r="A11" s="7" t="n">
        <v>5</v>
      </c>
      <c r="B11" s="7" t="inlineStr"/>
      <c r="C11" s="7" t="inlineStr">
        <is>
          <t>MAÑANA</t>
        </is>
      </c>
      <c r="D11" s="8" t="inlineStr"/>
      <c r="E11" s="8" t="inlineStr"/>
      <c r="F11" s="9" t="n">
        <v>0</v>
      </c>
      <c r="G11" s="9" t="n">
        <v>0</v>
      </c>
      <c r="H11" s="9">
        <f>IF(G11&gt;F11, G11-F11, 0)</f>
        <v/>
      </c>
      <c r="I11" s="10" t="n">
        <v>0</v>
      </c>
      <c r="J11" s="8" t="inlineStr"/>
      <c r="K11" s="7" t="inlineStr">
        <is>
          <t>EN OPERACION</t>
        </is>
      </c>
      <c r="L11" s="8" t="inlineStr"/>
    </row>
    <row r="12" ht="22" customHeight="1">
      <c r="A12" s="11" t="n">
        <v>6</v>
      </c>
      <c r="B12" s="11" t="inlineStr"/>
      <c r="C12" s="11" t="inlineStr">
        <is>
          <t>MAÑANA</t>
        </is>
      </c>
      <c r="D12" s="12" t="inlineStr"/>
      <c r="E12" s="12" t="inlineStr"/>
      <c r="F12" s="13" t="n">
        <v>0</v>
      </c>
      <c r="G12" s="13" t="n">
        <v>0</v>
      </c>
      <c r="H12" s="13">
        <f>IF(G12&gt;F12, G12-F12, 0)</f>
        <v/>
      </c>
      <c r="I12" s="14" t="n">
        <v>0</v>
      </c>
      <c r="J12" s="12" t="inlineStr"/>
      <c r="K12" s="11" t="inlineStr">
        <is>
          <t>EN OPERACION</t>
        </is>
      </c>
      <c r="L12" s="12" t="inlineStr"/>
    </row>
    <row r="13" ht="22" customHeight="1">
      <c r="A13" s="7" t="n">
        <v>7</v>
      </c>
      <c r="B13" s="7" t="inlineStr"/>
      <c r="C13" s="7" t="inlineStr">
        <is>
          <t>MAÑANA</t>
        </is>
      </c>
      <c r="D13" s="8" t="inlineStr"/>
      <c r="E13" s="8" t="inlineStr"/>
      <c r="F13" s="9" t="n">
        <v>0</v>
      </c>
      <c r="G13" s="9" t="n">
        <v>0</v>
      </c>
      <c r="H13" s="9">
        <f>IF(G13&gt;F13, G13-F13, 0)</f>
        <v/>
      </c>
      <c r="I13" s="10" t="n">
        <v>0</v>
      </c>
      <c r="J13" s="8" t="inlineStr"/>
      <c r="K13" s="7" t="inlineStr">
        <is>
          <t>EN OPERACION</t>
        </is>
      </c>
      <c r="L13" s="8" t="inlineStr"/>
    </row>
    <row r="14" ht="22" customHeight="1">
      <c r="A14" s="11" t="n">
        <v>8</v>
      </c>
      <c r="B14" s="11" t="inlineStr"/>
      <c r="C14" s="11" t="inlineStr">
        <is>
          <t>MAÑANA</t>
        </is>
      </c>
      <c r="D14" s="12" t="inlineStr"/>
      <c r="E14" s="12" t="inlineStr"/>
      <c r="F14" s="13" t="n">
        <v>0</v>
      </c>
      <c r="G14" s="13" t="n">
        <v>0</v>
      </c>
      <c r="H14" s="13">
        <f>IF(G14&gt;F14, G14-F14, 0)</f>
        <v/>
      </c>
      <c r="I14" s="14" t="n">
        <v>0</v>
      </c>
      <c r="J14" s="12" t="inlineStr"/>
      <c r="K14" s="11" t="inlineStr">
        <is>
          <t>EN OPERACION</t>
        </is>
      </c>
      <c r="L14" s="12" t="inlineStr"/>
    </row>
    <row r="15" ht="22" customHeight="1">
      <c r="A15" s="7" t="n">
        <v>9</v>
      </c>
      <c r="B15" s="7" t="inlineStr"/>
      <c r="C15" s="7" t="inlineStr">
        <is>
          <t>MAÑANA</t>
        </is>
      </c>
      <c r="D15" s="8" t="inlineStr"/>
      <c r="E15" s="8" t="inlineStr"/>
      <c r="F15" s="9" t="n">
        <v>0</v>
      </c>
      <c r="G15" s="9" t="n">
        <v>0</v>
      </c>
      <c r="H15" s="9">
        <f>IF(G15&gt;F15, G15-F15, 0)</f>
        <v/>
      </c>
      <c r="I15" s="10" t="n">
        <v>0</v>
      </c>
      <c r="J15" s="8" t="inlineStr"/>
      <c r="K15" s="7" t="inlineStr">
        <is>
          <t>EN OPERACION</t>
        </is>
      </c>
      <c r="L15" s="8" t="inlineStr"/>
    </row>
    <row r="16" ht="22" customHeight="1">
      <c r="A16" s="11" t="n">
        <v>10</v>
      </c>
      <c r="B16" s="11" t="inlineStr"/>
      <c r="C16" s="11" t="inlineStr">
        <is>
          <t>MAÑANA</t>
        </is>
      </c>
      <c r="D16" s="12" t="inlineStr"/>
      <c r="E16" s="12" t="inlineStr"/>
      <c r="F16" s="13" t="n">
        <v>0</v>
      </c>
      <c r="G16" s="13" t="n">
        <v>0</v>
      </c>
      <c r="H16" s="13">
        <f>IF(G16&gt;F16, G16-F16, 0)</f>
        <v/>
      </c>
      <c r="I16" s="14" t="n">
        <v>0</v>
      </c>
      <c r="J16" s="12" t="inlineStr"/>
      <c r="K16" s="11" t="inlineStr">
        <is>
          <t>EN OPERACION</t>
        </is>
      </c>
      <c r="L16" s="12" t="inlineStr"/>
    </row>
    <row r="17" ht="22" customHeight="1">
      <c r="A17" s="7" t="n">
        <v>11</v>
      </c>
      <c r="B17" s="7" t="inlineStr"/>
      <c r="C17" s="7" t="inlineStr">
        <is>
          <t>MAÑANA</t>
        </is>
      </c>
      <c r="D17" s="8" t="inlineStr"/>
      <c r="E17" s="8" t="inlineStr"/>
      <c r="F17" s="9" t="n">
        <v>0</v>
      </c>
      <c r="G17" s="9" t="n">
        <v>0</v>
      </c>
      <c r="H17" s="9">
        <f>IF(G17&gt;F17, G17-F17, 0)</f>
        <v/>
      </c>
      <c r="I17" s="10" t="n">
        <v>0</v>
      </c>
      <c r="J17" s="8" t="inlineStr"/>
      <c r="K17" s="7" t="inlineStr">
        <is>
          <t>EN OPERACION</t>
        </is>
      </c>
      <c r="L17" s="8" t="inlineStr"/>
    </row>
    <row r="18" ht="22" customHeight="1">
      <c r="A18" s="11" t="n">
        <v>12</v>
      </c>
      <c r="B18" s="11" t="inlineStr"/>
      <c r="C18" s="11" t="inlineStr">
        <is>
          <t>MAÑANA</t>
        </is>
      </c>
      <c r="D18" s="12" t="inlineStr"/>
      <c r="E18" s="12" t="inlineStr"/>
      <c r="F18" s="13" t="n">
        <v>0</v>
      </c>
      <c r="G18" s="13" t="n">
        <v>0</v>
      </c>
      <c r="H18" s="13">
        <f>IF(G18&gt;F18, G18-F18, 0)</f>
        <v/>
      </c>
      <c r="I18" s="14" t="n">
        <v>0</v>
      </c>
      <c r="J18" s="12" t="inlineStr"/>
      <c r="K18" s="11" t="inlineStr">
        <is>
          <t>EN OPERACION</t>
        </is>
      </c>
      <c r="L18" s="12" t="inlineStr"/>
    </row>
    <row r="19" ht="22" customHeight="1">
      <c r="A19" s="7" t="n">
        <v>13</v>
      </c>
      <c r="B19" s="7" t="inlineStr"/>
      <c r="C19" s="7" t="inlineStr">
        <is>
          <t>MAÑANA</t>
        </is>
      </c>
      <c r="D19" s="8" t="inlineStr"/>
      <c r="E19" s="8" t="inlineStr"/>
      <c r="F19" s="9" t="n">
        <v>0</v>
      </c>
      <c r="G19" s="9" t="n">
        <v>0</v>
      </c>
      <c r="H19" s="9">
        <f>IF(G19&gt;F19, G19-F19, 0)</f>
        <v/>
      </c>
      <c r="I19" s="10" t="n">
        <v>0</v>
      </c>
      <c r="J19" s="8" t="inlineStr"/>
      <c r="K19" s="7" t="inlineStr">
        <is>
          <t>EN OPERACION</t>
        </is>
      </c>
      <c r="L19" s="8" t="inlineStr"/>
    </row>
    <row r="20" ht="22" customHeight="1">
      <c r="A20" s="11" t="n">
        <v>14</v>
      </c>
      <c r="B20" s="11" t="inlineStr"/>
      <c r="C20" s="11" t="inlineStr">
        <is>
          <t>MAÑANA</t>
        </is>
      </c>
      <c r="D20" s="12" t="inlineStr"/>
      <c r="E20" s="12" t="inlineStr"/>
      <c r="F20" s="13" t="n">
        <v>0</v>
      </c>
      <c r="G20" s="13" t="n">
        <v>0</v>
      </c>
      <c r="H20" s="13">
        <f>IF(G20&gt;F20, G20-F20, 0)</f>
        <v/>
      </c>
      <c r="I20" s="14" t="n">
        <v>0</v>
      </c>
      <c r="J20" s="12" t="inlineStr"/>
      <c r="K20" s="11" t="inlineStr">
        <is>
          <t>EN OPERACION</t>
        </is>
      </c>
      <c r="L20" s="12" t="inlineStr"/>
    </row>
    <row r="21" ht="22" customHeight="1">
      <c r="A21" s="7" t="n">
        <v>15</v>
      </c>
      <c r="B21" s="7" t="inlineStr"/>
      <c r="C21" s="7" t="inlineStr">
        <is>
          <t>MAÑANA</t>
        </is>
      </c>
      <c r="D21" s="8" t="inlineStr"/>
      <c r="E21" s="8" t="inlineStr"/>
      <c r="F21" s="9" t="n">
        <v>0</v>
      </c>
      <c r="G21" s="9" t="n">
        <v>0</v>
      </c>
      <c r="H21" s="9">
        <f>IF(G21&gt;F21, G21-F21, 0)</f>
        <v/>
      </c>
      <c r="I21" s="10" t="n">
        <v>0</v>
      </c>
      <c r="J21" s="8" t="inlineStr"/>
      <c r="K21" s="7" t="inlineStr">
        <is>
          <t>EN OPERACION</t>
        </is>
      </c>
      <c r="L21" s="8" t="inlineStr"/>
    </row>
    <row r="22" ht="22" customHeight="1">
      <c r="A22" s="11" t="n">
        <v>16</v>
      </c>
      <c r="B22" s="11" t="inlineStr"/>
      <c r="C22" s="11" t="inlineStr">
        <is>
          <t>MAÑANA</t>
        </is>
      </c>
      <c r="D22" s="12" t="inlineStr"/>
      <c r="E22" s="12" t="inlineStr"/>
      <c r="F22" s="13" t="n">
        <v>0</v>
      </c>
      <c r="G22" s="13" t="n">
        <v>0</v>
      </c>
      <c r="H22" s="13">
        <f>IF(G22&gt;F22, G22-F22, 0)</f>
        <v/>
      </c>
      <c r="I22" s="14" t="n">
        <v>0</v>
      </c>
      <c r="J22" s="12" t="inlineStr"/>
      <c r="K22" s="11" t="inlineStr">
        <is>
          <t>EN OPERACION</t>
        </is>
      </c>
      <c r="L22" s="12" t="inlineStr"/>
    </row>
    <row r="23" ht="22" customHeight="1">
      <c r="A23" s="7" t="n">
        <v>17</v>
      </c>
      <c r="B23" s="7" t="inlineStr"/>
      <c r="C23" s="7" t="inlineStr">
        <is>
          <t>MAÑANA</t>
        </is>
      </c>
      <c r="D23" s="8" t="inlineStr"/>
      <c r="E23" s="8" t="inlineStr"/>
      <c r="F23" s="9" t="n">
        <v>0</v>
      </c>
      <c r="G23" s="9" t="n">
        <v>0</v>
      </c>
      <c r="H23" s="9">
        <f>IF(G23&gt;F23, G23-F23, 0)</f>
        <v/>
      </c>
      <c r="I23" s="10" t="n">
        <v>0</v>
      </c>
      <c r="J23" s="8" t="inlineStr"/>
      <c r="K23" s="7" t="inlineStr">
        <is>
          <t>EN OPERACION</t>
        </is>
      </c>
      <c r="L23" s="8" t="inlineStr"/>
    </row>
    <row r="24" ht="22" customHeight="1">
      <c r="A24" s="11" t="n">
        <v>18</v>
      </c>
      <c r="B24" s="11" t="inlineStr"/>
      <c r="C24" s="11" t="inlineStr">
        <is>
          <t>MAÑANA</t>
        </is>
      </c>
      <c r="D24" s="12" t="inlineStr"/>
      <c r="E24" s="12" t="inlineStr"/>
      <c r="F24" s="13" t="n">
        <v>0</v>
      </c>
      <c r="G24" s="13" t="n">
        <v>0</v>
      </c>
      <c r="H24" s="13">
        <f>IF(G24&gt;F24, G24-F24, 0)</f>
        <v/>
      </c>
      <c r="I24" s="14" t="n">
        <v>0</v>
      </c>
      <c r="J24" s="12" t="inlineStr"/>
      <c r="K24" s="11" t="inlineStr">
        <is>
          <t>EN OPERACION</t>
        </is>
      </c>
      <c r="L24" s="12" t="inlineStr"/>
    </row>
    <row r="25" ht="22" customHeight="1">
      <c r="A25" s="7" t="n">
        <v>19</v>
      </c>
      <c r="B25" s="7" t="inlineStr"/>
      <c r="C25" s="7" t="inlineStr">
        <is>
          <t>MAÑANA</t>
        </is>
      </c>
      <c r="D25" s="8" t="inlineStr"/>
      <c r="E25" s="8" t="inlineStr"/>
      <c r="F25" s="9" t="n">
        <v>0</v>
      </c>
      <c r="G25" s="9" t="n">
        <v>0</v>
      </c>
      <c r="H25" s="9">
        <f>IF(G25&gt;F25, G25-F25, 0)</f>
        <v/>
      </c>
      <c r="I25" s="10" t="n">
        <v>0</v>
      </c>
      <c r="J25" s="8" t="inlineStr"/>
      <c r="K25" s="7" t="inlineStr">
        <is>
          <t>EN OPERACION</t>
        </is>
      </c>
      <c r="L25" s="8" t="inlineStr"/>
    </row>
    <row r="26" ht="22" customHeight="1">
      <c r="A26" s="11" t="n">
        <v>20</v>
      </c>
      <c r="B26" s="11" t="inlineStr"/>
      <c r="C26" s="11" t="inlineStr">
        <is>
          <t>MAÑANA</t>
        </is>
      </c>
      <c r="D26" s="12" t="inlineStr"/>
      <c r="E26" s="12" t="inlineStr"/>
      <c r="F26" s="13" t="n">
        <v>0</v>
      </c>
      <c r="G26" s="13" t="n">
        <v>0</v>
      </c>
      <c r="H26" s="13">
        <f>IF(G26&gt;F26, G26-F26, 0)</f>
        <v/>
      </c>
      <c r="I26" s="14" t="n">
        <v>0</v>
      </c>
      <c r="J26" s="12" t="inlineStr"/>
      <c r="K26" s="11" t="inlineStr">
        <is>
          <t>EN OPERACION</t>
        </is>
      </c>
      <c r="L26" s="12" t="inlineStr"/>
    </row>
    <row r="27" ht="26" customHeight="1">
      <c r="A27" s="15" t="inlineStr">
        <is>
          <t>SUMA TOTAL CONSOLIDADA:</t>
        </is>
      </c>
      <c r="B27" s="16" t="n"/>
      <c r="C27" s="16" t="n"/>
      <c r="D27" s="16" t="n"/>
      <c r="E27" s="16" t="n"/>
      <c r="F27" s="16" t="n"/>
      <c r="G27" s="16" t="n"/>
      <c r="H27" s="17">
        <f>SUM(H7:H26)</f>
        <v/>
      </c>
      <c r="I27" s="18">
        <f>SUM(I7:I26)</f>
        <v/>
      </c>
      <c r="J27" s="16" t="n"/>
      <c r="K27" s="16" t="n"/>
      <c r="L27" s="16" t="n"/>
    </row>
    <row r="31">
      <c r="B31" s="19" t="inlineStr">
        <is>
          <t>ELABORÓ
(Operador / Encargado de Cuadrilla)</t>
        </is>
      </c>
      <c r="C31" s="20" t="n"/>
      <c r="D31" s="20" t="n"/>
      <c r="F31" s="19" t="inlineStr">
        <is>
          <t>REVISÓ Y CONCILIÓ
(Residente de Obra / Ingeniero)</t>
        </is>
      </c>
      <c r="G31" s="20" t="n"/>
      <c r="H31" s="20" t="n"/>
      <c r="J31" s="19" t="inlineStr">
        <is>
          <t>AUTORIZÓ
(Dirección General / Auditoría)</t>
        </is>
      </c>
      <c r="K31" s="20" t="n"/>
    </row>
  </sheetData>
  <mergeCells count="6">
    <mergeCell ref="A2:L2"/>
    <mergeCell ref="A27:G27"/>
    <mergeCell ref="B31:D31"/>
    <mergeCell ref="F31:H31"/>
    <mergeCell ref="A1:L1"/>
    <mergeCell ref="J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2026-08-10T21:20:33Z</dcterms:created>
  <dcterms:modified xsi:type="dcterms:W3CDTF">2026-08-10T21:20:33Z</dcterms:modified>
</cp:coreProperties>
</file>