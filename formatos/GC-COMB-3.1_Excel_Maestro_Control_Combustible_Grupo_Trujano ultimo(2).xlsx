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7CB5764F-0FDF-498F-84AB-286307CB75B9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Dashboard" sheetId="14" r:id="rId17"/>
    <sheet name="Dashboard_Ejecutivo" sheetId="11" r:id="rId2"/>
    <sheet name="Captura_Pegaso" sheetId="2" r:id="rId3"/>
    <sheet name="Captura_Marimba_M01" sheetId="3" r:id="rId4"/>
    <sheet name="Captura_Jalisco" sheetId="13" r:id="rId5"/>
    <sheet name="Captura_Obra" sheetId="4" r:id="rId6"/>
    <sheet name="Solicitudes" sheetId="10" r:id="rId7"/>
    <sheet name="Conciliacion" sheetId="5" r:id="rId8"/>
    <sheet name="Catalogos" sheetId="6" r:id="rId9"/>
    <sheet name="Formatos_Fisicos" sheetId="7" r:id="rId10"/>
    <sheet name="Instrucciones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<sst xmlns="http://schemas.openxmlformats.org/spreadsheetml/2006/main">
  <si>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Litros</t>
  </si>
  <si>
    <t>Obra</t>
  </si>
  <si>
    <t>Costo</t>
  </si>
  <si>
    <t>México-Toluca</t>
  </si>
  <si>
    <t>Lerma - Tres Marías</t>
  </si>
  <si>
    <t>Chamapa-Lechería</t>
  </si>
  <si>
    <t>TOTAL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</si>
  <si>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</si>
  <si>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</si>
  <si>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</si>
  <si>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</si>
  <si>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</si>
  <si>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</si>
  <si>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</si>
  <si>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</si>
  <si>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</si>
  <si>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</si>
  <si>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Equipo/Económico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</si>
  <si>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</si>
  <si>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</si>
  <si>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</si>
  <si>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</si>
  <si>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</si>
  <si>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</si>
  <si>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</si>
  <si>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</si>
  <si>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</si>
  <si>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</si>
  <si>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</si>
  <si>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</si>
  <si>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</si>
  <si>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</si>
  <si>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</si>
  <si>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</si>
  <si>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</si>
  <si>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</si>
  <si>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</si>
  <si>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</si>
  <si>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</si>
  <si>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</si>
  <si>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</si>
  <si>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CONCILIACIÓN SEMANAL / MENSUAL</t>
  </si>
  <si>
    <t>Concepto</t>
  </si>
  <si>
    <t>Entradas a Pegaso</t>
  </si>
  <si>
    <t>Salidas Pegaso a Marimba</t>
  </si>
  <si>
    <t>Salidas Pegaso directo a Máquinas</t>
  </si>
  <si>
    <t>Entradas registradas en Marimba</t>
  </si>
  <si>
    <t>Salidas Marimba a Obra</t>
  </si>
  <si>
    <t>Litros reconocidos por Obras</t>
  </si>
  <si>
    <t>Diferencia Pegaso vs Marimba</t>
  </si>
  <si>
    <t>Diferencia Marimba vs Obra</t>
  </si>
  <si>
    <t>Diferencia Total a Revisar</t>
  </si>
  <si>
    <t>% Consumo</t>
  </si>
  <si>
    <t>Validación Corporativa</t>
  </si>
  <si>
    <t>Revisó Gobierno Corporativo</t>
  </si>
  <si>
    <t>Estatus</t>
  </si>
  <si>
    <t>□ Correcto  □ Observado  □ Pendiente</t>
  </si>
  <si>
    <t>Firma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</si>
  <si>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</si>
  <si>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</si>
  <si>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</si>
  <si>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</si>
  <si>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</si>
  <si>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</si>
  <si>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</si>
  <si>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</si>
  <si>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FR-01</t>
  </si>
  <si>
    <t>Fresadora</t>
  </si>
  <si>
    <t>L3M</t>
  </si>
  <si>
    <t>PEG</t>
  </si>
  <si>
    <t>Tanque Pegaso</t>
  </si>
  <si>
    <t>CP-01</t>
  </si>
  <si>
    <t>Compactador</t>
  </si>
  <si>
    <t>CL</t>
  </si>
  <si>
    <t>M01</t>
  </si>
  <si>
    <t>Marimba M-01</t>
  </si>
  <si>
    <t>EX-01</t>
  </si>
  <si>
    <t>Excavadora</t>
  </si>
  <si>
    <t>DIR</t>
  </si>
  <si>
    <t>Carga directa</t>
  </si>
  <si>
    <t>RT-01</t>
  </si>
  <si>
    <t>Retroexcavadora</t>
  </si>
  <si>
    <t>Otro</t>
  </si>
  <si>
    <t>MG-01</t>
  </si>
  <si>
    <t>Motoconformadora</t>
  </si>
  <si>
    <t>PT-01</t>
  </si>
  <si>
    <t>Petrolizadora</t>
  </si>
  <si>
    <t>PP-01</t>
  </si>
  <si>
    <t>Pipa</t>
  </si>
  <si>
    <t>CM-01</t>
  </si>
  <si>
    <t>Camión</t>
  </si>
  <si>
    <t>CR-01</t>
  </si>
  <si>
    <t>Cargador</t>
  </si>
  <si>
    <t>FORMATOS FÍSICOS PARA IMPRESIÓN Y FIRMA</t>
  </si>
  <si>
    <t>GC-COMB-001 BITÁCORA PEGASO</t>
  </si>
  <si>
    <t>Existencia Inicial:</t>
  </si>
  <si>
    <t>Existencia Final Física:</t>
  </si>
  <si>
    <t>Fecha Entrega:</t>
  </si>
  <si>
    <t>Firma:</t>
  </si>
  <si>
    <t>GC-COMB-002 BITÁCORA MARIMBA M-01</t>
  </si>
  <si>
    <t>Inventario Inicial:</t>
  </si>
  <si>
    <t>Inventario Final:</t>
  </si>
  <si>
    <t>GC-COMB-003 BITÁCORA DE OBRA</t>
  </si>
  <si>
    <t>Actividad</t>
  </si>
  <si>
    <t>PROCEDIMIENTO OPERATIVO GC-COMB-01</t>
  </si>
  <si>
    <t>Gasolinera → Pegaso</t>
  </si>
  <si>
    <t>Vigilante registra entrada en GC-COMB-001 con factura/remisión y litros recibidos.</t>
  </si>
  <si>
    <t>Pegaso → Marimba M-01</t>
  </si>
  <si>
    <t>Vigilante registra salida en GC-COMB-001. Operador de Marimba registra entrada en GC-COMB-002.</t>
  </si>
  <si>
    <t>Pegaso → Máquina</t>
  </si>
  <si>
    <t>Vigilante registra salida directa en GC-COMB-001. Ingeniero registra recepción en GC-COMB-003.</t>
  </si>
  <si>
    <t>Marimba → Obras/Máquinas</t>
  </si>
  <si>
    <t>Operador registra cada suministro en GC-COMB-002. Ingeniero reconoce litros por obra en GC-COMB-003.</t>
  </si>
  <si>
    <t>Obras actuales</t>
  </si>
  <si>
    <t>México-Toluca, Lerma - Tres Marías y Chamapa-Lechería.</t>
  </si>
  <si>
    <t>Horómetro</t>
  </si>
  <si>
    <t>No es obligatorio porque no funciona en la mayoría de equipos. El control principal será por litros, obra, equipo, actividad e incidencia.</t>
  </si>
  <si>
    <t>Capturar costo/litro en cada registro para obtener costo por obra y costo total semanal.</t>
  </si>
  <si>
    <t>Cierre semanal</t>
  </si>
  <si>
    <t>Todos entregan bitácoras físicas firmadas. Gobierno Corporativo captura y revisa conciliación.</t>
  </si>
  <si>
    <t>Alertas</t>
  </si>
  <si>
    <t>Si la diferencia total es distinta de cero, revisar Pegaso vs Marimba y Marimba/Pegaso vs Obra.</t>
  </si>
  <si>
    <t>Reunión lunes</t>
  </si>
  <si>
    <t>Usar Dashboard para mostrar consumo, costo y diferencias al Ing. Pepe.</t>
  </si>
  <si>
    <t>Responsables</t>
  </si>
  <si>
    <t>Vigilante Pegaso = inventario / Operador Marimba = distribución / Ingeniero = validación de obra / Gobierno Corporativo = conciliación y pago.</t>
  </si>
  <si>
    <t>Documentación soporte</t>
  </si>
  <si>
    <t>Factura, remisión, bitácoras físicas firmadas, evidencias de incidencias cuando existan.</t>
  </si>
  <si>
    <t>Nota</t>
  </si>
  <si>
    <t>Este archivo no usa macros. Funciona con fórmulas, catálogos y validaciones para evitar dependencia de VBA.</t>
  </si>
  <si>
    <t>Pegaso Directo</t>
  </si>
  <si>
    <t xml:space="preserve">Ingeniero Responsable </t>
  </si>
  <si>
    <t>Operador (firma)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</si>
  <si>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</si>
  <si>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</si>
  <si>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</si>
  <si>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</si>
  <si>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</si>
  <si>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</si>
  <si>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</si>
  <si>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</si>
  <si>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</si>
  <si>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</si>
  <si>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</si>
  <si>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</si>
  <si>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</si>
  <si>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</si>
  <si>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</si>
  <si>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PR-03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</si>
  <si>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</si>
  <si>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</si>
  <si>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</si>
  <si>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</si>
  <si>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</si>
  <si>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</si>
  <si>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</si>
  <si>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</si>
  <si>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</si>
  <si>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</si>
  <si>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</si>
  <si>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</si>
  <si>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</si>
  <si>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</si>
  <si>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</si>
  <si>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</si>
  <si>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</si>
  <si>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</si>
  <si>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</si>
  <si>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</si>
  <si>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</si>
  <si>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</si>
  <si>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</si>
  <si>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</si>
  <si>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</si>
  <si>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</si>
  <si>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</si>
  <si>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</si>
  <si>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</si>
  <si>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</si>
  <si>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</si>
  <si>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</si>
  <si>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</si>
  <si>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</si>
  <si>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</si>
  <si>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</si>
  <si>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</si>
  <si>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</si>
  <si>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</si>
  <si>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</si>
  <si>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</si>
  <si>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</si>
  <si>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</si>
  <si>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</si>
  <si>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</si>
  <si>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</si>
  <si>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</si>
  <si>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</si>
  <si>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</si>
  <si>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</si>
  <si>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</si>
  <si>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</si>
  <si>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</si>
  <si>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</si>
  <si>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</si>
  <si>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</si>
  <si>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</si>
  <si>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</si>
  <si>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</si>
  <si>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</si>
  <si>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</si>
  <si>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</si>
  <si>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</si>
  <si>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</si>
  <si>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</si>
  <si>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</si>
  <si>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</si>
  <si>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</si>
  <si>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</si>
  <si>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</si>
  <si>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</si>
  <si>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</si>
  <si>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</si>
  <si>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</si>
  <si>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</si>
  <si>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</si>
  <si>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</si>
  <si>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</si>
  <si>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</si>
  <si>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</si>
  <si>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</si>
  <si>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</si>
  <si>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</si>
  <si>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</si>
  <si>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</si>
  <si>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</si>
  <si>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</si>
  <si>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</si>
  <si>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</si>
  <si>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</si>
  <si>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</si>
  <si>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</si>
  <si>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</si>
  <si>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</si>
  <si>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</si>
  <si>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</si>
  <si>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</si>
  <si>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</si>
  <si>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</si>
  <si>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</si>
  <si>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</si>
  <si>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</si>
  <si>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</si>
  <si>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</si>
  <si>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Marimba</t>
  </si>
  <si>
    <t>MB-01</t>
  </si>
  <si>
    <t>Dragones</t>
  </si>
  <si>
    <t>Generador</t>
  </si>
  <si>
    <t>GR-01</t>
  </si>
  <si>
    <t>Criba Roja</t>
  </si>
  <si>
    <t>Tandem CAT</t>
  </si>
  <si>
    <t>TC-01</t>
  </si>
  <si>
    <t>GC-COMB-002 | BITÁCORA DE SUMINISTRO DE JALISCO</t>
  </si>
  <si>
    <t>ENT</t>
  </si>
  <si>
    <t>Jalisco</t>
  </si>
  <si>
    <t>Motoconformadora Rentada</t>
  </si>
  <si>
    <t>MGR-01</t>
  </si>
  <si>
    <t>Vibro Compactador</t>
  </si>
  <si>
    <t>VC-01</t>
  </si>
  <si>
    <t>Salida</t>
  </si>
  <si>
    <t>SD</t>
  </si>
  <si>
    <t xml:space="preserve">ESTADO DE LA CONCILIACIÓN SEMANAL</t>
  </si>
  <si>
    <t xml:space="preserve">Fecha Fin (Rango):</t>
  </si>
  <si>
    <t xml:space="preserve">Período Resumen:</t>
  </si>
  <si>
    <t xml:space="preserve">Semana Seleccionada</t>
  </si>
  <si>
    <t xml:space="preserve">Observaciones / Justificación</t>
  </si>
  <si>
    <t xml:space="preserve">TOTAL CONCILIADO</t>
  </si>
  <si>
    <t xml:space="preserve">RESUMEN ACUMULADO POR OBRA / PERÍODO SELECCIONADO</t>
  </si>
  <si>
    <t xml:space="preserve">Total Litros Suministrados</t>
  </si>
  <si>
    <t xml:space="preserve">Costo Total Acumulado</t>
  </si>
  <si>
    <t xml:space="preserve">TOTAL GENERAL</t>
  </si>
  <si>
    <t xml:space="preserve">RESUMEN DE CONSUMO SEMANAL POR OBRA (DETALLE HISTÓRICO POR SEMANA)</t>
  </si>
  <si>
    <t xml:space="preserve">Obra (Tabla Semanal):</t>
  </si>
  <si>
    <t xml:space="preserve">Semana (Lunes)</t>
  </si>
  <si>
    <t xml:space="preserve">Litros Despachados</t>
  </si>
  <si>
    <t xml:space="preserve">Costo/L ($)</t>
  </si>
  <si>
    <t xml:space="preserve">Costo Combustible ($)</t>
  </si>
  <si>
    <t xml:space="preserve">Acumulado Semanal ($)</t>
  </si>
  <si>
    <t xml:space="preserve">TOTAL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</si>
</sst>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\$#,##0.00"/>
    <numFmt numFmtId="165" formatCode="&quot;$&quot;#,##0.00"/>
    <numFmt numFmtId="166" formatCode="yyyy\-mm\-dd"/>
    <numFmt numFmtId="167" formatCode="yyyy-mm-dd"/>
    <numFmt numFmtId="168" formatCode="$#,##0.00"/>
  </numFmts>
  <fonts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FF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sz val="14"/>
      <color rgb="FFFFFF"/>
      <name val="Segoe UI"/>
    </font>
    <font>
      <b/>
      <sz val="11"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4"/>
      <name val="Segoe UI"/>
    </font>
    <font>
      <b/>
      <sz val="9"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002060"/>
      </patternFill>
    </fill>
    <fill>
      <patternFill patternType="solid">
        <fgColor rgb="D9D9D9"/>
      </patternFill>
    </fill>
    <fill/>
    <fill/>
    <fill/>
    <fill/>
    <fill/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2F2F2"/>
      </patternFill>
    </fill>
    <fill/>
    <fill>
      <patternFill patternType="solid">
        <fgColor rgb="D9D9D9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D9D9D9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D9D9D9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D9D9D9"/>
      </patternFill>
    </fill>
    <fill/>
    <fill>
      <patternFill patternType="solid">
        <fgColor rgb="FFF2CC"/>
      </patternFill>
    </fill>
    <fill/>
    <fill>
      <patternFill patternType="solid">
        <fgColor rgb="FFF2CC"/>
      </patternFill>
    </fill>
    <fill>
      <patternFill patternType="solid">
        <fgColor rgb="76933C"/>
      </patternFill>
    </fill>
    <fill>
      <patternFill patternType="solid">
        <fgColor rgb="76933C"/>
      </patternFill>
    </fill>
    <fill>
      <patternFill patternType="solid">
        <fgColor rgb="76933C"/>
      </patternFill>
    </fill>
    <fill>
      <patternFill patternType="solid">
        <fgColor rgb="76933C"/>
      </patternFill>
    </fill>
    <fill>
      <patternFill patternType="solid">
        <fgColor rgb="76933C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8E4BC"/>
      </patternFill>
    </fill>
    <fill>
      <patternFill patternType="solid">
        <fgColor rgb="D8E4BC"/>
      </patternFill>
    </fill>
    <fill>
      <patternFill patternType="solid">
        <fgColor rgb="D8E4BC"/>
      </patternFill>
    </fill>
    <fill>
      <patternFill patternType="solid">
        <fgColor rgb="D8E4BC"/>
      </patternFill>
    </fill>
    <fill>
      <patternFill patternType="solid">
        <fgColor rgb="D8E4BC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3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165" fontId="1" fillId="0" borderId="0" xfId="1" applyNumberFormat="1"/>
    <xf numFmtId="0" fontId="10" fillId="7" borderId="4" xfId="0" applyFont="1" applyFill="1" applyBorder="1" applyAlignment="1">
      <alignment horizontal="right"/>
    </xf>
    <xf numFmtId="0" fontId="11" fillId="8" borderId="5" xfId="0" applyFont="1" applyFill="1" applyBorder="1" applyAlignment="1">
      <alignment horizontal="right"/>
    </xf>
    <xf numFmtId="0" fontId="12" fillId="9" borderId="6" xfId="0" applyFont="1" applyFill="1" applyBorder="1" applyAlignment="1">
      <alignment horizontal="right"/>
    </xf>
    <xf numFmtId="0" fontId="13" fillId="10" borderId="7" xfId="0" applyFont="1" applyFill="1" applyBorder="1"/>
    <xf numFmtId="166" fontId="14" fillId="11" borderId="8" xfId="0" applyNumberFormat="1" applyFont="1" applyFill="1" applyBorder="1"/>
    <xf numFmtId="164" fontId="15" fillId="12" borderId="9" xfId="0" applyNumberFormat="1" applyFont="1" applyFill="1" applyBorder="1"/>
    <xf numFmtId="0" fontId="17" fillId="14" borderId="11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9" fillId="16" borderId="13" xfId="0" applyFont="1" applyFill="1" applyBorder="1" applyAlignment="1">
      <alignment horizontal="center" vertical="center"/>
    </xf>
    <xf numFmtId="0" fontId="20" fillId="17" borderId="14" xfId="0" applyFont="1" applyFill="1" applyBorder="1" applyAlignment="1">
      <alignment horizontal="center" vertical="center"/>
    </xf>
    <xf numFmtId="0" fontId="21" fillId="18" borderId="15" xfId="0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center" vertical="center"/>
    </xf>
    <xf numFmtId="0" fontId="23" fillId="20" borderId="17" xfId="0" applyFont="1" applyFill="1" applyBorder="1" applyAlignment="1">
      <alignment horizontal="center" vertical="center"/>
    </xf>
    <xf numFmtId="0" fontId="24" fillId="21" borderId="18" xfId="0" applyFont="1" applyFill="1" applyBorder="1" applyAlignment="1">
      <alignment horizontal="center" vertical="center"/>
    </xf>
    <xf numFmtId="0" fontId="25" fillId="22" borderId="19" xfId="0" applyFont="1" applyFill="1" applyBorder="1" applyAlignment="1">
      <alignment horizontal="center"/>
    </xf>
    <xf numFmtId="166" fontId="26" fillId="23" borderId="20" xfId="0" applyNumberFormat="1" applyFont="1" applyFill="1" applyBorder="1" applyAlignment="1">
      <alignment horizontal="center"/>
    </xf>
    <xf numFmtId="3" fontId="27" fillId="24" borderId="21" xfId="0" applyNumberFormat="1" applyFont="1" applyFill="1" applyBorder="1"/>
    <xf numFmtId="3" fontId="28" fillId="25" borderId="22" xfId="0" applyNumberFormat="1" applyFont="1" applyFill="1" applyBorder="1"/>
    <xf numFmtId="3" fontId="29" fillId="26" borderId="23" xfId="0" applyNumberFormat="1" applyFont="1" applyFill="1" applyBorder="1"/>
    <xf numFmtId="164" fontId="30" fillId="27" borderId="24" xfId="0" applyNumberFormat="1" applyFont="1" applyFill="1" applyBorder="1"/>
    <xf numFmtId="164" fontId="31" fillId="28" borderId="25" xfId="0" applyNumberFormat="1" applyFont="1" applyFill="1" applyBorder="1"/>
    <xf numFmtId="164" fontId="32" fillId="29" borderId="26" xfId="0" applyNumberFormat="1" applyFont="1" applyFill="1" applyBorder="1"/>
    <xf numFmtId="0" fontId="33" fillId="30" borderId="27" xfId="0" applyFont="1" applyFill="1" applyBorder="1" applyAlignment="1">
      <alignment horizontal="center"/>
    </xf>
    <xf numFmtId="166" fontId="34" fillId="31" borderId="28" xfId="0" applyNumberFormat="1" applyFont="1" applyFill="1" applyBorder="1" applyAlignment="1">
      <alignment horizontal="center"/>
    </xf>
    <xf numFmtId="3" fontId="35" fillId="32" borderId="29" xfId="0" applyNumberFormat="1" applyFont="1" applyFill="1" applyBorder="1"/>
    <xf numFmtId="3" fontId="36" fillId="33" borderId="30" xfId="0" applyNumberFormat="1" applyFont="1" applyFill="1" applyBorder="1"/>
    <xf numFmtId="3" fontId="37" fillId="34" borderId="31" xfId="0" applyNumberFormat="1" applyFont="1" applyFill="1" applyBorder="1"/>
    <xf numFmtId="164" fontId="38" fillId="35" borderId="32" xfId="0" applyNumberFormat="1" applyFont="1" applyFill="1" applyBorder="1"/>
    <xf numFmtId="164" fontId="39" fillId="36" borderId="33" xfId="0" applyNumberFormat="1" applyFont="1" applyFill="1" applyBorder="1"/>
    <xf numFmtId="164" fontId="40" fillId="37" borderId="34" xfId="0" applyNumberFormat="1" applyFont="1" applyFill="1" applyBorder="1"/>
    <xf numFmtId="0" fontId="41" fillId="38" borderId="35" xfId="0" applyFont="1" applyFill="1" applyBorder="1" applyAlignment="1">
      <alignment horizontal="center"/>
    </xf>
    <xf numFmtId="166" fontId="42" fillId="39" borderId="36" xfId="0" applyNumberFormat="1" applyFont="1" applyFill="1" applyBorder="1" applyAlignment="1">
      <alignment horizontal="center"/>
    </xf>
    <xf numFmtId="3" fontId="43" fillId="40" borderId="37" xfId="0" applyNumberFormat="1" applyFont="1" applyFill="1" applyBorder="1"/>
    <xf numFmtId="3" fontId="44" fillId="41" borderId="38" xfId="0" applyNumberFormat="1" applyFont="1" applyFill="1" applyBorder="1"/>
    <xf numFmtId="3" fontId="45" fillId="42" borderId="39" xfId="0" applyNumberFormat="1" applyFont="1" applyFill="1" applyBorder="1"/>
    <xf numFmtId="164" fontId="46" fillId="43" borderId="40" xfId="0" applyNumberFormat="1" applyFont="1" applyFill="1" applyBorder="1"/>
    <xf numFmtId="164" fontId="47" fillId="44" borderId="41" xfId="0" applyNumberFormat="1" applyFont="1" applyFill="1" applyBorder="1"/>
    <xf numFmtId="164" fontId="48" fillId="45" borderId="42" xfId="0" applyNumberFormat="1" applyFont="1" applyFill="1" applyBorder="1"/>
    <xf numFmtId="0" fontId="49" fillId="46" borderId="43" xfId="0" applyFont="1" applyFill="1" applyBorder="1" applyAlignment="1">
      <alignment horizontal="center"/>
    </xf>
    <xf numFmtId="166" fontId="50" fillId="47" borderId="44" xfId="0" applyNumberFormat="1" applyFont="1" applyFill="1" applyBorder="1" applyAlignment="1">
      <alignment horizontal="center"/>
    </xf>
    <xf numFmtId="3" fontId="51" fillId="48" borderId="45" xfId="0" applyNumberFormat="1" applyFont="1" applyFill="1" applyBorder="1"/>
    <xf numFmtId="3" fontId="52" fillId="49" borderId="46" xfId="0" applyNumberFormat="1" applyFont="1" applyFill="1" applyBorder="1"/>
    <xf numFmtId="3" fontId="53" fillId="50" borderId="47" xfId="0" applyNumberFormat="1" applyFont="1" applyFill="1" applyBorder="1"/>
    <xf numFmtId="164" fontId="54" fillId="51" borderId="48" xfId="0" applyNumberFormat="1" applyFont="1" applyFill="1" applyBorder="1"/>
    <xf numFmtId="164" fontId="55" fillId="52" borderId="49" xfId="0" applyNumberFormat="1" applyFont="1" applyFill="1" applyBorder="1"/>
    <xf numFmtId="164" fontId="56" fillId="53" borderId="50" xfId="0" applyNumberFormat="1" applyFont="1" applyFill="1" applyBorder="1"/>
    <xf numFmtId="0" fontId="57" fillId="54" borderId="51" xfId="0" applyFont="1" applyFill="1" applyBorder="1" applyAlignment="1">
      <alignment horizontal="center"/>
    </xf>
    <xf numFmtId="166" fontId="58" fillId="55" borderId="52" xfId="0" applyNumberFormat="1" applyFont="1" applyFill="1" applyBorder="1" applyAlignment="1">
      <alignment horizontal="center"/>
    </xf>
    <xf numFmtId="3" fontId="59" fillId="56" borderId="53" xfId="0" applyNumberFormat="1" applyFont="1" applyFill="1" applyBorder="1"/>
    <xf numFmtId="3" fontId="60" fillId="57" borderId="54" xfId="0" applyNumberFormat="1" applyFont="1" applyFill="1" applyBorder="1"/>
    <xf numFmtId="3" fontId="61" fillId="58" borderId="55" xfId="0" applyNumberFormat="1" applyFont="1" applyFill="1" applyBorder="1"/>
    <xf numFmtId="164" fontId="62" fillId="59" borderId="56" xfId="0" applyNumberFormat="1" applyFont="1" applyFill="1" applyBorder="1"/>
    <xf numFmtId="164" fontId="63" fillId="60" borderId="57" xfId="0" applyNumberFormat="1" applyFont="1" applyFill="1" applyBorder="1"/>
    <xf numFmtId="164" fontId="64" fillId="61" borderId="58" xfId="0" applyNumberFormat="1" applyFont="1" applyFill="1" applyBorder="1"/>
    <xf numFmtId="0" fontId="65" fillId="62" borderId="59" xfId="0" applyFont="1" applyFill="1" applyBorder="1" applyAlignment="1">
      <alignment horizontal="center"/>
    </xf>
    <xf numFmtId="166" fontId="66" fillId="63" borderId="60" xfId="0" applyNumberFormat="1" applyFont="1" applyFill="1" applyBorder="1" applyAlignment="1">
      <alignment horizontal="center"/>
    </xf>
    <xf numFmtId="3" fontId="67" fillId="64" borderId="61" xfId="0" applyNumberFormat="1" applyFont="1" applyFill="1" applyBorder="1"/>
    <xf numFmtId="3" fontId="68" fillId="65" borderId="62" xfId="0" applyNumberFormat="1" applyFont="1" applyFill="1" applyBorder="1"/>
    <xf numFmtId="3" fontId="69" fillId="66" borderId="63" xfId="0" applyNumberFormat="1" applyFont="1" applyFill="1" applyBorder="1"/>
    <xf numFmtId="164" fontId="70" fillId="67" borderId="64" xfId="0" applyNumberFormat="1" applyFont="1" applyFill="1" applyBorder="1"/>
    <xf numFmtId="164" fontId="71" fillId="68" borderId="65" xfId="0" applyNumberFormat="1" applyFont="1" applyFill="1" applyBorder="1"/>
    <xf numFmtId="164" fontId="72" fillId="69" borderId="66" xfId="0" applyNumberFormat="1" applyFont="1" applyFill="1" applyBorder="1"/>
    <xf numFmtId="0" fontId="73" fillId="70" borderId="67" xfId="0" applyFont="1" applyFill="1" applyBorder="1" applyAlignment="1">
      <alignment horizontal="center"/>
    </xf>
    <xf numFmtId="0" fontId="74" fillId="71" borderId="68" xfId="0" applyFont="1" applyFill="1" applyBorder="1"/>
    <xf numFmtId="3" fontId="75" fillId="72" borderId="69" xfId="0" applyNumberFormat="1" applyFont="1" applyFill="1" applyBorder="1"/>
    <xf numFmtId="3" fontId="76" fillId="73" borderId="70" xfId="0" applyNumberFormat="1" applyFont="1" applyFill="1" applyBorder="1"/>
    <xf numFmtId="3" fontId="77" fillId="74" borderId="71" xfId="0" applyNumberFormat="1" applyFont="1" applyFill="1" applyBorder="1"/>
    <xf numFmtId="164" fontId="78" fillId="75" borderId="72" xfId="0" applyNumberFormat="1" applyFont="1" applyFill="1" applyBorder="1"/>
    <xf numFmtId="164" fontId="79" fillId="76" borderId="73" xfId="0" applyNumberFormat="1" applyFont="1" applyFill="1" applyBorder="1"/>
    <xf numFmtId="164" fontId="80" fillId="77" borderId="74" xfId="0" applyNumberFormat="1" applyFont="1" applyFill="1" applyBorder="1"/>
    <xf numFmtId="0" fontId="82" fillId="79" borderId="76" xfId="0" applyFont="1" applyFill="1" applyBorder="1" applyAlignment="1">
      <alignment horizontal="center" vertical="center"/>
    </xf>
    <xf numFmtId="0" fontId="83" fillId="80" borderId="77" xfId="0" applyFont="1" applyFill="1" applyBorder="1" applyAlignment="1">
      <alignment horizontal="center" vertical="center"/>
    </xf>
    <xf numFmtId="0" fontId="84" fillId="81" borderId="78" xfId="0" applyFont="1" applyFill="1" applyBorder="1" applyAlignment="1">
      <alignment horizontal="center" vertical="center"/>
    </xf>
    <xf numFmtId="0" fontId="85" fillId="82" borderId="79" xfId="0" applyFont="1" applyFill="1" applyBorder="1" applyAlignment="1">
      <alignment horizontal="center" vertical="center"/>
    </xf>
    <xf numFmtId="0" fontId="86" fillId="83" borderId="80" xfId="0" applyFont="1" applyFill="1" applyBorder="1" applyAlignment="1">
      <alignment horizontal="center" vertical="center"/>
    </xf>
    <xf numFmtId="0" fontId="87" fillId="84" borderId="81" xfId="0" applyFont="1" applyFill="1" applyBorder="1" applyAlignment="1">
      <alignment horizontal="center" vertical="center"/>
    </xf>
    <xf numFmtId="0" fontId="88" fillId="85" borderId="82" xfId="0" applyFont="1" applyFill="1" applyBorder="1" applyAlignment="1">
      <alignment horizontal="center" vertical="center"/>
    </xf>
    <xf numFmtId="0" fontId="89" fillId="86" borderId="83" xfId="0" applyFont="1" applyFill="1" applyBorder="1" applyAlignment="1">
      <alignment horizontal="center" vertical="center"/>
    </xf>
    <xf numFmtId="0" fontId="90" fillId="87" borderId="84" xfId="0" applyFont="1" applyFill="1" applyBorder="1" applyAlignment="1">
      <alignment horizontal="center" vertical="center"/>
    </xf>
    <xf numFmtId="0" fontId="91" fillId="88" borderId="85" xfId="0" applyFont="1" applyFill="1" applyBorder="1" applyAlignment="1">
      <alignment horizontal="center"/>
    </xf>
    <xf numFmtId="166" fontId="92" fillId="89" borderId="86" xfId="0" applyNumberFormat="1" applyFont="1" applyFill="1" applyBorder="1" applyAlignment="1">
      <alignment horizontal="center"/>
    </xf>
    <xf numFmtId="3" fontId="93" fillId="90" borderId="87" xfId="0" applyNumberFormat="1" applyFont="1" applyFill="1" applyBorder="1"/>
    <xf numFmtId="3" fontId="94" fillId="91" borderId="88" xfId="0" applyNumberFormat="1" applyFont="1" applyFill="1" applyBorder="1"/>
    <xf numFmtId="3" fontId="95" fillId="92" borderId="89" xfId="0" applyNumberFormat="1" applyFont="1" applyFill="1" applyBorder="1"/>
    <xf numFmtId="3" fontId="96" fillId="93" borderId="90" xfId="0" applyNumberFormat="1" applyFont="1" applyFill="1" applyBorder="1"/>
    <xf numFmtId="3" fontId="97" fillId="94" borderId="91" xfId="0" applyNumberFormat="1" applyFont="1" applyFill="1" applyBorder="1"/>
    <xf numFmtId="3" fontId="98" fillId="95" borderId="92" xfId="0" applyNumberFormat="1" applyFont="1" applyFill="1" applyBorder="1"/>
    <xf numFmtId="3" fontId="99" fillId="96" borderId="93" xfId="0" applyNumberFormat="1" applyFont="1" applyFill="1" applyBorder="1"/>
    <xf numFmtId="0" fontId="100" fillId="97" borderId="94" xfId="0" applyFont="1" applyFill="1" applyBorder="1" applyAlignment="1">
      <alignment horizontal="center"/>
    </xf>
    <xf numFmtId="166" fontId="101" fillId="98" borderId="95" xfId="0" applyNumberFormat="1" applyFont="1" applyFill="1" applyBorder="1" applyAlignment="1">
      <alignment horizontal="center"/>
    </xf>
    <xf numFmtId="3" fontId="102" fillId="99" borderId="96" xfId="0" applyNumberFormat="1" applyFont="1" applyFill="1" applyBorder="1"/>
    <xf numFmtId="3" fontId="103" fillId="100" borderId="97" xfId="0" applyNumberFormat="1" applyFont="1" applyFill="1" applyBorder="1"/>
    <xf numFmtId="3" fontId="104" fillId="101" borderId="98" xfId="0" applyNumberFormat="1" applyFont="1" applyFill="1" applyBorder="1"/>
    <xf numFmtId="3" fontId="105" fillId="102" borderId="99" xfId="0" applyNumberFormat="1" applyFont="1" applyFill="1" applyBorder="1"/>
    <xf numFmtId="3" fontId="106" fillId="103" borderId="100" xfId="0" applyNumberFormat="1" applyFont="1" applyFill="1" applyBorder="1"/>
    <xf numFmtId="3" fontId="107" fillId="104" borderId="101" xfId="0" applyNumberFormat="1" applyFont="1" applyFill="1" applyBorder="1"/>
    <xf numFmtId="3" fontId="108" fillId="105" borderId="102" xfId="0" applyNumberFormat="1" applyFont="1" applyFill="1" applyBorder="1"/>
    <xf numFmtId="0" fontId="109" fillId="106" borderId="103" xfId="0" applyFont="1" applyFill="1" applyBorder="1" applyAlignment="1">
      <alignment horizontal="center"/>
    </xf>
    <xf numFmtId="166" fontId="110" fillId="107" borderId="104" xfId="0" applyNumberFormat="1" applyFont="1" applyFill="1" applyBorder="1" applyAlignment="1">
      <alignment horizontal="center"/>
    </xf>
    <xf numFmtId="3" fontId="111" fillId="108" borderId="105" xfId="0" applyNumberFormat="1" applyFont="1" applyFill="1" applyBorder="1"/>
    <xf numFmtId="3" fontId="112" fillId="109" borderId="106" xfId="0" applyNumberFormat="1" applyFont="1" applyFill="1" applyBorder="1"/>
    <xf numFmtId="3" fontId="113" fillId="110" borderId="107" xfId="0" applyNumberFormat="1" applyFont="1" applyFill="1" applyBorder="1"/>
    <xf numFmtId="3" fontId="114" fillId="111" borderId="108" xfId="0" applyNumberFormat="1" applyFont="1" applyFill="1" applyBorder="1"/>
    <xf numFmtId="3" fontId="115" fillId="112" borderId="109" xfId="0" applyNumberFormat="1" applyFont="1" applyFill="1" applyBorder="1"/>
    <xf numFmtId="3" fontId="116" fillId="113" borderId="110" xfId="0" applyNumberFormat="1" applyFont="1" applyFill="1" applyBorder="1"/>
    <xf numFmtId="3" fontId="117" fillId="114" borderId="111" xfId="0" applyNumberFormat="1" applyFont="1" applyFill="1" applyBorder="1"/>
    <xf numFmtId="0" fontId="118" fillId="115" borderId="112" xfId="0" applyFont="1" applyFill="1" applyBorder="1" applyAlignment="1">
      <alignment horizontal="center"/>
    </xf>
    <xf numFmtId="166" fontId="119" fillId="116" borderId="113" xfId="0" applyNumberFormat="1" applyFont="1" applyFill="1" applyBorder="1" applyAlignment="1">
      <alignment horizontal="center"/>
    </xf>
    <xf numFmtId="3" fontId="120" fillId="117" borderId="114" xfId="0" applyNumberFormat="1" applyFont="1" applyFill="1" applyBorder="1"/>
    <xf numFmtId="3" fontId="121" fillId="118" borderId="115" xfId="0" applyNumberFormat="1" applyFont="1" applyFill="1" applyBorder="1"/>
    <xf numFmtId="3" fontId="122" fillId="119" borderId="116" xfId="0" applyNumberFormat="1" applyFont="1" applyFill="1" applyBorder="1"/>
    <xf numFmtId="3" fontId="123" fillId="120" borderId="117" xfId="0" applyNumberFormat="1" applyFont="1" applyFill="1" applyBorder="1"/>
    <xf numFmtId="3" fontId="124" fillId="121" borderId="118" xfId="0" applyNumberFormat="1" applyFont="1" applyFill="1" applyBorder="1"/>
    <xf numFmtId="3" fontId="125" fillId="122" borderId="119" xfId="0" applyNumberFormat="1" applyFont="1" applyFill="1" applyBorder="1"/>
    <xf numFmtId="3" fontId="126" fillId="123" borderId="120" xfId="0" applyNumberFormat="1" applyFont="1" applyFill="1" applyBorder="1"/>
    <xf numFmtId="0" fontId="127" fillId="124" borderId="121" xfId="0" applyFont="1" applyFill="1" applyBorder="1" applyAlignment="1">
      <alignment horizontal="center"/>
    </xf>
    <xf numFmtId="166" fontId="128" fillId="125" borderId="122" xfId="0" applyNumberFormat="1" applyFont="1" applyFill="1" applyBorder="1" applyAlignment="1">
      <alignment horizontal="center"/>
    </xf>
    <xf numFmtId="3" fontId="129" fillId="126" borderId="123" xfId="0" applyNumberFormat="1" applyFont="1" applyFill="1" applyBorder="1"/>
    <xf numFmtId="3" fontId="130" fillId="127" borderId="124" xfId="0" applyNumberFormat="1" applyFont="1" applyFill="1" applyBorder="1"/>
    <xf numFmtId="3" fontId="131" fillId="128" borderId="125" xfId="0" applyNumberFormat="1" applyFont="1" applyFill="1" applyBorder="1"/>
    <xf numFmtId="3" fontId="132" fillId="129" borderId="126" xfId="0" applyNumberFormat="1" applyFont="1" applyFill="1" applyBorder="1"/>
    <xf numFmtId="3" fontId="133" fillId="130" borderId="127" xfId="0" applyNumberFormat="1" applyFont="1" applyFill="1" applyBorder="1"/>
    <xf numFmtId="3" fontId="134" fillId="131" borderId="128" xfId="0" applyNumberFormat="1" applyFont="1" applyFill="1" applyBorder="1"/>
    <xf numFmtId="3" fontId="135" fillId="132" borderId="129" xfId="0" applyNumberFormat="1" applyFont="1" applyFill="1" applyBorder="1"/>
    <xf numFmtId="0" fontId="136" fillId="133" borderId="130" xfId="0" applyFont="1" applyFill="1" applyBorder="1" applyAlignment="1">
      <alignment horizontal="center"/>
    </xf>
    <xf numFmtId="166" fontId="137" fillId="134" borderId="131" xfId="0" applyNumberFormat="1" applyFont="1" applyFill="1" applyBorder="1" applyAlignment="1">
      <alignment horizontal="center"/>
    </xf>
    <xf numFmtId="3" fontId="138" fillId="135" borderId="132" xfId="0" applyNumberFormat="1" applyFont="1" applyFill="1" applyBorder="1"/>
    <xf numFmtId="3" fontId="139" fillId="136" borderId="133" xfId="0" applyNumberFormat="1" applyFont="1" applyFill="1" applyBorder="1"/>
    <xf numFmtId="3" fontId="140" fillId="137" borderId="134" xfId="0" applyNumberFormat="1" applyFont="1" applyFill="1" applyBorder="1"/>
    <xf numFmtId="3" fontId="141" fillId="138" borderId="135" xfId="0" applyNumberFormat="1" applyFont="1" applyFill="1" applyBorder="1"/>
    <xf numFmtId="3" fontId="142" fillId="139" borderId="136" xfId="0" applyNumberFormat="1" applyFont="1" applyFill="1" applyBorder="1"/>
    <xf numFmtId="3" fontId="143" fillId="140" borderId="137" xfId="0" applyNumberFormat="1" applyFont="1" applyFill="1" applyBorder="1"/>
    <xf numFmtId="3" fontId="144" fillId="141" borderId="138" xfId="0" applyNumberFormat="1" applyFont="1" applyFill="1" applyBorder="1"/>
    <xf numFmtId="0" fontId="145" fillId="142" borderId="139" xfId="0" applyFont="1" applyFill="1" applyBorder="1" applyAlignment="1">
      <alignment horizontal="center"/>
    </xf>
    <xf numFmtId="3" fontId="146" fillId="143" borderId="140" xfId="0" applyNumberFormat="1" applyFont="1" applyFill="1" applyBorder="1"/>
    <xf numFmtId="3" fontId="147" fillId="144" borderId="141" xfId="0" applyNumberFormat="1" applyFont="1" applyFill="1" applyBorder="1"/>
    <xf numFmtId="3" fontId="148" fillId="145" borderId="142" xfId="0" applyNumberFormat="1" applyFont="1" applyFill="1" applyBorder="1"/>
    <xf numFmtId="3" fontId="149" fillId="146" borderId="143" xfId="0" applyNumberFormat="1" applyFont="1" applyFill="1" applyBorder="1"/>
    <xf numFmtId="3" fontId="150" fillId="147" borderId="144" xfId="0" applyNumberFormat="1" applyFont="1" applyFill="1" applyBorder="1"/>
    <xf numFmtId="3" fontId="151" fillId="148" borderId="145" xfId="0" applyNumberFormat="1" applyFont="1" applyFill="1" applyBorder="1"/>
    <xf numFmtId="3" fontId="152" fillId="149" borderId="146" xfId="0" applyNumberFormat="1" applyFont="1" applyFill="1" applyBorder="1"/>
    <xf numFmtId="3" fontId="153" fillId="150" borderId="147" xfId="0" applyNumberFormat="1" applyFont="1" applyFill="1" applyBorder="1"/>
    <xf numFmtId="0" fontId="162" fillId="159" borderId="156" xfId="0" applyFont="1" applyFill="1" applyBorder="1"/>
    <xf numFmtId="0" fontId="163" fillId="160" borderId="157" xfId="0" applyFont="1" applyFill="1" applyBorder="1"/>
    <xf numFmtId="0" fontId="164" fillId="161" borderId="158" xfId="0" applyFont="1" applyFill="1" applyBorder="1"/>
    <xf numFmtId="0" fontId="165" fillId="162" borderId="159" xfId="0" applyFont="1" applyFill="1" applyBorder="1"/>
    <xf numFmtId="0" fontId="166" fillId="163" borderId="160" xfId="0" applyFont="1" applyFill="1" applyBorder="1"/>
    <xf numFmtId="0" fontId="167" fillId="164" borderId="161" xfId="0" applyFont="1" applyFill="1" applyBorder="1"/>
    <xf numFmtId="0" fontId="168" fillId="165" borderId="162" xfId="0" applyFont="1" applyFill="1" applyBorder="1"/>
    <xf numFmtId="0" fontId="169" fillId="166" borderId="163" xfId="0" applyFont="1" applyFill="1" applyBorder="1"/>
    <xf numFmtId="0" fontId="170" fillId="167" borderId="164" xfId="0" applyFont="1" applyFill="1" applyBorder="1"/>
    <xf numFmtId="0" fontId="179" fillId="176" borderId="173" xfId="0" applyFont="1" applyFill="1" applyBorder="1"/>
    <xf numFmtId="0" fontId="180" fillId="177" borderId="174" xfId="0" applyFont="1" applyFill="1" applyBorder="1"/>
    <xf numFmtId="0" fontId="181" fillId="178" borderId="175" xfId="0" applyFont="1" applyFill="1" applyBorder="1"/>
    <xf numFmtId="0" fontId="182" fillId="179" borderId="176" xfId="0" applyFont="1" applyFill="1" applyBorder="1"/>
    <xf numFmtId="0" fontId="183" fillId="180" borderId="177" xfId="0" applyFont="1" applyFill="1" applyBorder="1"/>
    <xf numFmtId="0" fontId="184" fillId="181" borderId="178" xfId="0" applyFont="1" applyFill="1" applyBorder="1"/>
    <xf numFmtId="0" fontId="185" fillId="182" borderId="179" xfId="0" applyFont="1" applyFill="1" applyBorder="1"/>
    <xf numFmtId="0" fontId="186" fillId="183" borderId="180" xfId="0" applyFont="1" applyFill="1" applyBorder="1"/>
    <xf numFmtId="0" fontId="187" fillId="184" borderId="181" xfId="0" applyFont="1" applyFill="1" applyBorder="1"/>
    <xf numFmtId="0" fontId="188" fillId="185" borderId="182" xfId="0" applyFont="1" applyFill="1" applyBorder="1"/>
    <xf numFmtId="0" fontId="189" fillId="186" borderId="183" xfId="0" applyFont="1" applyFill="1" applyBorder="1"/>
    <xf numFmtId="0" fontId="190" fillId="187" borderId="184" xfId="0" applyFont="1" applyFill="1" applyBorder="1"/>
    <xf numFmtId="0" fontId="191" fillId="188" borderId="185" xfId="0" applyFont="1" applyFill="1" applyBorder="1"/>
    <xf numFmtId="0" fontId="192" fillId="189" borderId="186" xfId="0" applyFont="1" applyFill="1" applyBorder="1"/>
    <xf numFmtId="0" fontId="193" fillId="190" borderId="187" xfId="0" applyFont="1" applyFill="1" applyBorder="1"/>
    <xf numFmtId="0" fontId="194" fillId="191" borderId="188" xfId="0" applyFont="1" applyFill="1" applyBorder="1"/>
    <xf numFmtId="0" fontId="195" fillId="192" borderId="189" xfId="0" applyFont="1" applyFill="1" applyBorder="1"/>
    <xf numFmtId="0" fontId="196" fillId="193" borderId="190" xfId="0" applyFont="1" applyFill="1" applyBorder="1"/>
    <xf numFmtId="0" fontId="197" fillId="194" borderId="191" xfId="0" applyFont="1" applyFill="1" applyBorder="1"/>
    <xf numFmtId="0" fontId="198" fillId="195" borderId="192" xfId="0" applyFont="1" applyFill="1" applyBorder="1"/>
    <xf numFmtId="0" fontId="199" fillId="196" borderId="193" xfId="0" applyFont="1" applyFill="1" applyBorder="1"/>
    <xf numFmtId="0" fontId="200" fillId="197" borderId="194" xfId="0" applyFont="1" applyFill="1" applyBorder="1"/>
    <xf numFmtId="0" fontId="201" fillId="198" borderId="195" xfId="0" applyFont="1" applyFill="1" applyBorder="1"/>
    <xf numFmtId="0" fontId="202" fillId="199" borderId="196" xfId="0" applyFont="1" applyFill="1" applyBorder="1"/>
    <xf numFmtId="0" fontId="203" fillId="200" borderId="197" xfId="0" applyFont="1" applyFill="1" applyBorder="1"/>
    <xf numFmtId="0" fontId="204" fillId="201" borderId="198" xfId="0" applyFont="1" applyFill="1" applyBorder="1"/>
    <xf numFmtId="0" fontId="205" fillId="202" borderId="199" xfId="0" applyFont="1" applyFill="1" applyBorder="1"/>
    <xf numFmtId="0" fontId="206" fillId="203" borderId="200" xfId="0" applyFont="1" applyFill="1" applyBorder="1"/>
    <xf numFmtId="0" fontId="207" fillId="204" borderId="201" xfId="0" applyFont="1" applyFill="1" applyBorder="1"/>
    <xf numFmtId="0" fontId="208" fillId="205" borderId="202" xfId="0" applyFont="1" applyFill="1" applyBorder="1"/>
    <xf numFmtId="0" fontId="217" fillId="214" borderId="211" xfId="0" applyFont="1" applyFill="1" applyBorder="1"/>
    <xf numFmtId="0" fontId="218" fillId="215" borderId="212" xfId="0" applyFont="1" applyFill="1" applyBorder="1"/>
    <xf numFmtId="0" fontId="219" fillId="216" borderId="213" xfId="0" applyFont="1" applyFill="1" applyBorder="1"/>
    <xf numFmtId="0" fontId="220" fillId="217" borderId="214" xfId="0" applyFont="1" applyFill="1" applyBorder="1"/>
    <xf numFmtId="0" fontId="221" fillId="218" borderId="215" xfId="0" applyFont="1" applyFill="1" applyBorder="1"/>
    <xf numFmtId="0" fontId="222" fillId="219" borderId="216" xfId="0" applyFont="1" applyFill="1" applyBorder="1"/>
    <xf numFmtId="0" fontId="223" fillId="220" borderId="217" xfId="0" applyFont="1" applyFill="1" applyBorder="1"/>
    <xf numFmtId="0" fontId="224" fillId="221" borderId="218" xfId="0" applyFont="1" applyFill="1" applyBorder="1"/>
    <xf numFmtId="0" fontId="225" fillId="222" borderId="219" xfId="0" applyFont="1" applyFill="1" applyBorder="1"/>
    <xf numFmtId="0" fontId="226" fillId="223" borderId="220" xfId="0" applyFont="1" applyFill="1" applyBorder="1"/>
    <xf numFmtId="0" fontId="227" fillId="224" borderId="221" xfId="0" applyFont="1" applyFill="1" applyBorder="1"/>
    <xf numFmtId="0" fontId="228" fillId="225" borderId="222" xfId="0" applyFont="1" applyFill="1" applyBorder="1"/>
    <xf numFmtId="0" fontId="229" fillId="226" borderId="223" xfId="0" applyFont="1" applyFill="1" applyBorder="1"/>
    <xf numFmtId="0" fontId="230" fillId="227" borderId="224" xfId="0" applyFont="1" applyFill="1" applyBorder="1"/>
    <xf numFmtId="0" fontId="231" fillId="228" borderId="225" xfId="0" applyFont="1" applyFill="1" applyBorder="1"/>
    <xf numFmtId="0" fontId="232" fillId="229" borderId="226" xfId="0" applyFont="1" applyFill="1" applyBorder="1"/>
    <xf numFmtId="0" fontId="233" fillId="230" borderId="227" xfId="0" applyFont="1" applyFill="1" applyBorder="1"/>
    <xf numFmtId="0" fontId="234" fillId="231" borderId="228" xfId="0" applyFont="1" applyFill="1" applyBorder="1"/>
    <xf numFmtId="0" fontId="235" fillId="232" borderId="229" xfId="0" applyFont="1" applyFill="1" applyBorder="1"/>
    <xf numFmtId="0" fontId="236" fillId="233" borderId="230" xfId="0" applyFont="1" applyFill="1" applyBorder="1"/>
    <xf numFmtId="0" fontId="237" fillId="234" borderId="231" xfId="0" applyFont="1" applyFill="1" applyBorder="1"/>
    <xf numFmtId="0" fontId="238" fillId="235" borderId="232" xfId="0" applyFont="1" applyFill="1" applyBorder="1"/>
    <xf numFmtId="0" fontId="239" fillId="236" borderId="233" xfId="0" applyFont="1" applyFill="1" applyBorder="1"/>
    <xf numFmtId="0" fontId="240" fillId="237" borderId="234" xfId="0" applyFont="1" applyFill="1" applyBorder="1"/>
    <xf numFmtId="0" fontId="241" fillId="238" borderId="235" xfId="0" applyFont="1" applyFill="1" applyBorder="1"/>
    <xf numFmtId="0" fontId="242" fillId="239" borderId="236" xfId="0" applyFont="1" applyFill="1" applyBorder="1"/>
    <xf numFmtId="0" fontId="251" fillId="248" borderId="245" xfId="0" applyFont="1" applyFill="1" applyBorder="1"/>
    <xf numFmtId="0" fontId="252" fillId="249" borderId="246" xfId="0" applyFont="1" applyFill="1" applyBorder="1"/>
    <xf numFmtId="0" fontId="253" fillId="250" borderId="247" xfId="0" applyFont="1" applyFill="1" applyBorder="1"/>
    <xf numFmtId="0" fontId="254" fillId="251" borderId="248" xfId="0" applyFont="1" applyFill="1" applyBorder="1"/>
    <xf numFmtId="0" fontId="255" fillId="252" borderId="249" xfId="0" applyFont="1" applyFill="1" applyBorder="1"/>
    <xf numFmtId="0" fontId="256" fillId="253" borderId="250" xfId="0" applyFont="1" applyFill="1" applyBorder="1"/>
    <xf numFmtId="0" fontId="257" fillId="254" borderId="251" xfId="0" applyFont="1" applyFill="1" applyBorder="1"/>
    <xf numFmtId="0" fontId="258" fillId="255" borderId="252" xfId="0" applyFont="1" applyFill="1" applyBorder="1"/>
    <xf numFmtId="0" fontId="259" fillId="256" borderId="253" xfId="0" applyFont="1" applyFill="1" applyBorder="1"/>
    <xf numFmtId="0" fontId="260" fillId="257" borderId="254" xfId="0" applyFont="1" applyFill="1" applyBorder="1"/>
    <xf numFmtId="0" fontId="261" fillId="258" borderId="255" xfId="0" applyFont="1" applyFill="1" applyBorder="1"/>
    <xf numFmtId="0" fontId="262" fillId="259" borderId="256" xfId="0" applyFont="1" applyFill="1" applyBorder="1"/>
    <xf numFmtId="0" fontId="263" fillId="260" borderId="257" xfId="0" applyFont="1" applyFill="1" applyBorder="1"/>
    <xf numFmtId="0" fontId="264" fillId="261" borderId="258" xfId="0" applyFont="1" applyFill="1" applyBorder="1"/>
    <xf numFmtId="0" fontId="265" fillId="262" borderId="259" xfId="0" applyFont="1" applyFill="1" applyBorder="1"/>
    <xf numFmtId="0" fontId="266" fillId="263" borderId="260" xfId="0" applyFont="1" applyFill="1" applyBorder="1"/>
    <xf numFmtId="0" fontId="267" fillId="264" borderId="261" xfId="0" applyFont="1" applyFill="1" applyBorder="1"/>
    <xf numFmtId="0" fontId="268" fillId="265" borderId="262" xfId="0" applyFont="1" applyFill="1" applyBorder="1"/>
    <xf numFmtId="0" fontId="269" fillId="266" borderId="263" xfId="0" applyFont="1" applyFill="1" applyBorder="1"/>
    <xf numFmtId="0" fontId="270" fillId="267" borderId="264" xfId="0" applyFont="1" applyFill="1" applyBorder="1"/>
    <xf numFmtId="0" fontId="271" fillId="268" borderId="265" xfId="0" applyFont="1" applyFill="1" applyBorder="1"/>
    <xf numFmtId="0" fontId="272" fillId="269" borderId="266" xfId="0" applyFont="1" applyFill="1" applyBorder="1"/>
    <xf numFmtId="0" fontId="273" fillId="270" borderId="267" xfId="0" applyFont="1" applyFill="1" applyBorder="1"/>
    <xf numFmtId="0" fontId="274" fillId="271" borderId="268" xfId="0" applyFont="1" applyFill="1" applyBorder="1"/>
    <xf numFmtId="0" fontId="275" fillId="272" borderId="269" xfId="0" applyFont="1" applyFill="1" applyBorder="1"/>
    <xf numFmtId="0" fontId="276" fillId="273" borderId="270" xfId="0" applyFont="1" applyFill="1" applyBorder="1"/>
    <xf numFmtId="0" fontId="277" fillId="274" borderId="271" xfId="0" applyFont="1" applyFill="1" applyBorder="1"/>
    <xf numFmtId="0" fontId="278" fillId="275" borderId="272" xfId="0" applyFont="1" applyFill="1" applyBorder="1"/>
    <xf numFmtId="0" fontId="279" fillId="276" borderId="273" xfId="0" applyFont="1" applyFill="1" applyBorder="1"/>
    <xf numFmtId="0" fontId="280" fillId="277" borderId="274" xfId="0" applyFont="1" applyFill="1" applyBorder="1"/>
    <xf numFmtId="0" fontId="281" fillId="278" borderId="275" xfId="0" applyFont="1" applyFill="1" applyBorder="1"/>
    <xf numFmtId="0" fontId="282" fillId="279" borderId="276" xfId="0" applyFont="1" applyFill="1" applyBorder="1"/>
    <xf numFmtId="0" fontId="283" fillId="280" borderId="277" xfId="0" applyFont="1" applyFill="1" applyBorder="1"/>
    <xf numFmtId="0" fontId="284" fillId="281" borderId="278" xfId="0" applyFont="1" applyFill="1" applyBorder="1"/>
    <xf numFmtId="0" fontId="285" fillId="282" borderId="279" xfId="0" applyFont="1" applyFill="1" applyBorder="1"/>
    <xf numFmtId="0" fontId="286" fillId="283" borderId="280" xfId="0" applyFont="1" applyFill="1" applyBorder="1"/>
    <xf numFmtId="0" fontId="287" fillId="284" borderId="281" xfId="0" applyFont="1" applyFill="1" applyBorder="1"/>
    <xf numFmtId="0" fontId="288" fillId="285" borderId="282" xfId="0" applyFont="1" applyFill="1" applyBorder="1"/>
    <xf numFmtId="0" fontId="289" fillId="286" borderId="283" xfId="0" applyFont="1" applyFill="1" applyBorder="1"/>
    <xf numFmtId="0" fontId="290" fillId="287" borderId="284" xfId="0" applyFont="1" applyFill="1" applyBorder="1"/>
    <xf numFmtId="0" fontId="291" fillId="288" borderId="285" xfId="0" applyFont="1" applyFill="1" applyBorder="1"/>
    <xf numFmtId="0" fontId="292" fillId="289" borderId="286" xfId="0" applyFont="1" applyFill="1" applyBorder="1"/>
    <xf numFmtId="0" fontId="293" fillId="290" borderId="287" xfId="0" applyFont="1" applyFill="1" applyBorder="1"/>
    <xf numFmtId="0" fontId="294" fillId="291" borderId="288" xfId="0" applyFont="1" applyFill="1" applyBorder="1"/>
    <xf numFmtId="0" fontId="295" fillId="292" borderId="289" xfId="0" applyFont="1" applyFill="1" applyBorder="1"/>
    <xf numFmtId="0" fontId="296" fillId="293" borderId="290" xfId="0" applyFont="1" applyFill="1" applyBorder="1"/>
    <xf numFmtId="0" fontId="297" fillId="294" borderId="291" xfId="0" applyFont="1" applyFill="1" applyBorder="1"/>
    <xf numFmtId="0" fontId="298" fillId="295" borderId="292" xfId="0" applyFont="1" applyFill="1" applyBorder="1"/>
    <xf numFmtId="0" fontId="299" fillId="296" borderId="293" xfId="0" applyFont="1" applyFill="1" applyBorder="1"/>
    <xf numFmtId="0" fontId="300" fillId="297" borderId="294" xfId="0" applyFont="1" applyFill="1" applyBorder="1"/>
    <xf numFmtId="0" fontId="301" fillId="298" borderId="295" xfId="0" applyFont="1" applyFill="1" applyBorder="1"/>
    <xf numFmtId="0" fontId="302" fillId="299" borderId="296" xfId="0" applyFont="1" applyFill="1" applyBorder="1"/>
    <xf numFmtId="0" fontId="303" fillId="300" borderId="297" xfId="0" applyFont="1" applyFill="1" applyBorder="1"/>
    <xf numFmtId="0" fontId="304" fillId="301" borderId="298" xfId="0" applyFont="1" applyFill="1" applyBorder="1"/>
    <xf numFmtId="0" fontId="305" fillId="302" borderId="299" xfId="0" applyFont="1" applyFill="1" applyBorder="1"/>
    <xf numFmtId="0" fontId="306" fillId="303" borderId="300" xfId="0" applyFont="1" applyFill="1" applyBorder="1"/>
    <xf numFmtId="0" fontId="307" fillId="304" borderId="301" xfId="0" applyFont="1" applyFill="1" applyBorder="1"/>
    <xf numFmtId="0" fontId="308" fillId="305" borderId="302" xfId="0" applyFont="1" applyFill="1" applyBorder="1"/>
    <xf numFmtId="0" fontId="309" fillId="306" borderId="303" xfId="0" applyFont="1" applyFill="1" applyBorder="1"/>
    <xf numFmtId="0" fontId="310" fillId="307" borderId="304" xfId="0" applyFont="1" applyFill="1" applyBorder="1"/>
    <xf numFmtId="0" fontId="311" fillId="308" borderId="305" xfId="0" applyFont="1" applyFill="1" applyBorder="1"/>
    <xf numFmtId="0" fontId="312" fillId="309" borderId="306" xfId="0" applyFont="1" applyFill="1" applyBorder="1"/>
    <xf numFmtId="0" fontId="313" fillId="310" borderId="307" xfId="0" applyFont="1" applyFill="1" applyBorder="1"/>
    <xf numFmtId="0" fontId="314" fillId="311" borderId="308" xfId="0" applyFont="1" applyFill="1" applyBorder="1"/>
    <xf numFmtId="0" fontId="315" fillId="312" borderId="309" xfId="0" applyFont="1" applyFill="1" applyBorder="1"/>
    <xf numFmtId="0" fontId="316" fillId="313" borderId="310" xfId="0" applyFont="1" applyFill="1" applyBorder="1"/>
    <xf numFmtId="0" fontId="317" fillId="314" borderId="311" xfId="0" applyFont="1" applyFill="1" applyBorder="1"/>
    <xf numFmtId="0" fontId="318" fillId="315" borderId="312" xfId="0" applyFont="1" applyFill="1" applyBorder="1"/>
    <xf numFmtId="0" fontId="319" fillId="316" borderId="313" xfId="0" applyFont="1" applyFill="1" applyBorder="1"/>
    <xf numFmtId="0" fontId="320" fillId="317" borderId="314" xfId="0" applyFont="1" applyFill="1" applyBorder="1"/>
    <xf numFmtId="0" fontId="321" fillId="318" borderId="315" xfId="0" applyFont="1" applyFill="1" applyBorder="1"/>
    <xf numFmtId="0" fontId="322" fillId="319" borderId="316" xfId="0" applyFont="1" applyFill="1" applyBorder="1"/>
    <xf numFmtId="0" fontId="323" fillId="320" borderId="317" xfId="0" applyFont="1" applyFill="1" applyBorder="1"/>
    <xf numFmtId="0" fontId="324" fillId="321" borderId="318" xfId="0" applyFont="1" applyFill="1" applyBorder="1"/>
    <xf numFmtId="166" fontId="325" fillId="322" borderId="319" xfId="0" applyNumberFormat="1" applyFont="1" applyFill="1" applyBorder="1"/>
    <xf numFmtId="166" fontId="326" fillId="323" borderId="320" xfId="0" applyNumberFormat="1" applyFont="1" applyFill="1" applyBorder="1"/>
    <xf numFmtId="166" fontId="327" fillId="324" borderId="321" xfId="0" applyNumberFormat="1" applyFont="1" applyFill="1" applyBorder="1"/>
    <xf numFmtId="166" fontId="328" fillId="325" borderId="322" xfId="0" applyNumberFormat="1" applyFont="1" applyFill="1" applyBorder="1"/>
    <xf numFmtId="166" fontId="329" fillId="326" borderId="323" xfId="0" applyNumberFormat="1" applyFont="1" applyFill="1" applyBorder="1"/>
    <xf numFmtId="166" fontId="330" fillId="327" borderId="324" xfId="0" applyNumberFormat="1" applyFont="1" applyFill="1" applyBorder="1"/>
    <xf numFmtId="166" fontId="331" fillId="328" borderId="325" xfId="0" applyNumberFormat="1" applyFont="1" applyFill="1" applyBorder="1"/>
    <xf numFmtId="166" fontId="332" fillId="329" borderId="326" xfId="0" applyNumberFormat="1" applyFont="1" applyFill="1" applyBorder="1"/>
    <xf numFmtId="166" fontId="333" fillId="330" borderId="327" xfId="0" applyNumberFormat="1" applyFont="1" applyFill="1" applyBorder="1"/>
    <xf numFmtId="166" fontId="334" fillId="331" borderId="328" xfId="0" applyNumberFormat="1" applyFont="1" applyFill="1" applyBorder="1"/>
    <xf numFmtId="166" fontId="335" fillId="332" borderId="329" xfId="0" applyNumberFormat="1" applyFont="1" applyFill="1" applyBorder="1"/>
    <xf numFmtId="166" fontId="336" fillId="333" borderId="330" xfId="0" applyNumberFormat="1" applyFont="1" applyFill="1" applyBorder="1"/>
    <xf numFmtId="166" fontId="337" fillId="334" borderId="331" xfId="0" applyNumberFormat="1" applyFont="1" applyFill="1" applyBorder="1"/>
    <xf numFmtId="166" fontId="338" fillId="335" borderId="332" xfId="0" applyNumberFormat="1" applyFont="1" applyFill="1" applyBorder="1"/>
    <xf numFmtId="166" fontId="339" fillId="336" borderId="333" xfId="0" applyNumberFormat="1" applyFont="1" applyFill="1" applyBorder="1"/>
    <xf numFmtId="166" fontId="340" fillId="337" borderId="334" xfId="0" applyNumberFormat="1" applyFont="1" applyFill="1" applyBorder="1"/>
    <xf numFmtId="166" fontId="341" fillId="338" borderId="335" xfId="0" applyNumberFormat="1" applyFont="1" applyFill="1" applyBorder="1"/>
    <xf numFmtId="166" fontId="342" fillId="339" borderId="336" xfId="0" applyNumberFormat="1" applyFont="1" applyFill="1" applyBorder="1"/>
    <xf numFmtId="166" fontId="343" fillId="340" borderId="337" xfId="0" applyNumberFormat="1" applyFont="1" applyFill="1" applyBorder="1"/>
    <xf numFmtId="166" fontId="344" fillId="341" borderId="338" xfId="0" applyNumberFormat="1" applyFont="1" applyFill="1" applyBorder="1"/>
    <xf numFmtId="166" fontId="345" fillId="342" borderId="339" xfId="0" applyNumberFormat="1" applyFont="1" applyFill="1" applyBorder="1"/>
    <xf numFmtId="166" fontId="346" fillId="343" borderId="340" xfId="0" applyNumberFormat="1" applyFont="1" applyFill="1" applyBorder="1"/>
    <xf numFmtId="166" fontId="347" fillId="344" borderId="341" xfId="0" applyNumberFormat="1" applyFont="1" applyFill="1" applyBorder="1"/>
    <xf numFmtId="166" fontId="348" fillId="345" borderId="342" xfId="0" applyNumberFormat="1" applyFont="1" applyFill="1" applyBorder="1"/>
    <xf numFmtId="166" fontId="349" fillId="346" borderId="343" xfId="0" applyNumberFormat="1" applyFont="1" applyFill="1" applyBorder="1"/>
    <xf numFmtId="166" fontId="350" fillId="347" borderId="344" xfId="0" applyNumberFormat="1" applyFont="1" applyFill="1" applyBorder="1"/>
    <xf numFmtId="166" fontId="351" fillId="348" borderId="345" xfId="0" applyNumberFormat="1" applyFont="1" applyFill="1" applyBorder="1"/>
    <xf numFmtId="166" fontId="352" fillId="349" borderId="346" xfId="0" applyNumberFormat="1" applyFont="1" applyFill="1" applyBorder="1"/>
    <xf numFmtId="166" fontId="353" fillId="350" borderId="347" xfId="0" applyNumberFormat="1" applyFont="1" applyFill="1" applyBorder="1"/>
    <xf numFmtId="166" fontId="354" fillId="351" borderId="348" xfId="0" applyNumberFormat="1" applyFont="1" applyFill="1" applyBorder="1"/>
    <xf numFmtId="0" fontId="355" fillId="352" borderId="349" xfId="0" applyFont="1" applyFill="1" applyBorder="1"/>
    <xf numFmtId="0" fontId="356" fillId="353" borderId="350" xfId="0" applyFont="1" applyFill="1" applyBorder="1"/>
    <xf numFmtId="0" fontId="357" fillId="354" borderId="351" xfId="0" applyFont="1" applyFill="1" applyBorder="1"/>
    <xf numFmtId="0" fontId="358" fillId="355" borderId="352" xfId="0" applyFont="1" applyFill="1" applyBorder="1"/>
    <xf numFmtId="0" fontId="359" fillId="356" borderId="353" xfId="0" applyFont="1" applyFill="1" applyBorder="1"/>
    <xf numFmtId="0" fontId="360" fillId="357" borderId="354" xfId="0" applyFont="1" applyFill="1" applyBorder="1"/>
    <xf numFmtId="0" fontId="361" fillId="358" borderId="355" xfId="0" applyFont="1" applyFill="1" applyBorder="1"/>
    <xf numFmtId="0" fontId="362" fillId="359" borderId="356" xfId="0" applyFont="1" applyFill="1" applyBorder="1"/>
    <xf numFmtId="0" fontId="363" fillId="360" borderId="357" xfId="0" applyFont="1" applyFill="1" applyBorder="1"/>
    <xf numFmtId="0" fontId="364" fillId="361" borderId="358" xfId="0" applyFont="1" applyFill="1" applyBorder="1"/>
    <xf numFmtId="0" fontId="365" fillId="362" borderId="359" xfId="0" applyFont="1" applyFill="1" applyBorder="1"/>
    <xf numFmtId="0" fontId="366" fillId="363" borderId="360" xfId="0" applyFont="1" applyFill="1" applyBorder="1"/>
    <xf numFmtId="0" fontId="367" fillId="364" borderId="361" xfId="0" applyFont="1" applyFill="1" applyBorder="1"/>
    <xf numFmtId="0" fontId="368" fillId="365" borderId="362" xfId="0" applyFont="1" applyFill="1" applyBorder="1"/>
    <xf numFmtId="0" fontId="369" fillId="366" borderId="363" xfId="0" applyFont="1" applyFill="1" applyBorder="1"/>
    <xf numFmtId="0" fontId="370" fillId="367" borderId="364" xfId="0" applyFont="1" applyFill="1" applyBorder="1"/>
    <xf numFmtId="0" fontId="371" fillId="368" borderId="365" xfId="0" applyFont="1" applyFill="1" applyBorder="1"/>
    <xf numFmtId="0" fontId="372" fillId="369" borderId="366" xfId="0" applyFont="1" applyFill="1" applyBorder="1"/>
    <xf numFmtId="0" fontId="373" fillId="370" borderId="367" xfId="0" applyFont="1" applyFill="1" applyBorder="1"/>
    <xf numFmtId="0" fontId="374" fillId="371" borderId="368" xfId="0" applyFont="1" applyFill="1" applyBorder="1"/>
    <xf numFmtId="0" fontId="375" fillId="372" borderId="369" xfId="0" applyFont="1" applyFill="1" applyBorder="1"/>
    <xf numFmtId="0" fontId="376" fillId="373" borderId="370" xfId="0" applyFont="1" applyFill="1" applyBorder="1"/>
    <xf numFmtId="0" fontId="377" fillId="374" borderId="371" xfId="0" applyFont="1" applyFill="1" applyBorder="1"/>
    <xf numFmtId="0" fontId="378" fillId="375" borderId="372" xfId="0" applyFont="1" applyFill="1" applyBorder="1"/>
    <xf numFmtId="0" fontId="379" fillId="376" borderId="373" xfId="0" applyFont="1" applyFill="1" applyBorder="1"/>
    <xf numFmtId="0" fontId="380" fillId="377" borderId="374" xfId="0" applyFont="1" applyFill="1" applyBorder="1"/>
    <xf numFmtId="0" fontId="381" fillId="378" borderId="375" xfId="0" applyFont="1" applyFill="1" applyBorder="1"/>
    <xf numFmtId="0" fontId="382" fillId="379" borderId="376" xfId="0" applyFont="1" applyFill="1" applyBorder="1"/>
    <xf numFmtId="0" fontId="383" fillId="380" borderId="377" xfId="0" applyFont="1" applyFill="1" applyBorder="1"/>
    <xf numFmtId="0" fontId="384" fillId="381" borderId="378" xfId="0" applyFont="1" applyFill="1" applyBorder="1"/>
    <xf numFmtId="0" fontId="385" fillId="382" borderId="379" xfId="0" applyFont="1" applyFill="1" applyBorder="1"/>
    <xf numFmtId="0" fontId="386" fillId="383" borderId="380" xfId="0" applyFont="1" applyFill="1" applyBorder="1"/>
    <xf numFmtId="0" fontId="387" fillId="384" borderId="381" xfId="0" applyFont="1" applyFill="1" applyBorder="1"/>
    <xf numFmtId="0" fontId="388" fillId="385" borderId="382" xfId="0" applyFont="1" applyFill="1" applyBorder="1"/>
    <xf numFmtId="0" fontId="389" fillId="386" borderId="383" xfId="0" applyFont="1" applyFill="1" applyBorder="1"/>
    <xf numFmtId="0" fontId="390" fillId="387" borderId="384" xfId="0" applyFont="1" applyFill="1" applyBorder="1"/>
    <xf numFmtId="0" fontId="391" fillId="388" borderId="385" xfId="0" applyFont="1" applyFill="1" applyBorder="1"/>
    <xf numFmtId="0" fontId="392" fillId="389" borderId="386" xfId="0" applyFont="1" applyFill="1" applyBorder="1"/>
    <xf numFmtId="2" fontId="0" fillId="0" borderId="0" xfId="0" applyNumberFormat="1"/>
    <xf numFmtId="0" fontId="8" fillId="5" borderId="2" xfId="0" applyFont="1" applyFill="1" applyBorder="1" applyAlignment="1">
      <alignment horizontal="center" vertical="center"/>
    </xf>
    <xf numFmtId="0" fontId="154" fillId="151" borderId="148" xfId="0" applyFont="1" applyFill="1" applyBorder="1"/>
    <xf numFmtId="0" fontId="155" fillId="152" borderId="149" xfId="0" applyFont="1" applyFill="1" applyBorder="1"/>
    <xf numFmtId="0" fontId="156" fillId="153" borderId="150" xfId="0" applyFont="1" applyFill="1" applyBorder="1"/>
    <xf numFmtId="0" fontId="157" fillId="154" borderId="151" xfId="0" applyFont="1" applyFill="1" applyBorder="1"/>
    <xf numFmtId="0" fontId="158" fillId="155" borderId="152" xfId="0" applyFont="1" applyFill="1" applyBorder="1"/>
    <xf numFmtId="0" fontId="159" fillId="156" borderId="153" xfId="0" applyFont="1" applyFill="1" applyBorder="1"/>
    <xf numFmtId="0" fontId="160" fillId="157" borderId="154" xfId="0" applyFont="1" applyFill="1" applyBorder="1"/>
    <xf numFmtId="0" fontId="161" fillId="158" borderId="155" xfId="0" applyFont="1" applyFill="1" applyBorder="1"/>
    <xf numFmtId="0" fontId="9" fillId="6" borderId="3" xfId="0" applyFont="1" applyFill="1" applyBorder="1" applyAlignment="1">
      <alignment vertical="center"/>
    </xf>
    <xf numFmtId="0" fontId="171" fillId="168" borderId="165" xfId="0" applyFont="1" applyFill="1" applyBorder="1"/>
    <xf numFmtId="0" fontId="172" fillId="169" borderId="166" xfId="0" applyFont="1" applyFill="1" applyBorder="1"/>
    <xf numFmtId="0" fontId="173" fillId="170" borderId="167" xfId="0" applyFont="1" applyFill="1" applyBorder="1"/>
    <xf numFmtId="0" fontId="174" fillId="171" borderId="168" xfId="0" applyFont="1" applyFill="1" applyBorder="1"/>
    <xf numFmtId="0" fontId="175" fillId="172" borderId="169" xfId="0" applyFont="1" applyFill="1" applyBorder="1"/>
    <xf numFmtId="0" fontId="176" fillId="173" borderId="170" xfId="0" applyFont="1" applyFill="1" applyBorder="1"/>
    <xf numFmtId="0" fontId="177" fillId="174" borderId="171" xfId="0" applyFont="1" applyFill="1" applyBorder="1"/>
    <xf numFmtId="0" fontId="178" fillId="175" borderId="172" xfId="0" applyFont="1" applyFill="1" applyBorder="1"/>
    <xf numFmtId="0" fontId="16" fillId="13" borderId="10" xfId="0" applyFont="1" applyFill="1" applyBorder="1" applyAlignment="1">
      <alignment vertical="center"/>
    </xf>
    <xf numFmtId="0" fontId="209" fillId="206" borderId="203" xfId="0" applyFont="1" applyFill="1" applyBorder="1"/>
    <xf numFmtId="0" fontId="210" fillId="207" borderId="204" xfId="0" applyFont="1" applyFill="1" applyBorder="1"/>
    <xf numFmtId="0" fontId="211" fillId="208" borderId="205" xfId="0" applyFont="1" applyFill="1" applyBorder="1"/>
    <xf numFmtId="0" fontId="212" fillId="209" borderId="206" xfId="0" applyFont="1" applyFill="1" applyBorder="1"/>
    <xf numFmtId="0" fontId="213" fillId="210" borderId="207" xfId="0" applyFont="1" applyFill="1" applyBorder="1"/>
    <xf numFmtId="0" fontId="214" fillId="211" borderId="208" xfId="0" applyFont="1" applyFill="1" applyBorder="1"/>
    <xf numFmtId="0" fontId="215" fillId="212" borderId="209" xfId="0" applyFont="1" applyFill="1" applyBorder="1"/>
    <xf numFmtId="0" fontId="216" fillId="213" borderId="210" xfId="0" applyFont="1" applyFill="1" applyBorder="1"/>
    <xf numFmtId="0" fontId="81" fillId="78" borderId="75" xfId="0" applyFont="1" applyFill="1" applyBorder="1" applyAlignment="1">
      <alignment vertical="center"/>
    </xf>
    <xf numFmtId="0" fontId="243" fillId="240" borderId="237" xfId="0" applyFont="1" applyFill="1" applyBorder="1"/>
    <xf numFmtId="0" fontId="244" fillId="241" borderId="238" xfId="0" applyFont="1" applyFill="1" applyBorder="1"/>
    <xf numFmtId="0" fontId="245" fillId="242" borderId="239" xfId="0" applyFont="1" applyFill="1" applyBorder="1"/>
    <xf numFmtId="0" fontId="246" fillId="243" borderId="240" xfId="0" applyFont="1" applyFill="1" applyBorder="1"/>
    <xf numFmtId="0" fontId="247" fillId="244" borderId="241" xfId="0" applyFont="1" applyFill="1" applyBorder="1"/>
    <xf numFmtId="0" fontId="248" fillId="245" borderId="242" xfId="0" applyFont="1" applyFill="1" applyBorder="1"/>
    <xf numFmtId="0" fontId="249" fillId="246" borderId="243" xfId="0" applyFont="1" applyFill="1" applyBorder="1"/>
    <xf numFmtId="0" fontId="250" fillId="247" borderId="244" xfId="0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NumberFormat="1"/>
    <xf numFmtId="0" fontId="393" fillId="390" borderId="387" xfId="0" applyFont="1" applyFill="1" applyBorder="1"/>
    <xf numFmtId="0" fontId="394" fillId="391" borderId="388" xfId="0" applyFont="1" applyFill="1" applyBorder="1"/>
    <xf numFmtId="167" fontId="395" fillId="392" borderId="389" xfId="0" applyNumberFormat="1" applyFont="1" applyFill="1" applyBorder="1"/>
    <xf numFmtId="167" fontId="396" fillId="393" borderId="390" xfId="0" applyNumberFormat="1" applyFont="1" applyFill="1" applyBorder="1"/>
    <xf numFmtId="167" fontId="397" fillId="394" borderId="391" xfId="0" applyNumberFormat="1" applyFont="1" applyFill="1" applyBorder="1"/>
    <xf numFmtId="167" fontId="398" fillId="395" borderId="392" xfId="0" applyNumberFormat="1" applyFont="1" applyFill="1" applyBorder="1"/>
    <xf numFmtId="167" fontId="399" fillId="396" borderId="393" xfId="0" applyNumberFormat="1" applyFont="1" applyFill="1" applyBorder="1"/>
    <xf numFmtId="167" fontId="400" fillId="397" borderId="394" xfId="0" applyNumberFormat="1" applyFont="1" applyFill="1" applyBorder="1"/>
    <xf numFmtId="167" fontId="401" fillId="398" borderId="395" xfId="0" applyNumberFormat="1" applyFont="1" applyFill="1" applyBorder="1"/>
    <xf numFmtId="167" fontId="402" fillId="399" borderId="396" xfId="0" applyNumberFormat="1" applyFont="1" applyFill="1" applyBorder="1"/>
    <xf numFmtId="167" fontId="403" fillId="400" borderId="397" xfId="0" applyNumberFormat="1" applyFont="1" applyFill="1" applyBorder="1"/>
    <xf numFmtId="167" fontId="404" fillId="401" borderId="398" xfId="0" applyNumberFormat="1" applyFont="1" applyFill="1" applyBorder="1"/>
    <xf numFmtId="167" fontId="405" fillId="402" borderId="399" xfId="0" applyNumberFormat="1" applyFont="1" applyFill="1" applyBorder="1"/>
    <xf numFmtId="167" fontId="406" fillId="403" borderId="400" xfId="0" applyNumberFormat="1" applyFont="1" applyFill="1" applyBorder="1"/>
    <xf numFmtId="167" fontId="407" fillId="404" borderId="401" xfId="0" applyNumberFormat="1" applyFont="1" applyFill="1" applyBorder="1"/>
    <xf numFmtId="167" fontId="408" fillId="405" borderId="402" xfId="0" applyNumberFormat="1" applyFont="1" applyFill="1" applyBorder="1"/>
    <xf numFmtId="167" fontId="409" fillId="406" borderId="403" xfId="0" applyNumberFormat="1" applyFont="1" applyFill="1" applyBorder="1"/>
    <xf numFmtId="167" fontId="410" fillId="407" borderId="404" xfId="0" applyNumberFormat="1" applyFont="1" applyFill="1" applyBorder="1"/>
    <xf numFmtId="167" fontId="411" fillId="408" borderId="405" xfId="0" applyNumberFormat="1" applyFont="1" applyFill="1" applyBorder="1"/>
    <xf numFmtId="167" fontId="412" fillId="409" borderId="406" xfId="0" applyNumberFormat="1" applyFont="1" applyFill="1" applyBorder="1"/>
    <xf numFmtId="167" fontId="413" fillId="410" borderId="407" xfId="0" applyNumberFormat="1" applyFont="1" applyFill="1" applyBorder="1"/>
    <xf numFmtId="167" fontId="414" fillId="411" borderId="408" xfId="0" applyNumberFormat="1" applyFont="1" applyFill="1" applyBorder="1"/>
    <xf numFmtId="167" fontId="415" fillId="412" borderId="409" xfId="0" applyNumberFormat="1" applyFont="1" applyFill="1" applyBorder="1"/>
    <xf numFmtId="167" fontId="416" fillId="413" borderId="410" xfId="0" applyNumberFormat="1" applyFont="1" applyFill="1" applyBorder="1"/>
    <xf numFmtId="167" fontId="417" fillId="414" borderId="411" xfId="0" applyNumberFormat="1" applyFont="1" applyFill="1" applyBorder="1"/>
    <xf numFmtId="167" fontId="418" fillId="415" borderId="412" xfId="0" applyNumberFormat="1" applyFont="1" applyFill="1" applyBorder="1"/>
    <xf numFmtId="167" fontId="419" fillId="416" borderId="413" xfId="0" applyNumberFormat="1" applyFont="1" applyFill="1" applyBorder="1"/>
    <xf numFmtId="167" fontId="420" fillId="417" borderId="414" xfId="0" applyNumberFormat="1" applyFont="1" applyFill="1" applyBorder="1"/>
    <xf numFmtId="167" fontId="421" fillId="418" borderId="415" xfId="0" applyNumberFormat="1" applyFont="1" applyFill="1" applyBorder="1"/>
    <xf numFmtId="167" fontId="422" fillId="419" borderId="416" xfId="0" applyNumberFormat="1" applyFont="1" applyFill="1" applyBorder="1"/>
    <xf numFmtId="167" fontId="423" fillId="420" borderId="417" xfId="0" applyNumberFormat="1" applyFont="1" applyFill="1" applyBorder="1"/>
    <xf numFmtId="167" fontId="424" fillId="421" borderId="418" xfId="0" applyNumberFormat="1" applyFont="1" applyFill="1" applyBorder="1"/>
    <xf numFmtId="0" fontId="425" fillId="422" borderId="419" xfId="0" applyFont="1" applyFill="1" applyBorder="1"/>
    <xf numFmtId="0" fontId="426" fillId="423" borderId="420" xfId="0" applyFont="1" applyFill="1" applyBorder="1"/>
    <xf numFmtId="0" fontId="427" fillId="424" borderId="421" xfId="0" applyFont="1" applyFill="1" applyBorder="1"/>
    <xf numFmtId="0" fontId="428" fillId="425" borderId="422" xfId="0" applyFont="1" applyFill="1" applyBorder="1"/>
    <xf numFmtId="0" fontId="429" fillId="426" borderId="423" xfId="0" applyFont="1" applyFill="1" applyBorder="1"/>
    <xf numFmtId="0" fontId="430" fillId="427" borderId="424" xfId="0" applyFont="1" applyFill="1" applyBorder="1"/>
    <xf numFmtId="0" fontId="431" fillId="428" borderId="425" xfId="0" applyFont="1" applyFill="1" applyBorder="1"/>
    <xf numFmtId="0" fontId="432" fillId="429" borderId="426" xfId="0" applyFont="1" applyFill="1" applyBorder="1"/>
    <xf numFmtId="0" fontId="433" fillId="430" borderId="427" xfId="0" applyFont="1" applyFill="1" applyBorder="1"/>
    <xf numFmtId="0" fontId="434" fillId="431" borderId="428" xfId="0" applyFont="1" applyFill="1" applyBorder="1"/>
    <xf numFmtId="0" fontId="435" fillId="432" borderId="429" xfId="0" applyFont="1" applyFill="1" applyBorder="1"/>
    <xf numFmtId="0" fontId="436" fillId="433" borderId="430" xfId="0" applyFont="1" applyFill="1" applyBorder="1"/>
    <xf numFmtId="0" fontId="437" fillId="434" borderId="431" xfId="0" applyFont="1" applyFill="1" applyBorder="1"/>
    <xf numFmtId="0" fontId="438" fillId="435" borderId="432" xfId="0" applyFont="1" applyFill="1" applyBorder="1"/>
    <xf numFmtId="0" fontId="439" fillId="436" borderId="433" xfId="0" applyFont="1" applyFill="1" applyBorder="1"/>
    <xf numFmtId="0" fontId="440" fillId="437" borderId="434" xfId="0" applyFont="1" applyFill="1" applyBorder="1"/>
    <xf numFmtId="0" fontId="441" fillId="438" borderId="435" xfId="0" applyFont="1" applyFill="1" applyBorder="1"/>
    <xf numFmtId="0" fontId="442" fillId="439" borderId="436" xfId="0" applyFont="1" applyFill="1" applyBorder="1"/>
    <xf numFmtId="0" fontId="443" fillId="440" borderId="437" xfId="0" applyFont="1" applyFill="1" applyBorder="1"/>
    <xf numFmtId="0" fontId="444" fillId="441" borderId="438" xfId="0" applyFont="1" applyFill="1" applyBorder="1"/>
    <xf numFmtId="0" fontId="445" fillId="442" borderId="439" xfId="0" applyFont="1" applyFill="1" applyBorder="1"/>
    <xf numFmtId="0" fontId="446" fillId="443" borderId="440" xfId="0" applyFont="1" applyFill="1" applyBorder="1"/>
    <xf numFmtId="0" fontId="447" fillId="444" borderId="441" xfId="0" applyFont="1" applyFill="1" applyBorder="1"/>
    <xf numFmtId="0" fontId="448" fillId="445" borderId="442" xfId="0" applyFont="1" applyFill="1" applyBorder="1"/>
    <xf numFmtId="0" fontId="449" fillId="446" borderId="443" xfId="0" applyFont="1" applyFill="1" applyBorder="1"/>
    <xf numFmtId="0" fontId="450" fillId="447" borderId="444" xfId="0" applyFont="1" applyFill="1" applyBorder="1"/>
    <xf numFmtId="0" fontId="451" fillId="448" borderId="445" xfId="0" applyFont="1" applyFill="1" applyBorder="1"/>
    <xf numFmtId="0" fontId="452" fillId="449" borderId="446" xfId="0" applyFont="1" applyFill="1" applyBorder="1"/>
    <xf numFmtId="0" fontId="453" fillId="450" borderId="447" xfId="0" applyFont="1" applyFill="1" applyBorder="1"/>
    <xf numFmtId="0" fontId="454" fillId="451" borderId="448" xfId="0" applyFont="1" applyFill="1" applyBorder="1"/>
    <xf numFmtId="0" fontId="455" fillId="452" borderId="449" xfId="0" applyFont="1" applyFill="1" applyBorder="1"/>
    <xf numFmtId="0" fontId="456" fillId="453" borderId="450" xfId="0" applyFont="1" applyFill="1" applyBorder="1"/>
    <xf numFmtId="0" fontId="457" fillId="454" borderId="451" xfId="0" applyFont="1" applyFill="1" applyBorder="1"/>
    <xf numFmtId="0" fontId="458" fillId="455" borderId="452" xfId="0" applyFont="1" applyFill="1" applyBorder="1"/>
    <xf numFmtId="0" fontId="459" fillId="456" borderId="453" xfId="0" applyFont="1" applyFill="1" applyBorder="1"/>
    <xf numFmtId="0" fontId="460" fillId="457" borderId="454" xfId="0" applyFont="1" applyFill="1" applyBorder="1"/>
    <xf numFmtId="0" fontId="461" fillId="458" borderId="455" xfId="0" applyFont="1" applyFill="1" applyBorder="1"/>
    <xf numFmtId="0" fontId="462" fillId="459" borderId="456" xfId="0" applyFont="1" applyFill="1" applyBorder="1"/>
    <xf fontId="463" fillId="460" borderId="457" applyFont="1" applyFill="1" applyBorder="1"/>
    <xf fontId="464" fillId="461" borderId="458" applyFont="1" applyFill="1" applyBorder="1"/>
    <xf fontId="465" fillId="462" borderId="459" applyFont="1" applyFill="1" applyBorder="1"/>
    <xf fontId="466" fillId="463" borderId="460" applyFont="1" applyFill="1" applyBorder="1"/>
    <xf fontId="467" fillId="464" borderId="461" applyFont="1" applyFill="1" applyBorder="1"/>
    <xf fontId="468" fillId="465" borderId="462" applyFont="1" applyFill="1" applyBorder="1"/>
    <xf fontId="469" fillId="466" borderId="463" applyFont="1" applyFill="1" applyBorder="1"/>
    <xf fontId="470" fillId="467" borderId="464" applyFont="1" applyFill="1" applyBorder="1"/>
    <xf fontId="471" fillId="468" borderId="465" applyFont="1" applyFill="1" applyBorder="1"/>
    <xf fontId="472" fillId="469" borderId="466" applyFont="1" applyFill="1" applyBorder="1"/>
    <xf fontId="473" fillId="470" borderId="467" applyFont="1" applyFill="1" applyBorder="1"/>
    <xf fontId="474" fillId="471" borderId="468" applyFont="1" applyFill="1" applyBorder="1"/>
    <xf fontId="475" fillId="472" borderId="469" applyFont="1" applyFill="1" applyBorder="1"/>
    <xf fontId="476" fillId="473" borderId="470" applyFont="1" applyFill="1" applyBorder="1"/>
    <xf fontId="477" fillId="474" borderId="471" applyFont="1" applyFill="1" applyBorder="1"/>
    <xf fontId="478" fillId="475" borderId="472" applyFont="1" applyFill="1" applyBorder="1"/>
    <xf fontId="479" fillId="476" borderId="473" applyFont="1" applyFill="1" applyBorder="1"/>
    <xf fontId="480" fillId="477" borderId="474" applyFont="1" applyFill="1" applyBorder="1"/>
    <xf fontId="481" fillId="478" borderId="475" applyFont="1" applyFill="1" applyBorder="1"/>
    <xf fontId="482" fillId="479" borderId="476" applyFont="1" applyFill="1" applyBorder="1"/>
    <xf fontId="483" fillId="480" borderId="477" applyFont="1" applyFill="1" applyBorder="1"/>
    <xf fontId="484" fillId="481" borderId="478" applyFont="1" applyFill="1" applyBorder="1"/>
    <xf fontId="485" fillId="482" borderId="479" applyFont="1" applyFill="1" applyBorder="1"/>
    <xf fontId="486" fillId="483" borderId="480" applyFont="1" applyFill="1" applyBorder="1"/>
    <xf fontId="487" fillId="484" borderId="481" applyFont="1" applyFill="1" applyBorder="1"/>
    <xf fontId="488" fillId="485" borderId="482" applyFont="1" applyFill="1" applyBorder="1"/>
    <xf fontId="489" fillId="486" borderId="483" applyFont="1" applyFill="1" applyBorder="1"/>
    <xf fontId="490" fillId="487" borderId="484" applyFont="1" applyFill="1" applyBorder="1"/>
    <xf fontId="491" fillId="488" borderId="485" applyFont="1" applyFill="1" applyBorder="1"/>
    <xf fontId="492" fillId="489" borderId="486" applyFont="1" applyFill="1" applyBorder="1"/>
    <xf fontId="493" fillId="490" borderId="487" applyFont="1" applyFill="1" applyBorder="1"/>
    <xf fontId="494" fillId="491" borderId="488" applyFont="1" applyFill="1" applyBorder="1"/>
    <xf fontId="495" fillId="492" borderId="489" applyFont="1" applyFill="1" applyBorder="1"/>
    <xf fontId="496" fillId="493" borderId="490" applyFont="1" applyFill="1" applyBorder="1"/>
    <xf fontId="497" fillId="494" borderId="491" applyFont="1" applyFill="1" applyBorder="1"/>
    <xf fontId="498" fillId="495" borderId="492" applyFont="1" applyFill="1" applyBorder="1"/>
    <xf fontId="499" fillId="496" borderId="493" applyFont="1" applyFill="1" applyBorder="1"/>
    <xf fontId="500" fillId="497" borderId="494" applyFont="1" applyFill="1" applyBorder="1"/>
    <xf fontId="501" fillId="498" borderId="495" applyFont="1" applyFill="1" applyBorder="1"/>
    <xf fontId="502" fillId="499" borderId="496" applyFont="1" applyFill="1" applyBorder="1"/>
    <xf fontId="503" fillId="500" borderId="497" applyFont="1" applyFill="1" applyBorder="1"/>
    <xf fontId="504" fillId="501" borderId="498" applyFont="1" applyFill="1" applyBorder="1"/>
    <xf fontId="505" fillId="502" borderId="499" applyFont="1" applyFill="1" applyBorder="1"/>
    <xf fontId="506" fillId="503" borderId="500" applyFont="1" applyFill="1" applyBorder="1"/>
    <xf fontId="507" fillId="504" borderId="501" applyFont="1" applyFill="1" applyBorder="1"/>
    <xf fontId="508" fillId="505" borderId="502" applyFont="1" applyFill="1" applyBorder="1"/>
    <xf fontId="509" fillId="506" borderId="503" applyFont="1" applyFill="1" applyBorder="1"/>
    <xf fontId="510" fillId="507" borderId="504" applyFont="1" applyFill="1" applyBorder="1"/>
    <xf fontId="511" fillId="508" borderId="505" applyFont="1" applyFill="1" applyBorder="1"/>
    <xf fontId="512" fillId="509" borderId="506" applyFont="1" applyFill="1" applyBorder="1"/>
    <xf fontId="513" fillId="510" borderId="507" applyFont="1" applyFill="1" applyBorder="1"/>
    <xf fontId="514" fillId="511" borderId="508" applyFont="1" applyFill="1" applyBorder="1"/>
    <xf fontId="515" fillId="512" borderId="509" applyFont="1" applyFill="1" applyBorder="1"/>
    <xf fontId="516" fillId="513" borderId="510" applyFont="1" applyFill="1" applyBorder="1"/>
    <xf fontId="517" fillId="514" borderId="511" applyFont="1" applyFill="1" applyBorder="1"/>
    <xf fontId="518" fillId="515" borderId="512" applyFont="1" applyFill="1" applyBorder="1"/>
    <xf fontId="519" fillId="516" borderId="513" applyFont="1" applyFill="1" applyBorder="1"/>
    <xf fontId="520" fillId="517" borderId="514" applyFont="1" applyFill="1" applyBorder="1"/>
    <xf fontId="521" fillId="518" borderId="515" applyFont="1" applyFill="1" applyBorder="1"/>
    <xf fontId="522" fillId="519" borderId="516" applyFont="1" applyFill="1" applyBorder="1"/>
    <xf fontId="523" fillId="520" borderId="517" applyFont="1" applyFill="1" applyBorder="1"/>
    <xf fontId="524" fillId="521" borderId="518" applyFont="1" applyFill="1" applyBorder="1"/>
    <xf fontId="525" fillId="522" borderId="519" applyFont="1" applyFill="1" applyBorder="1"/>
    <xf fontId="526" fillId="523" borderId="520" applyFont="1" applyFill="1" applyBorder="1"/>
    <xf fontId="527" fillId="524" borderId="521" applyFont="1" applyFill="1" applyBorder="1"/>
    <xf fontId="528" fillId="525" borderId="522" applyFont="1" applyFill="1" applyBorder="1"/>
    <xf fontId="529" fillId="526" borderId="523" applyFont="1" applyFill="1" applyBorder="1"/>
    <xf fontId="530" fillId="527" borderId="524" applyFont="1" applyFill="1" applyBorder="1"/>
    <xf fontId="531" fillId="528" borderId="525" applyFont="1" applyFill="1" applyBorder="1"/>
    <xf fontId="532" fillId="529" borderId="526" applyFont="1" applyFill="1" applyBorder="1"/>
    <xf fontId="533" fillId="530" borderId="527" applyFont="1" applyFill="1" applyBorder="1"/>
    <xf fontId="534" fillId="531" borderId="528" applyFont="1" applyFill="1" applyBorder="1"/>
    <xf fontId="535" fillId="532" borderId="529" applyFont="1" applyFill="1" applyBorder="1"/>
    <xf fontId="536" fillId="533" borderId="530" applyFont="1" applyFill="1" applyBorder="1"/>
    <xf fontId="537" fillId="534" borderId="531" applyFont="1" applyFill="1" applyBorder="1"/>
    <xf fontId="538" fillId="535" borderId="532" applyFont="1" applyFill="1" applyBorder="1"/>
    <xf fontId="539" fillId="536" borderId="533" applyFont="1" applyFill="1" applyBorder="1"/>
    <xf fontId="540" fillId="537" borderId="534" applyFont="1" applyFill="1" applyBorder="1"/>
    <xf fontId="541" fillId="538" borderId="535" applyFont="1" applyFill="1" applyBorder="1"/>
    <xf fontId="542" fillId="539" borderId="536" applyFont="1" applyFill="1" applyBorder="1"/>
    <xf fontId="543" fillId="540" borderId="537" applyFont="1" applyFill="1" applyBorder="1"/>
    <xf fontId="544" fillId="541" borderId="538" applyFont="1" applyFill="1" applyBorder="1"/>
    <xf fontId="545" fillId="542" borderId="539" applyFont="1" applyFill="1" applyBorder="1"/>
    <xf fontId="546" fillId="543" borderId="540" applyFont="1" applyFill="1" applyBorder="1"/>
    <xf fontId="547" fillId="544" borderId="541" applyFont="1" applyFill="1" applyBorder="1"/>
    <xf fontId="548" fillId="545" borderId="542" applyFont="1" applyFill="1" applyBorder="1"/>
    <xf fontId="549" fillId="546" borderId="543" applyFont="1" applyFill="1" applyBorder="1"/>
    <xf fontId="550" fillId="547" borderId="544" applyFont="1" applyFill="1" applyBorder="1"/>
    <xf fontId="551" fillId="548" borderId="545" applyFont="1" applyFill="1" applyBorder="1"/>
    <xf fontId="552" fillId="549" borderId="546" applyFont="1" applyFill="1" applyBorder="1"/>
    <xf fontId="553" fillId="550" borderId="547" applyFont="1" applyFill="1" applyBorder="1"/>
    <xf fontId="554" fillId="551" borderId="548" applyFont="1" applyFill="1" applyBorder="1"/>
    <xf fontId="555" fillId="552" borderId="549" applyFont="1" applyFill="1" applyBorder="1"/>
    <xf fontId="556" fillId="553" borderId="550" applyFont="1" applyFill="1" applyBorder="1"/>
    <xf fontId="557" fillId="554" borderId="551" applyFont="1" applyFill="1" applyBorder="1"/>
    <xf fontId="558" fillId="555" borderId="552" applyFont="1" applyFill="1" applyBorder="1"/>
    <xf fontId="559" fillId="556" borderId="553" applyFont="1" applyFill="1" applyBorder="1"/>
    <xf fontId="560" fillId="557" borderId="554" applyFont="1" applyFill="1" applyBorder="1"/>
    <xf fontId="561" fillId="558" borderId="555" applyFont="1" applyFill="1" applyBorder="1"/>
    <xf fontId="562" fillId="559" borderId="556" applyFont="1" applyFill="1" applyBorder="1"/>
    <xf fontId="563" fillId="560" borderId="557" applyFont="1" applyFill="1" applyBorder="1"/>
    <xf fontId="564" fillId="561" borderId="558" applyFont="1" applyFill="1" applyBorder="1"/>
    <xf fontId="565" fillId="562" borderId="559" applyFont="1" applyFill="1" applyBorder="1"/>
    <xf fontId="566" fillId="563" borderId="560" applyFont="1" applyFill="1" applyBorder="1"/>
    <xf fontId="567" fillId="564" borderId="561" applyFont="1" applyFill="1" applyBorder="1"/>
    <xf fontId="568" fillId="565" borderId="562" applyFont="1" applyFill="1" applyBorder="1"/>
    <xf fontId="569" fillId="566" borderId="563" applyFont="1" applyFill="1" applyBorder="1"/>
    <xf fontId="570" fillId="567" borderId="564" applyFont="1" applyFill="1" applyBorder="1"/>
    <xf fontId="571" fillId="568" borderId="565" applyFont="1" applyFill="1" applyBorder="1"/>
    <xf fontId="572" fillId="569" borderId="566" applyFont="1" applyFill="1" applyBorder="1"/>
    <xf fontId="573" fillId="570" borderId="567" applyFont="1" applyFill="1" applyBorder="1"/>
    <xf fontId="574" fillId="571" borderId="568" applyFont="1" applyFill="1" applyBorder="1"/>
    <xf fontId="575" fillId="572" borderId="569" applyFont="1" applyFill="1" applyBorder="1"/>
    <xf fontId="576" fillId="573" borderId="570" applyFont="1" applyFill="1" applyBorder="1"/>
    <xf fontId="577" fillId="574" borderId="571" applyFont="1" applyFill="1" applyBorder="1"/>
    <xf fontId="578" fillId="575" borderId="572" applyFont="1" applyFill="1" applyBorder="1"/>
    <xf fontId="579" fillId="576" borderId="573" applyFont="1" applyFill="1" applyBorder="1"/>
    <xf fontId="580" fillId="577" borderId="574" applyFont="1" applyFill="1" applyBorder="1"/>
    <xf fontId="581" fillId="578" borderId="575" applyFont="1" applyFill="1" applyBorder="1"/>
    <xf fontId="582" fillId="579" borderId="576" applyFont="1" applyFill="1" applyBorder="1"/>
    <xf fontId="583" fillId="580" borderId="577" applyFont="1" applyFill="1" applyBorder="1"/>
    <xf fontId="584" fillId="581" borderId="578" applyFont="1" applyFill="1" applyBorder="1"/>
    <xf fontId="585" fillId="582" borderId="579" applyFont="1" applyFill="1" applyBorder="1"/>
    <xf fontId="586" fillId="583" borderId="580" applyFont="1" applyFill="1" applyBorder="1"/>
    <xf fontId="587" fillId="584" borderId="581" applyFont="1" applyFill="1" applyBorder="1"/>
    <xf fontId="588" fillId="585" borderId="582" applyFont="1" applyFill="1" applyBorder="1"/>
    <xf fontId="589" fillId="586" borderId="583" applyFont="1" applyFill="1" applyBorder="1"/>
    <xf fontId="590" fillId="587" borderId="584" applyFont="1" applyFill="1" applyBorder="1"/>
    <xf fontId="591" fillId="588" borderId="585" applyFont="1" applyFill="1" applyBorder="1"/>
    <xf fontId="592" fillId="589" borderId="586" applyFont="1" applyFill="1" applyBorder="1"/>
    <xf fontId="593" fillId="590" borderId="587" applyFont="1" applyFill="1" applyBorder="1">
      <alignment horizontal="center" vertical="center"/>
    </xf>
    <xf fontId="594" fillId="591" borderId="588" applyFont="1" applyFill="1" applyBorder="1">
      <alignment vertical="center"/>
    </xf>
    <xf fontId="595" fillId="592" borderId="589" applyFont="1" applyFill="1" applyBorder="1">
      <alignment horizontal="right"/>
    </xf>
    <xf fontId="596" fillId="593" borderId="590" applyFont="1" applyFill="1" applyBorder="1">
      <alignment horizontal="right"/>
    </xf>
    <xf fontId="597" fillId="594" borderId="591" applyFont="1" applyFill="1" applyBorder="1">
      <alignment horizontal="right"/>
    </xf>
    <xf fontId="598" fillId="595" borderId="592" applyFont="1" applyFill="1" applyBorder="1">
      <alignment horizontal="right"/>
    </xf>
    <xf fontId="599" fillId="596" borderId="593" applyFont="1" applyFill="1" applyBorder="1">
      <alignment horizontal="right"/>
    </xf>
    <xf fontId="600" fillId="597" borderId="594" applyFont="1" applyFill="1" applyBorder="1"/>
    <xf fontId="601" fillId="598" borderId="595" applyFont="1" applyFill="1" applyBorder="1" numFmtId="167"/>
    <xf fontId="602" fillId="599" borderId="596" applyFont="1" applyFill="1" applyBorder="1" numFmtId="167"/>
    <xf fontId="603" fillId="600" borderId="597" applyFont="1" applyFill="1" applyBorder="1" numFmtId="168"/>
    <xf fontId="604" fillId="601" borderId="598" applyFont="1" applyFill="1" applyBorder="1"/>
    <xf fontId="605" fillId="602" borderId="599" applyFont="1" applyFill="1" applyBorder="1">
      <alignment horizontal="center" vertical="center"/>
    </xf>
    <xf fontId="606" fillId="603" borderId="600" applyFont="1" applyFill="1" applyBorder="1">
      <alignment horizontal="center" vertical="center"/>
    </xf>
    <xf fontId="607" fillId="604" borderId="601" applyFont="1" applyFill="1" applyBorder="1">
      <alignment vertical="center"/>
    </xf>
    <xf fontId="608" fillId="605" borderId="602" applyFont="1" applyFill="1" applyBorder="1">
      <alignment horizontal="center" vertical="center"/>
    </xf>
    <xf fontId="609" fillId="606" borderId="603" applyFont="1" applyFill="1" applyBorder="1">
      <alignment horizontal="center" vertical="center"/>
    </xf>
    <xf fontId="610" fillId="607" borderId="604" applyFont="1" applyFill="1" applyBorder="1">
      <alignment horizontal="center" vertical="center"/>
    </xf>
    <xf fontId="611" fillId="608" borderId="605" applyFont="1" applyFill="1" applyBorder="1">
      <alignment horizontal="center" vertical="center"/>
    </xf>
    <xf fontId="612" fillId="609" borderId="606" applyFont="1" applyFill="1" applyBorder="1">
      <alignment horizontal="center" vertical="center"/>
    </xf>
    <xf fontId="613" fillId="610" borderId="607" applyFont="1" applyFill="1" applyBorder="1">
      <alignment horizontal="center" vertical="center"/>
    </xf>
    <xf fontId="614" fillId="611" borderId="608" applyFont="1" applyFill="1" applyBorder="1">
      <alignment horizontal="center" vertical="center"/>
    </xf>
    <xf fontId="615" fillId="612" borderId="609" applyFont="1" applyFill="1" applyBorder="1">
      <alignment horizontal="center" vertical="center"/>
    </xf>
    <xf fontId="616" fillId="613" borderId="610" applyFont="1" applyFill="1" applyBorder="1">
      <alignment horizontal="center"/>
    </xf>
    <xf fontId="617" fillId="614" borderId="611" applyFont="1" applyFill="1" applyBorder="1" numFmtId="167">
      <alignment horizontal="center"/>
    </xf>
    <xf fontId="618" fillId="615" borderId="612" applyFont="1" applyFill="1" applyBorder="1" numFmtId="3"/>
    <xf fontId="619" fillId="616" borderId="613" applyFont="1" applyFill="1" applyBorder="1" numFmtId="3"/>
    <xf fontId="620" fillId="617" borderId="614" applyFont="1" applyFill="1" applyBorder="1" numFmtId="3"/>
    <xf fontId="621" fillId="618" borderId="615" applyFont="1" applyFill="1" applyBorder="1" numFmtId="168"/>
    <xf fontId="622" fillId="619" borderId="616" applyFont="1" applyFill="1" applyBorder="1" numFmtId="168"/>
    <xf fontId="623" fillId="620" borderId="617" applyFont="1" applyFill="1" applyBorder="1" numFmtId="168"/>
    <xf fontId="624" fillId="621" borderId="618" applyFont="1" applyFill="1" applyBorder="1">
      <alignment horizontal="center"/>
    </xf>
    <xf fontId="625" fillId="622" borderId="619" applyFont="1" applyFill="1" applyBorder="1" numFmtId="167">
      <alignment horizontal="center"/>
    </xf>
    <xf fontId="626" fillId="623" borderId="620" applyFont="1" applyFill="1" applyBorder="1" numFmtId="3"/>
    <xf fontId="627" fillId="624" borderId="621" applyFont="1" applyFill="1" applyBorder="1" numFmtId="3"/>
    <xf fontId="628" fillId="625" borderId="622" applyFont="1" applyFill="1" applyBorder="1" numFmtId="3"/>
    <xf fontId="629" fillId="626" borderId="623" applyFont="1" applyFill="1" applyBorder="1" numFmtId="168"/>
    <xf fontId="630" fillId="627" borderId="624" applyFont="1" applyFill="1" applyBorder="1" numFmtId="168"/>
    <xf fontId="631" fillId="628" borderId="625" applyFont="1" applyFill="1" applyBorder="1" numFmtId="168"/>
    <xf fontId="632" fillId="629" borderId="626" applyFont="1" applyFill="1" applyBorder="1">
      <alignment horizontal="center"/>
    </xf>
    <xf fontId="633" fillId="630" borderId="627" applyFont="1" applyFill="1" applyBorder="1" numFmtId="167">
      <alignment horizontal="center"/>
    </xf>
    <xf fontId="634" fillId="631" borderId="628" applyFont="1" applyFill="1" applyBorder="1" numFmtId="3"/>
    <xf fontId="635" fillId="632" borderId="629" applyFont="1" applyFill="1" applyBorder="1" numFmtId="3"/>
    <xf fontId="636" fillId="633" borderId="630" applyFont="1" applyFill="1" applyBorder="1" numFmtId="3"/>
    <xf fontId="637" fillId="634" borderId="631" applyFont="1" applyFill="1" applyBorder="1" numFmtId="168"/>
    <xf fontId="638" fillId="635" borderId="632" applyFont="1" applyFill="1" applyBorder="1" numFmtId="168"/>
    <xf fontId="639" fillId="636" borderId="633" applyFont="1" applyFill="1" applyBorder="1" numFmtId="168"/>
    <xf fontId="640" fillId="637" borderId="634" applyFont="1" applyFill="1" applyBorder="1">
      <alignment horizontal="center"/>
    </xf>
    <xf fontId="641" fillId="638" borderId="635" applyFont="1" applyFill="1" applyBorder="1" numFmtId="167">
      <alignment horizontal="center"/>
    </xf>
    <xf fontId="642" fillId="639" borderId="636" applyFont="1" applyFill="1" applyBorder="1" numFmtId="3"/>
    <xf fontId="643" fillId="640" borderId="637" applyFont="1" applyFill="1" applyBorder="1" numFmtId="3"/>
    <xf fontId="644" fillId="641" borderId="638" applyFont="1" applyFill="1" applyBorder="1" numFmtId="3"/>
    <xf fontId="645" fillId="642" borderId="639" applyFont="1" applyFill="1" applyBorder="1" numFmtId="168"/>
    <xf fontId="646" fillId="643" borderId="640" applyFont="1" applyFill="1" applyBorder="1" numFmtId="168"/>
    <xf fontId="647" fillId="644" borderId="641" applyFont="1" applyFill="1" applyBorder="1" numFmtId="168"/>
    <xf fontId="648" fillId="645" borderId="642" applyFont="1" applyFill="1" applyBorder="1">
      <alignment horizontal="center"/>
    </xf>
    <xf fontId="649" fillId="646" borderId="643" applyFont="1" applyFill="1" applyBorder="1" numFmtId="167">
      <alignment horizontal="center"/>
    </xf>
    <xf fontId="650" fillId="647" borderId="644" applyFont="1" applyFill="1" applyBorder="1" numFmtId="3"/>
    <xf fontId="651" fillId="648" borderId="645" applyFont="1" applyFill="1" applyBorder="1" numFmtId="3"/>
    <xf fontId="652" fillId="649" borderId="646" applyFont="1" applyFill="1" applyBorder="1" numFmtId="3"/>
    <xf fontId="653" fillId="650" borderId="647" applyFont="1" applyFill="1" applyBorder="1" numFmtId="168"/>
    <xf fontId="654" fillId="651" borderId="648" applyFont="1" applyFill="1" applyBorder="1" numFmtId="168"/>
    <xf fontId="655" fillId="652" borderId="649" applyFont="1" applyFill="1" applyBorder="1" numFmtId="168"/>
    <xf fontId="656" fillId="653" borderId="650" applyFont="1" applyFill="1" applyBorder="1">
      <alignment horizontal="center"/>
    </xf>
    <xf fontId="657" fillId="654" borderId="651" applyFont="1" applyFill="1" applyBorder="1" numFmtId="167">
      <alignment horizontal="center"/>
    </xf>
    <xf fontId="658" fillId="655" borderId="652" applyFont="1" applyFill="1" applyBorder="1" numFmtId="3"/>
    <xf fontId="659" fillId="656" borderId="653" applyFont="1" applyFill="1" applyBorder="1" numFmtId="3"/>
    <xf fontId="660" fillId="657" borderId="654" applyFont="1" applyFill="1" applyBorder="1" numFmtId="3"/>
    <xf fontId="661" fillId="658" borderId="655" applyFont="1" applyFill="1" applyBorder="1" numFmtId="168"/>
    <xf fontId="662" fillId="659" borderId="656" applyFont="1" applyFill="1" applyBorder="1" numFmtId="168"/>
    <xf fontId="663" fillId="660" borderId="657" applyFont="1" applyFill="1" applyBorder="1" numFmtId="168"/>
    <xf fontId="664" fillId="661" borderId="658" applyFont="1" applyFill="1" applyBorder="1">
      <alignment horizontal="center"/>
    </xf>
    <xf fontId="665" fillId="662" borderId="659" applyFont="1" applyFill="1" applyBorder="1"/>
    <xf fontId="666" fillId="663" borderId="660" applyFont="1" applyFill="1" applyBorder="1" numFmtId="3"/>
    <xf fontId="667" fillId="664" borderId="661" applyFont="1" applyFill="1" applyBorder="1" numFmtId="3"/>
    <xf fontId="668" fillId="665" borderId="662" applyFont="1" applyFill="1" applyBorder="1" numFmtId="3"/>
    <xf fontId="669" fillId="666" borderId="663" applyFont="1" applyFill="1" applyBorder="1" numFmtId="168"/>
    <xf fontId="670" fillId="667" borderId="664" applyFont="1" applyFill="1" applyBorder="1" numFmtId="168"/>
    <xf fontId="671" fillId="668" borderId="665" applyFont="1" applyFill="1" applyBorder="1" numFmtId="168"/>
    <xf fontId="672" fillId="669" borderId="666" applyFont="1" applyFill="1" applyBorder="1">
      <alignment vertical="center"/>
    </xf>
    <xf fontId="673" fillId="670" borderId="667" applyFont="1" applyFill="1" applyBorder="1">
      <alignment horizontal="center" vertical="center"/>
    </xf>
    <xf fontId="674" fillId="671" borderId="668" applyFont="1" applyFill="1" applyBorder="1">
      <alignment horizontal="center" vertical="center"/>
    </xf>
    <xf fontId="675" fillId="672" borderId="669" applyFont="1" applyFill="1" applyBorder="1">
      <alignment horizontal="center" vertical="center"/>
    </xf>
    <xf fontId="676" fillId="673" borderId="670" applyFont="1" applyFill="1" applyBorder="1">
      <alignment horizontal="center" vertical="center"/>
    </xf>
    <xf fontId="677" fillId="674" borderId="671" applyFont="1" applyFill="1" applyBorder="1">
      <alignment horizontal="center" vertical="center"/>
    </xf>
    <xf fontId="678" fillId="675" borderId="672" applyFont="1" applyFill="1" applyBorder="1">
      <alignment horizontal="center" vertical="center"/>
    </xf>
    <xf fontId="679" fillId="676" borderId="673" applyFont="1" applyFill="1" applyBorder="1">
      <alignment horizontal="center" vertical="center"/>
    </xf>
    <xf fontId="680" fillId="677" borderId="674" applyFont="1" applyFill="1" applyBorder="1">
      <alignment horizontal="center" vertical="center"/>
    </xf>
    <xf fontId="681" fillId="678" borderId="675" applyFont="1" applyFill="1" applyBorder="1">
      <alignment horizontal="center" vertical="center"/>
    </xf>
    <xf fontId="682" fillId="679" borderId="676" applyFont="1" applyFill="1" applyBorder="1">
      <alignment horizontal="center" vertical="center"/>
    </xf>
    <xf fontId="683" fillId="680" borderId="677" applyFont="1" applyFill="1" applyBorder="1">
      <alignment horizontal="center"/>
    </xf>
    <xf fontId="684" fillId="681" borderId="678" applyFont="1" applyFill="1" applyBorder="1" numFmtId="167">
      <alignment horizontal="center"/>
    </xf>
    <xf fontId="685" fillId="682" borderId="679" applyFont="1" applyFill="1" applyBorder="1" numFmtId="3"/>
    <xf fontId="686" fillId="683" borderId="680" applyFont="1" applyFill="1" applyBorder="1" numFmtId="3"/>
    <xf fontId="687" fillId="684" borderId="681" applyFont="1" applyFill="1" applyBorder="1" numFmtId="3"/>
    <xf fontId="688" fillId="685" borderId="682" applyFont="1" applyFill="1" applyBorder="1" numFmtId="3"/>
    <xf fontId="689" fillId="686" borderId="683" applyFont="1" applyFill="1" applyBorder="1" numFmtId="3"/>
    <xf fontId="690" fillId="687" borderId="684" applyFont="1" applyFill="1" applyBorder="1" numFmtId="3"/>
    <xf fontId="691" fillId="688" borderId="685" applyFont="1" applyFill="1" applyBorder="1" numFmtId="3"/>
    <xf fontId="692" fillId="689" borderId="686" applyFont="1" applyFill="1" applyBorder="1"/>
    <xf fontId="693" fillId="690" borderId="687" applyFont="1" applyFill="1" applyBorder="1">
      <alignment horizontal="center"/>
    </xf>
    <xf fontId="694" fillId="691" borderId="688" applyFont="1" applyFill="1" applyBorder="1" numFmtId="167">
      <alignment horizontal="center"/>
    </xf>
    <xf fontId="695" fillId="692" borderId="689" applyFont="1" applyFill="1" applyBorder="1" numFmtId="3"/>
    <xf fontId="696" fillId="693" borderId="690" applyFont="1" applyFill="1" applyBorder="1" numFmtId="3"/>
    <xf fontId="697" fillId="694" borderId="691" applyFont="1" applyFill="1" applyBorder="1" numFmtId="3"/>
    <xf fontId="698" fillId="695" borderId="692" applyFont="1" applyFill="1" applyBorder="1" numFmtId="3"/>
    <xf fontId="699" fillId="696" borderId="693" applyFont="1" applyFill="1" applyBorder="1" numFmtId="3"/>
    <xf fontId="700" fillId="697" borderId="694" applyFont="1" applyFill="1" applyBorder="1" numFmtId="3"/>
    <xf fontId="701" fillId="698" borderId="695" applyFont="1" applyFill="1" applyBorder="1" numFmtId="3"/>
    <xf fontId="702" fillId="699" borderId="696" applyFont="1" applyFill="1" applyBorder="1"/>
    <xf fontId="703" fillId="700" borderId="697" applyFont="1" applyFill="1" applyBorder="1">
      <alignment horizontal="center"/>
    </xf>
    <xf fontId="704" fillId="701" borderId="698" applyFont="1" applyFill="1" applyBorder="1" numFmtId="167">
      <alignment horizontal="center"/>
    </xf>
    <xf fontId="705" fillId="702" borderId="699" applyFont="1" applyFill="1" applyBorder="1" numFmtId="3"/>
    <xf fontId="706" fillId="703" borderId="700" applyFont="1" applyFill="1" applyBorder="1" numFmtId="3"/>
    <xf fontId="707" fillId="704" borderId="701" applyFont="1" applyFill="1" applyBorder="1" numFmtId="3"/>
    <xf fontId="708" fillId="705" borderId="702" applyFont="1" applyFill="1" applyBorder="1" numFmtId="3"/>
    <xf fontId="709" fillId="706" borderId="703" applyFont="1" applyFill="1" applyBorder="1" numFmtId="3"/>
    <xf fontId="710" fillId="707" borderId="704" applyFont="1" applyFill="1" applyBorder="1" numFmtId="3"/>
    <xf fontId="711" fillId="708" borderId="705" applyFont="1" applyFill="1" applyBorder="1" numFmtId="3"/>
    <xf fontId="712" fillId="709" borderId="706" applyFont="1" applyFill="1" applyBorder="1"/>
    <xf fontId="713" fillId="710" borderId="707" applyFont="1" applyFill="1" applyBorder="1">
      <alignment horizontal="center"/>
    </xf>
    <xf fontId="714" fillId="711" borderId="708" applyFont="1" applyFill="1" applyBorder="1" numFmtId="167">
      <alignment horizontal="center"/>
    </xf>
    <xf fontId="715" fillId="712" borderId="709" applyFont="1" applyFill="1" applyBorder="1" numFmtId="3"/>
    <xf fontId="716" fillId="713" borderId="710" applyFont="1" applyFill="1" applyBorder="1" numFmtId="3"/>
    <xf fontId="717" fillId="714" borderId="711" applyFont="1" applyFill="1" applyBorder="1" numFmtId="3"/>
    <xf fontId="718" fillId="715" borderId="712" applyFont="1" applyFill="1" applyBorder="1" numFmtId="3"/>
    <xf fontId="719" fillId="716" borderId="713" applyFont="1" applyFill="1" applyBorder="1" numFmtId="3"/>
    <xf fontId="720" fillId="717" borderId="714" applyFont="1" applyFill="1" applyBorder="1" numFmtId="3"/>
    <xf fontId="721" fillId="718" borderId="715" applyFont="1" applyFill="1" applyBorder="1" numFmtId="3"/>
    <xf fontId="722" fillId="719" borderId="716" applyFont="1" applyFill="1" applyBorder="1"/>
    <xf fontId="723" fillId="720" borderId="717" applyFont="1" applyFill="1" applyBorder="1">
      <alignment horizontal="center"/>
    </xf>
    <xf fontId="724" fillId="721" borderId="718" applyFont="1" applyFill="1" applyBorder="1" numFmtId="167">
      <alignment horizontal="center"/>
    </xf>
    <xf fontId="725" fillId="722" borderId="719" applyFont="1" applyFill="1" applyBorder="1" numFmtId="3"/>
    <xf fontId="726" fillId="723" borderId="720" applyFont="1" applyFill="1" applyBorder="1" numFmtId="3"/>
    <xf fontId="727" fillId="724" borderId="721" applyFont="1" applyFill="1" applyBorder="1" numFmtId="3"/>
    <xf fontId="728" fillId="725" borderId="722" applyFont="1" applyFill="1" applyBorder="1" numFmtId="3"/>
    <xf fontId="729" fillId="726" borderId="723" applyFont="1" applyFill="1" applyBorder="1" numFmtId="3"/>
    <xf fontId="730" fillId="727" borderId="724" applyFont="1" applyFill="1" applyBorder="1" numFmtId="3"/>
    <xf fontId="731" fillId="728" borderId="725" applyFont="1" applyFill="1" applyBorder="1" numFmtId="3"/>
    <xf fontId="732" fillId="729" borderId="726" applyFont="1" applyFill="1" applyBorder="1"/>
    <xf fontId="733" fillId="730" borderId="727" applyFont="1" applyFill="1" applyBorder="1">
      <alignment horizontal="center"/>
    </xf>
    <xf fontId="734" fillId="731" borderId="728" applyFont="1" applyFill="1" applyBorder="1" numFmtId="167">
      <alignment horizontal="center"/>
    </xf>
    <xf fontId="735" fillId="732" borderId="729" applyFont="1" applyFill="1" applyBorder="1" numFmtId="3"/>
    <xf fontId="736" fillId="733" borderId="730" applyFont="1" applyFill="1" applyBorder="1" numFmtId="3"/>
    <xf fontId="737" fillId="734" borderId="731" applyFont="1" applyFill="1" applyBorder="1" numFmtId="3"/>
    <xf fontId="738" fillId="735" borderId="732" applyFont="1" applyFill="1" applyBorder="1" numFmtId="3"/>
    <xf fontId="739" fillId="736" borderId="733" applyFont="1" applyFill="1" applyBorder="1" numFmtId="3"/>
    <xf fontId="740" fillId="737" borderId="734" applyFont="1" applyFill="1" applyBorder="1" numFmtId="3"/>
    <xf fontId="741" fillId="738" borderId="735" applyFont="1" applyFill="1" applyBorder="1" numFmtId="3"/>
    <xf fontId="742" fillId="739" borderId="736" applyFont="1" applyFill="1" applyBorder="1"/>
    <xf fontId="743" fillId="740" borderId="737" applyFont="1" applyFill="1" applyBorder="1">
      <alignment horizontal="center"/>
    </xf>
    <xf fontId="744" fillId="741" borderId="738" applyFont="1" applyFill="1" applyBorder="1"/>
    <xf fontId="745" fillId="742" borderId="739" applyFont="1" applyFill="1" applyBorder="1" numFmtId="3"/>
    <xf fontId="746" fillId="743" borderId="740" applyFont="1" applyFill="1" applyBorder="1" numFmtId="3"/>
    <xf fontId="747" fillId="744" borderId="741" applyFont="1" applyFill="1" applyBorder="1" numFmtId="3"/>
    <xf fontId="748" fillId="745" borderId="742" applyFont="1" applyFill="1" applyBorder="1" numFmtId="3"/>
    <xf fontId="749" fillId="746" borderId="743" applyFont="1" applyFill="1" applyBorder="1" numFmtId="3"/>
    <xf fontId="750" fillId="747" borderId="744" applyFont="1" applyFill="1" applyBorder="1" numFmtId="3"/>
    <xf fontId="751" fillId="748" borderId="745" applyFont="1" applyFill="1" applyBorder="1" numFmtId="3"/>
    <xf fontId="752" fillId="749" borderId="746" applyFont="1" applyFill="1" applyBorder="1"/>
    <xf fontId="753" fillId="750" borderId="747" applyFont="1" applyFill="1" applyBorder="1">
      <alignment vertical="center"/>
    </xf>
    <xf fontId="754" fillId="751" borderId="748" applyFont="1" applyFill="1" applyBorder="1">
      <alignment horizontal="center" vertical="center"/>
    </xf>
    <xf fontId="755" fillId="752" borderId="749" applyFont="1" applyFill="1" applyBorder="1">
      <alignment horizontal="center" vertical="center"/>
    </xf>
    <xf fontId="756" fillId="753" borderId="750" applyFont="1" applyFill="1" applyBorder="1">
      <alignment horizontal="center" vertical="center"/>
    </xf>
    <xf fontId="757" fillId="754" borderId="751" applyFont="1" applyFill="1" applyBorder="1"/>
    <xf fontId="758" fillId="755" borderId="752" applyFont="1" applyFill="1" applyBorder="1" numFmtId="3"/>
    <xf fontId="759" fillId="756" borderId="753" applyFont="1" applyFill="1" applyBorder="1" numFmtId="168"/>
    <xf fontId="760" fillId="757" borderId="754" applyFont="1" applyFill="1" applyBorder="1"/>
    <xf fontId="761" fillId="758" borderId="755" applyFont="1" applyFill="1" applyBorder="1" numFmtId="3"/>
    <xf fontId="762" fillId="759" borderId="756" applyFont="1" applyFill="1" applyBorder="1" numFmtId="168"/>
    <xf fontId="763" fillId="760" borderId="757" applyFont="1" applyFill="1" applyBorder="1"/>
    <xf fontId="764" fillId="761" borderId="758" applyFont="1" applyFill="1" applyBorder="1" numFmtId="3"/>
    <xf fontId="765" fillId="762" borderId="759" applyFont="1" applyFill="1" applyBorder="1" numFmtId="168"/>
    <xf fontId="766" fillId="763" borderId="760" applyFont="1" applyFill="1" applyBorder="1"/>
    <xf fontId="767" fillId="764" borderId="761" applyFont="1" applyFill="1" applyBorder="1" numFmtId="3"/>
    <xf fontId="768" fillId="765" borderId="762" applyFont="1" applyFill="1" applyBorder="1" numFmtId="168"/>
    <xf fontId="769" fillId="766" borderId="763" applyFont="1" applyFill="1" applyBorder="1"/>
    <xf fontId="770" fillId="767" borderId="764" applyFont="1" applyFill="1" applyBorder="1" numFmtId="3"/>
    <xf fontId="771" fillId="768" borderId="765" applyFont="1" applyFill="1" applyBorder="1" numFmtId="168"/>
    <xf fontId="772" fillId="769" borderId="766" applyFont="1" applyFill="1" applyBorder="1"/>
    <xf fontId="773" fillId="770" borderId="767" applyFont="1" applyFill="1" applyBorder="1" numFmtId="3"/>
    <xf fontId="774" fillId="771" borderId="768" applyFont="1" applyFill="1" applyBorder="1" numFmtId="168"/>
    <xf fontId="775" fillId="772" borderId="769" applyFont="1" applyFill="1" applyBorder="1"/>
    <xf fontId="776" fillId="773" borderId="770" applyFont="1" applyFill="1" applyBorder="1" numFmtId="3"/>
    <xf fontId="777" fillId="774" borderId="771" applyFont="1" applyFill="1" applyBorder="1" numFmtId="168"/>
    <xf fontId="778" fillId="775" borderId="772" applyFont="1" applyFill="1" applyBorder="1"/>
    <xf fontId="779" fillId="776" borderId="773" applyFont="1" applyFill="1" applyBorder="1" numFmtId="3"/>
    <xf fontId="780" fillId="777" borderId="774" applyFont="1" applyFill="1" applyBorder="1" numFmtId="168"/>
    <xf fontId="781" fillId="778" borderId="775" applyFont="1" applyFill="1" applyBorder="1">
      <alignment horizontal="center"/>
    </xf>
    <xf fontId="782" fillId="779" borderId="776" applyFont="1" applyFill="1" applyBorder="1" numFmtId="3"/>
    <xf fontId="783" fillId="780" borderId="777" applyFont="1" applyFill="1" applyBorder="1" numFmtId="168"/>
    <xf fontId="784" fillId="781" borderId="778" applyFont="1" applyFill="1" applyBorder="1">
      <alignment vertical="center"/>
    </xf>
    <xf fontId="785" fillId="782" borderId="779" applyFont="1" applyFill="1" applyBorder="1">
      <alignment horizontal="right"/>
    </xf>
    <xf fontId="786" fillId="783" borderId="780" applyFont="1" applyFill="1" applyBorder="1"/>
    <xf fontId="787" fillId="784" borderId="781" applyFont="1" applyFill="1" applyBorder="1">
      <alignment horizontal="right"/>
    </xf>
    <xf fontId="788" fillId="785" borderId="782" applyFont="1" applyFill="1" applyBorder="1" numFmtId="168"/>
    <xf fontId="789" fillId="786" borderId="783" applyFont="1" applyFill="1" applyBorder="1">
      <alignment horizontal="center" vertical="center"/>
    </xf>
    <xf fontId="790" fillId="787" borderId="784" applyFont="1" applyFill="1" applyBorder="1">
      <alignment horizontal="center" vertical="center"/>
    </xf>
    <xf fontId="791" fillId="788" borderId="785" applyFont="1" applyFill="1" applyBorder="1">
      <alignment horizontal="center" vertical="center"/>
    </xf>
    <xf fontId="792" fillId="789" borderId="786" applyFont="1" applyFill="1" applyBorder="1">
      <alignment horizontal="center" vertical="center"/>
    </xf>
    <xf fontId="793" fillId="790" borderId="787" applyFont="1" applyFill="1" applyBorder="1">
      <alignment horizontal="center" vertical="center"/>
    </xf>
    <xf fontId="794" fillId="791" borderId="788" applyFont="1" applyFill="1" applyBorder="1" numFmtId="167">
      <alignment horizontal="center"/>
    </xf>
    <xf fontId="795" fillId="792" borderId="789" applyFont="1" applyFill="1" applyBorder="1" numFmtId="3"/>
    <xf fontId="796" fillId="793" borderId="790" applyFont="1" applyFill="1" applyBorder="1" numFmtId="168"/>
    <xf fontId="797" fillId="794" borderId="791" applyFont="1" applyFill="1" applyBorder="1" numFmtId="168"/>
    <xf fontId="798" fillId="795" borderId="792" applyFont="1" applyFill="1" applyBorder="1" numFmtId="168"/>
    <xf fontId="799" fillId="796" borderId="793" applyFont="1" applyFill="1" applyBorder="1" numFmtId="167">
      <alignment horizontal="center"/>
    </xf>
    <xf fontId="800" fillId="797" borderId="794" applyFont="1" applyFill="1" applyBorder="1" numFmtId="3"/>
    <xf fontId="801" fillId="798" borderId="795" applyFont="1" applyFill="1" applyBorder="1" numFmtId="168"/>
    <xf fontId="802" fillId="799" borderId="796" applyFont="1" applyFill="1" applyBorder="1" numFmtId="168"/>
    <xf fontId="803" fillId="800" borderId="797" applyFont="1" applyFill="1" applyBorder="1" numFmtId="168"/>
    <xf fontId="804" fillId="801" borderId="798" applyFont="1" applyFill="1" applyBorder="1" numFmtId="167">
      <alignment horizontal="center"/>
    </xf>
    <xf fontId="805" fillId="802" borderId="799" applyFont="1" applyFill="1" applyBorder="1" numFmtId="3"/>
    <xf fontId="806" fillId="803" borderId="800" applyFont="1" applyFill="1" applyBorder="1" numFmtId="168"/>
    <xf fontId="807" fillId="804" borderId="801" applyFont="1" applyFill="1" applyBorder="1" numFmtId="168"/>
    <xf fontId="808" fillId="805" borderId="802" applyFont="1" applyFill="1" applyBorder="1" numFmtId="168"/>
    <xf fontId="809" fillId="806" borderId="803" applyFont="1" applyFill="1" applyBorder="1" numFmtId="167">
      <alignment horizontal="center"/>
    </xf>
    <xf fontId="810" fillId="807" borderId="804" applyFont="1" applyFill="1" applyBorder="1" numFmtId="3"/>
    <xf fontId="811" fillId="808" borderId="805" applyFont="1" applyFill="1" applyBorder="1" numFmtId="168"/>
    <xf fontId="812" fillId="809" borderId="806" applyFont="1" applyFill="1" applyBorder="1" numFmtId="168"/>
    <xf fontId="813" fillId="810" borderId="807" applyFont="1" applyFill="1" applyBorder="1" numFmtId="168"/>
    <xf fontId="814" fillId="811" borderId="808" applyFont="1" applyFill="1" applyBorder="1">
      <alignment horizontal="center"/>
    </xf>
    <xf fontId="815" fillId="812" borderId="809" applyFont="1" applyFill="1" applyBorder="1" numFmtId="3"/>
    <xf fontId="816" fillId="813" borderId="810" applyFont="1" applyFill="1" applyBorder="1"/>
    <xf fontId="817" fillId="814" borderId="811" applyFont="1" applyFill="1" applyBorder="1" numFmtId="168"/>
    <xf fontId="818" fillId="815" borderId="812" applyFont="1" applyFill="1" applyBorder="1"/>
    <xf fontId="819" fillId="816" borderId="813" applyFont="1" applyFill="1" applyBorder="1"/>
    <xf fontId="820" fillId="817" borderId="814" applyFont="1" applyFill="1" applyBorder="1"/>
    <xf fontId="821" fillId="818" borderId="815" applyFont="1" applyFill="1" applyBorder="1"/>
    <xf fontId="822" fillId="819" borderId="816" applyFont="1" applyFill="1" applyBorder="1"/>
    <xf fontId="823" fillId="820" borderId="817" applyFont="1" applyFill="1" applyBorder="1"/>
    <xf fontId="824" fillId="821" borderId="818" applyFont="1" applyFill="1" applyBorder="1"/>
    <xf fontId="825" fillId="822" borderId="819" applyFont="1" applyFill="1" applyBorder="1"/>
    <xf fontId="826" fillId="823" borderId="820" applyFont="1" applyFill="1" applyBorder="1"/>
    <xf fontId="827" fillId="824" borderId="821" applyFont="1" applyFill="1" applyBorder="1"/>
    <xf fontId="828" fillId="825" borderId="822" applyFont="1" applyFill="1" applyBorder="1"/>
    <xf fontId="829" fillId="826" borderId="823" applyFont="1" applyFill="1" applyBorder="1"/>
    <xf fontId="830" fillId="827" borderId="824" applyFont="1" applyFill="1" applyBorder="1"/>
    <xf fontId="831" fillId="828" borderId="825" applyFont="1" applyFill="1" applyBorder="1"/>
    <xf fontId="832" fillId="829" borderId="826" applyFont="1" applyFill="1" applyBorder="1"/>
    <xf fontId="833" fillId="830" borderId="827" applyFont="1" applyFill="1" applyBorder="1"/>
    <xf fontId="834" fillId="831" borderId="828" applyFont="1" applyFill="1" applyBorder="1"/>
    <xf fontId="835" fillId="832" borderId="829" applyFont="1" applyFill="1" applyBorder="1"/>
    <xf fontId="836" fillId="833" borderId="830" applyFont="1" applyFill="1" applyBorder="1"/>
    <xf fontId="837" fillId="834" borderId="831" applyFont="1" applyFill="1" applyBorder="1"/>
    <xf fontId="838" fillId="835" borderId="832" applyFont="1" applyFill="1" applyBorder="1"/>
    <xf fontId="839" fillId="836" borderId="833" applyFont="1" applyFill="1" applyBorder="1"/>
    <xf fontId="840" fillId="837" borderId="834" applyFont="1" applyFill="1" applyBorder="1"/>
    <xf fontId="841" fillId="838" borderId="835" applyFont="1" applyFill="1" applyBorder="1"/>
    <xf fontId="842" fillId="839" borderId="836" applyFont="1" applyFill="1" applyBorder="1"/>
    <xf fontId="843" fillId="840" borderId="837" applyFont="1" applyFill="1" applyBorder="1"/>
    <xf fontId="844" fillId="841" borderId="838" applyFont="1" applyFill="1" applyBorder="1"/>
    <xf fontId="845" fillId="842" borderId="839" applyFont="1" applyFill="1" applyBorder="1"/>
    <xf fontId="846" fillId="843" borderId="840" applyFont="1" applyFill="1" applyBorder="1"/>
    <xf fontId="847" fillId="844" borderId="841" applyFont="1" applyFill="1" applyBorder="1"/>
    <xf fontId="848" fillId="845" borderId="842" applyFont="1" applyFill="1" applyBorder="1"/>
    <xf fontId="849" fillId="846" borderId="843" applyFont="1" applyFill="1" applyBorder="1"/>
    <xf fontId="850" fillId="847" borderId="844" applyFont="1" applyFill="1" applyBorder="1"/>
    <xf fontId="851" fillId="848" borderId="845" applyFont="1" applyFill="1" applyBorder="1"/>
    <xf fontId="852" fillId="849" borderId="846" applyFont="1" applyFill="1" applyBorder="1"/>
    <xf fontId="853" fillId="850" borderId="847" applyFont="1" applyFill="1" applyBorder="1"/>
    <xf fontId="854" fillId="851" borderId="848" applyFont="1" applyFill="1" applyBorder="1"/>
    <xf fontId="855" fillId="852" borderId="849" applyFont="1" applyFill="1" applyBorder="1"/>
    <xf fontId="856" fillId="853" borderId="850" applyFont="1" applyFill="1" applyBorder="1"/>
    <xf fontId="857" fillId="854" borderId="851" applyFont="1" applyFill="1" applyBorder="1"/>
    <xf fontId="858" fillId="855" borderId="852" applyFont="1" applyFill="1" applyBorder="1"/>
    <xf fontId="859" fillId="856" borderId="853" applyFont="1" applyFill="1" applyBorder="1"/>
    <xf fontId="860" fillId="857" borderId="854" applyFont="1" applyFill="1" applyBorder="1"/>
    <xf fontId="861" fillId="858" borderId="855" applyFont="1" applyFill="1" applyBorder="1"/>
    <xf fontId="862" fillId="859" borderId="856" applyFont="1" applyFill="1" applyBorder="1"/>
    <xf fontId="863" fillId="860" borderId="857" applyFont="1" applyFill="1" applyBorder="1"/>
    <xf fontId="864" fillId="861" borderId="858" applyFont="1" applyFill="1" applyBorder="1"/>
    <xf fontId="865" fillId="862" borderId="859" applyFont="1" applyFill="1" applyBorder="1"/>
    <xf fontId="866" fillId="863" borderId="860" applyFont="1" applyFill="1" applyBorder="1"/>
    <xf fontId="867" fillId="864" borderId="861" applyFont="1" applyFill="1" applyBorder="1"/>
    <xf fontId="868" fillId="865" borderId="862" applyFont="1" applyFill="1" applyBorder="1"/>
    <xf fontId="869" fillId="866" borderId="863" applyFont="1" applyFill="1" applyBorder="1"/>
    <xf fontId="870" fillId="867" borderId="864" applyFont="1" applyFill="1" applyBorder="1"/>
    <xf fontId="871" fillId="868" borderId="865" applyFont="1" applyFill="1" applyBorder="1"/>
    <xf fontId="872" fillId="869" borderId="866" applyFont="1" applyFill="1" applyBorder="1"/>
    <xf fontId="873" fillId="870" borderId="867" applyFont="1" applyFill="1" applyBorder="1"/>
    <xf fontId="874" fillId="871" borderId="868" applyFont="1" applyFill="1" applyBorder="1"/>
    <xf fontId="875" fillId="872" borderId="869" applyFont="1" applyFill="1" applyBorder="1"/>
    <xf fontId="876" fillId="873" borderId="870" applyFont="1" applyFill="1" applyBorder="1"/>
    <xf fontId="877" fillId="874" borderId="871" applyFont="1" applyFill="1" applyBorder="1"/>
    <xf fontId="878" fillId="875" borderId="872" applyFont="1" applyFill="1" applyBorder="1"/>
    <xf fontId="879" fillId="876" borderId="873" applyFont="1" applyFill="1" applyBorder="1"/>
    <xf fontId="880" fillId="877" borderId="874" applyFont="1" applyFill="1" applyBorder="1"/>
    <xf fontId="881" fillId="878" borderId="875" applyFont="1" applyFill="1" applyBorder="1"/>
    <xf fontId="882" fillId="879" borderId="876" applyFont="1" applyFill="1" applyBorder="1"/>
    <xf fontId="883" fillId="880" borderId="877" applyFont="1" applyFill="1" applyBorder="1"/>
    <xf fontId="884" fillId="881" borderId="878" applyFont="1" applyFill="1" applyBorder="1"/>
    <xf fontId="885" fillId="882" borderId="879" applyFont="1" applyFill="1" applyBorder="1"/>
    <xf fontId="886" fillId="883" borderId="880" applyFont="1" applyFill="1" applyBorder="1"/>
    <xf fontId="887" fillId="884" borderId="881" applyFont="1" applyFill="1" applyBorder="1"/>
    <xf fontId="888" fillId="885" borderId="882" applyFont="1" applyFill="1" applyBorder="1"/>
    <xf fontId="889" fillId="886" borderId="883" applyFont="1" applyFill="1" applyBorder="1"/>
    <xf fontId="890" fillId="887" borderId="884" applyFont="1" applyFill="1" applyBorder="1"/>
    <xf fontId="891" fillId="888" borderId="885" applyFont="1" applyFill="1" applyBorder="1"/>
    <xf fontId="892" fillId="889" borderId="886" applyFont="1" applyFill="1" applyBorder="1"/>
    <xf fontId="893" fillId="890" borderId="887" applyFont="1" applyFill="1" applyBorder="1"/>
    <xf fontId="894" fillId="891" borderId="888" applyFont="1" applyFill="1" applyBorder="1"/>
    <xf fontId="895" fillId="892" borderId="889" applyFont="1" applyFill="1" applyBorder="1"/>
    <xf fontId="896" fillId="893" borderId="890" applyFont="1" applyFill="1" applyBorder="1"/>
    <xf fontId="897" fillId="894" borderId="891" applyFont="1" applyFill="1" applyBorder="1"/>
    <xf fontId="898" fillId="895" borderId="892" applyFont="1" applyFill="1" applyBorder="1"/>
    <xf fontId="899" fillId="896" borderId="893" applyFont="1" applyFill="1" applyBorder="1"/>
    <xf fontId="900" fillId="897" borderId="894" applyFont="1" applyFill="1" applyBorder="1"/>
    <xf fontId="901" fillId="898" borderId="895" applyFont="1" applyFill="1" applyBorder="1"/>
    <xf fontId="902" fillId="899" borderId="896" applyFont="1" applyFill="1" applyBorder="1"/>
    <xf fontId="903" fillId="900" borderId="897" applyFont="1" applyFill="1" applyBorder="1"/>
    <xf fontId="904" fillId="901" borderId="898" applyFont="1" applyFill="1" applyBorder="1"/>
    <xf fontId="905" fillId="902" borderId="899" applyFont="1" applyFill="1" applyBorder="1"/>
    <xf fontId="906" fillId="903" borderId="900" applyFont="1" applyFill="1" applyBorder="1"/>
    <xf fontId="907" fillId="904" borderId="901" applyFont="1" applyFill="1" applyBorder="1"/>
    <xf fontId="908" fillId="905" borderId="902" applyFont="1" applyFill="1" applyBorder="1"/>
    <xf fontId="909" fillId="906" borderId="903" applyFont="1" applyFill="1" applyBorder="1"/>
    <xf fontId="910" fillId="907" borderId="904" applyFont="1" applyFill="1" applyBorder="1"/>
    <xf fontId="911" fillId="908" borderId="905" applyFont="1" applyFill="1" applyBorder="1"/>
    <xf fontId="912" fillId="909" borderId="906" applyFont="1" applyFill="1" applyBorder="1"/>
    <xf fontId="913" fillId="910" borderId="907" applyFont="1" applyFill="1" applyBorder="1"/>
    <xf fontId="914" fillId="911" borderId="908" applyFont="1" applyFill="1" applyBorder="1"/>
    <xf fontId="915" fillId="912" borderId="909" applyFont="1" applyFill="1" applyBorder="1"/>
    <xf fontId="916" fillId="913" borderId="910" applyFont="1" applyFill="1" applyBorder="1"/>
    <xf fontId="917" fillId="914" borderId="911" applyFont="1" applyFill="1" applyBorder="1"/>
    <xf fontId="918" fillId="915" borderId="912" applyFont="1" applyFill="1" applyBorder="1"/>
    <xf fontId="919" fillId="916" borderId="913" applyFont="1" applyFill="1" applyBorder="1"/>
    <xf fontId="920" fillId="917" borderId="914" applyFont="1" applyFill="1" applyBorder="1"/>
    <xf fontId="921" fillId="918" borderId="915" applyFont="1" applyFill="1" applyBorder="1"/>
    <xf fontId="922" fillId="919" borderId="916" applyFont="1" applyFill="1" applyBorder="1"/>
    <xf fontId="923" fillId="920" borderId="917" applyFont="1" applyFill="1" applyBorder="1"/>
    <xf fontId="924" fillId="921" borderId="918" applyFont="1" applyFill="1" applyBorder="1"/>
    <xf fontId="925" fillId="922" borderId="919" applyFont="1" applyFill="1" applyBorder="1"/>
    <xf fontId="926" fillId="923" borderId="920" applyFont="1" applyFill="1" applyBorder="1"/>
    <xf fontId="927" fillId="924" borderId="921" applyFont="1" applyFill="1" applyBorder="1"/>
    <xf fontId="928" fillId="925" borderId="922" applyFont="1" applyFill="1" applyBorder="1"/>
    <xf fontId="929" fillId="926" borderId="923" applyFont="1" applyFill="1" applyBorder="1"/>
    <xf fontId="930" fillId="927" borderId="924" applyFont="1" applyFill="1" applyBorder="1"/>
    <xf fontId="931" fillId="928" borderId="925" applyFont="1" applyFill="1" applyBorder="1"/>
    <xf fontId="932" fillId="929" borderId="926" applyFont="1" applyFill="1" applyBorder="1"/>
    <xf fontId="933" fillId="930" borderId="927" applyFont="1" applyFill="1" applyBorder="1"/>
    <xf fontId="934" fillId="931" borderId="928" applyFont="1" applyFill="1" applyBorder="1"/>
    <xf fontId="935" fillId="932" borderId="929" applyFont="1" applyFill="1" applyBorder="1"/>
    <xf fontId="936" fillId="933" borderId="930" applyFont="1" applyFill="1" applyBorder="1"/>
    <xf fontId="937" fillId="934" borderId="931" applyFont="1" applyFill="1" applyBorder="1"/>
    <xf fontId="938" fillId="935" borderId="932" applyFont="1" applyFill="1" applyBorder="1"/>
    <xf fontId="939" fillId="936" borderId="933" applyFont="1" applyFill="1" applyBorder="1"/>
    <xf fontId="940" fillId="937" borderId="934" applyFont="1" applyFill="1" applyBorder="1"/>
    <xf fontId="941" fillId="938" borderId="935" applyFont="1" applyFill="1" applyBorder="1"/>
    <xf fontId="942" fillId="939" borderId="936" applyFont="1" applyFill="1" applyBorder="1"/>
    <xf fontId="943" fillId="940" borderId="937" applyFont="1" applyFill="1" applyBorder="1"/>
    <xf fontId="944" fillId="941" borderId="938" applyFont="1" applyFill="1" applyBorder="1"/>
    <xf fontId="945" fillId="942" borderId="939" applyFont="1" applyFill="1" applyBorder="1"/>
    <xf fontId="946" fillId="943" borderId="940" applyFont="1" applyFill="1" applyBorder="1"/>
    <xf fontId="947" fillId="944" borderId="941" applyFont="1" applyFill="1" applyBorder="1"/>
    <xf fontId="948" fillId="945" borderId="942" applyFont="1" applyFill="1" applyBorder="1"/>
    <xf fontId="949" fillId="946" borderId="943" applyFont="1" applyFill="1" applyBorder="1"/>
    <xf fontId="950" fillId="947" borderId="944" applyFont="1" applyFill="1" applyBorder="1"/>
    <xf fontId="951" fillId="948" borderId="945" applyFont="1" applyFill="1" applyBorder="1"/>
    <xf fontId="952" fillId="949" borderId="946" applyFont="1" applyFill="1" applyBorder="1"/>
    <xf fontId="953" fillId="950" borderId="947" applyFont="1" applyFill="1" applyBorder="1"/>
    <xf fontId="954" fillId="951" borderId="948" applyFont="1" applyFill="1" applyBorder="1"/>
    <xf fontId="955" fillId="952" borderId="949" applyFont="1" applyFill="1" applyBorder="1"/>
    <xf fontId="956" fillId="953" borderId="950" applyFont="1" applyFill="1" applyBorder="1"/>
    <xf fontId="957" fillId="954" borderId="951" applyFont="1" applyFill="1" applyBorder="1"/>
    <xf fontId="958" fillId="955" borderId="952" applyFont="1" applyFill="1" applyBorder="1"/>
    <xf fontId="959" fillId="956" borderId="953" applyFont="1" applyFill="1" applyBorder="1"/>
    <xf fontId="960" fillId="957" borderId="954" applyFont="1" applyFill="1" applyBorder="1"/>
    <xf fontId="961" fillId="958" borderId="955" applyFont="1" applyFill="1" applyBorder="1"/>
    <xf fontId="962" fillId="959" borderId="956" applyFont="1" applyFill="1" applyBorder="1"/>
    <xf fontId="963" fillId="960" borderId="957" applyFont="1" applyFill="1" applyBorder="1"/>
    <xf fontId="964" fillId="961" borderId="958" applyFont="1" applyFill="1" applyBorder="1"/>
    <xf fontId="965" fillId="962" borderId="959" applyFont="1" applyFill="1" applyBorder="1"/>
    <xf fontId="966" fillId="963" borderId="960" applyFont="1" applyFill="1" applyBorder="1"/>
    <xf fontId="967" fillId="964" borderId="961" applyFont="1" applyFill="1" applyBorder="1"/>
    <xf fontId="968" fillId="965" borderId="962" applyFont="1" applyFill="1" applyBorder="1"/>
    <xf fontId="969" fillId="966" borderId="963" applyFont="1" applyFill="1" applyBorder="1"/>
    <xf fontId="970" fillId="967" borderId="964" applyFont="1" applyFill="1" applyBorder="1"/>
    <xf fontId="971" fillId="968" borderId="965" applyFont="1" applyFill="1" applyBorder="1"/>
    <xf fontId="972" fillId="969" borderId="966" applyFont="1" applyFill="1" applyBorder="1"/>
    <xf fontId="973" fillId="970" borderId="967" applyFont="1" applyFill="1" applyBorder="1"/>
    <xf fontId="974" fillId="971" borderId="968" applyFont="1" applyFill="1" applyBorder="1"/>
    <xf fontId="975" fillId="972" borderId="969" applyFont="1" applyFill="1" applyBorder="1"/>
    <xf fontId="976" fillId="973" borderId="970" applyFont="1" applyFill="1" applyBorder="1"/>
    <xf fontId="977" fillId="974" borderId="971" applyFont="1" applyFill="1" applyBorder="1"/>
    <xf fontId="978" fillId="975" borderId="972" applyFont="1" applyFill="1" applyBorder="1"/>
    <xf fontId="979" fillId="976" borderId="973" applyFont="1" applyFill="1" applyBorder="1"/>
    <xf fontId="980" fillId="977" borderId="974" applyFont="1" applyFill="1" applyBorder="1"/>
    <xf fontId="981" fillId="978" borderId="975" applyFont="1" applyFill="1" applyBorder="1"/>
    <xf fontId="982" fillId="979" borderId="976" applyFont="1" applyFill="1" applyBorder="1"/>
    <xf fontId="983" fillId="980" borderId="977" applyFont="1" applyFill="1" applyBorder="1"/>
    <xf fontId="984" fillId="981" borderId="978" applyFont="1" applyFill="1" applyBorder="1"/>
    <xf fontId="985" fillId="982" borderId="979" applyFont="1" applyFill="1" applyBorder="1"/>
    <xf fontId="986" fillId="983" borderId="980" applyFont="1" applyFill="1" applyBorder="1"/>
    <xf fontId="987" fillId="984" borderId="981" applyFont="1" applyFill="1" applyBorder="1"/>
    <xf fontId="988" fillId="985" borderId="982" applyFont="1" applyFill="1" applyBorder="1"/>
    <xf fontId="989" fillId="986" borderId="983" applyFont="1" applyFill="1" applyBorder="1"/>
    <xf fontId="990" fillId="987" borderId="984" applyFont="1" applyFill="1" applyBorder="1"/>
    <xf fontId="991" fillId="988" borderId="985" applyFont="1" applyFill="1" applyBorder="1"/>
    <xf fontId="992" fillId="989" borderId="986" applyFont="1" applyFill="1" applyBorder="1"/>
    <xf fontId="993" fillId="990" borderId="987" applyFont="1" applyFill="1" applyBorder="1"/>
    <xf fontId="994" fillId="991" borderId="988" applyFont="1" applyFill="1" applyBorder="1"/>
    <xf fontId="995" fillId="992" borderId="989" applyFont="1" applyFill="1" applyBorder="1"/>
    <xf fontId="996" fillId="993" borderId="990" applyFont="1" applyFill="1" applyBorder="1"/>
    <xf fontId="997" fillId="994" borderId="991" applyFont="1" applyFill="1" applyBorder="1"/>
    <xf fontId="998" fillId="995" borderId="992" applyFont="1" applyFill="1" applyBorder="1"/>
    <xf fontId="999" fillId="996" borderId="993" applyFont="1" applyFill="1" applyBorder="1"/>
    <xf fontId="1000" fillId="997" borderId="994" applyFont="1" applyFill="1" applyBorder="1"/>
    <xf fontId="1001" fillId="998" borderId="995" applyFont="1" applyFill="1" applyBorder="1"/>
    <xf fontId="1002" fillId="999" borderId="996" applyFont="1" applyFill="1" applyBorder="1"/>
    <xf fontId="1003" fillId="1000" borderId="997" applyFont="1" applyFill="1" applyBorder="1"/>
    <xf fontId="1004" fillId="1001" borderId="998" applyFont="1" applyFill="1" applyBorder="1"/>
    <xf fontId="1005" fillId="1002" borderId="999" applyFont="1" applyFill="1" applyBorder="1"/>
    <xf fontId="1006" fillId="1003" borderId="1000" applyFont="1" applyFill="1" applyBorder="1"/>
    <xf fontId="1007" fillId="1004" borderId="1001" applyFont="1" applyFill="1" applyBorder="1"/>
    <xf fontId="1008" fillId="1005" borderId="1002" applyFont="1" applyFill="1" applyBorder="1"/>
    <xf fontId="1009" fillId="1006" borderId="1003" applyFont="1" applyFill="1" applyBorder="1"/>
    <xf fontId="1010" fillId="1007" borderId="1004" applyFont="1" applyFill="1" applyBorder="1"/>
    <xf fontId="1011" fillId="1008" borderId="1005" applyFont="1" applyFill="1" applyBorder="1"/>
    <xf fontId="1012" fillId="1009" borderId="1006" applyFont="1" applyFill="1" applyBorder="1"/>
    <xf fontId="1013" fillId="1010" borderId="1007" applyFont="1" applyFill="1" applyBorder="1"/>
    <xf fontId="1014" fillId="1011" borderId="1008" applyFont="1" applyFill="1" applyBorder="1"/>
    <xf fontId="1015" fillId="1012" borderId="1009" applyFont="1" applyFill="1" applyBorder="1"/>
    <xf fontId="1016" fillId="1013" borderId="1010" applyFont="1" applyFill="1" applyBorder="1"/>
    <xf fontId="1017" fillId="1014" borderId="1011" applyFont="1" applyFill="1" applyBorder="1"/>
    <xf fontId="1018" fillId="1015" borderId="1012" applyFont="1" applyFill="1" applyBorder="1"/>
    <xf fontId="1019" fillId="1016" borderId="1013" applyFont="1" applyFill="1" applyBorder="1"/>
    <xf fontId="1020" fillId="1017" borderId="1014" applyFont="1" applyFill="1" applyBorder="1"/>
    <xf fontId="1021" fillId="1018" borderId="1015" applyFont="1" applyFill="1" applyBorder="1"/>
    <xf fontId="1022" fillId="1019" borderId="1016" applyFont="1" applyFill="1" applyBorder="1"/>
    <xf fontId="1023" fillId="1020" borderId="1017" applyFont="1" applyFill="1" applyBorder="1"/>
    <xf fontId="1024" fillId="1021" borderId="1018" applyFont="1" applyFill="1" applyBorder="1"/>
    <xf fontId="1025" fillId="1022" borderId="1019" applyFont="1" applyFill="1" applyBorder="1"/>
    <xf fontId="1026" fillId="1023" borderId="1020" applyFont="1" applyFill="1" applyBorder="1"/>
    <xf fontId="1027" fillId="1024" borderId="1021" applyFont="1" applyFill="1" applyBorder="1"/>
    <xf fontId="1028" fillId="1025" borderId="1022" applyFont="1" applyFill="1" applyBorder="1"/>
    <xf fontId="1029" fillId="1026" borderId="1023" applyFont="1" applyFill="1" applyBorder="1"/>
    <xf fontId="1030" fillId="1027" borderId="1024" applyFont="1" applyFill="1" applyBorder="1"/>
    <xf fontId="1031" fillId="1028" borderId="1025" applyFont="1" applyFill="1" applyBorder="1"/>
    <xf fontId="1032" fillId="1029" borderId="1026" applyFont="1" applyFill="1" applyBorder="1"/>
    <xf fontId="1033" fillId="1030" borderId="1027" applyFont="1" applyFill="1" applyBorder="1"/>
    <xf fontId="1034" fillId="1031" borderId="1028" applyFont="1" applyFill="1" applyBorder="1"/>
    <xf fontId="1035" fillId="1032" borderId="1029" applyFont="1" applyFill="1" applyBorder="1"/>
    <xf fontId="1036" fillId="1033" borderId="1030" applyFont="1" applyFill="1" applyBorder="1"/>
    <xf fontId="1037" fillId="1034" borderId="1031" applyFont="1" applyFill="1" applyBorder="1"/>
    <xf fontId="1038" fillId="1035" borderId="1032" applyFont="1" applyFill="1" applyBorder="1"/>
    <xf fontId="1039" fillId="1036" borderId="1033" applyFont="1" applyFill="1" applyBorder="1"/>
    <xf fontId="1040" fillId="1037" borderId="1034" applyFont="1" applyFill="1" applyBorder="1"/>
    <xf fontId="1041" fillId="1038" borderId="1035" applyFont="1" applyFill="1" applyBorder="1"/>
    <xf fontId="1042" fillId="1039" borderId="1036" applyFont="1" applyFill="1" applyBorder="1"/>
    <xf fontId="1043" fillId="1040" borderId="1037" applyFont="1" applyFill="1" applyBorder="1"/>
    <xf fontId="1044" fillId="1041" borderId="1038" applyFont="1" applyFill="1" applyBorder="1"/>
    <xf fontId="1045" fillId="1042" borderId="1039" applyFont="1" applyFill="1" applyBorder="1"/>
    <xf fontId="1046" fillId="1043" borderId="1040" applyFont="1" applyFill="1" applyBorder="1"/>
    <xf fontId="1047" fillId="1044" borderId="1041" applyFont="1" applyFill="1" applyBorder="1"/>
    <xf fontId="1048" fillId="1045" borderId="1042" applyFont="1" applyFill="1" applyBorder="1"/>
    <xf fontId="1049" fillId="1046" borderId="1043" applyFont="1" applyFill="1" applyBorder="1"/>
    <xf fontId="1050" fillId="1047" borderId="1044" applyFont="1" applyFill="1" applyBorder="1"/>
    <xf fontId="1051" fillId="1048" borderId="1045" applyFont="1" applyFill="1" applyBorder="1"/>
    <xf fontId="1052" fillId="1049" borderId="1046" applyFont="1" applyFill="1" applyBorder="1"/>
    <xf fontId="1053" fillId="1050" borderId="1047" applyFont="1" applyFill="1" applyBorder="1"/>
    <xf fontId="1054" fillId="1051" borderId="1048" applyFont="1" applyFill="1" applyBorder="1"/>
    <xf fontId="1055" fillId="1052" borderId="1049" applyFont="1" applyFill="1" applyBorder="1"/>
    <xf fontId="1056" fillId="1053" borderId="1050" applyFont="1" applyFill="1" applyBorder="1"/>
    <xf fontId="1057" fillId="1054" borderId="1051" applyFont="1" applyFill="1" applyBorder="1"/>
    <xf fontId="1058" fillId="1055" borderId="1052" applyFont="1" applyFill="1" applyBorder="1"/>
    <xf fontId="1059" fillId="1056" borderId="1053" applyFont="1" applyFill="1" applyBorder="1"/>
    <xf fontId="1060" fillId="1057" borderId="1054" applyFont="1" applyFill="1" applyBorder="1"/>
    <xf fontId="1061" fillId="1058" borderId="1055" applyFont="1" applyFill="1" applyBorder="1"/>
    <xf fontId="1062" fillId="1059" borderId="1056" applyFont="1" applyFill="1" applyBorder="1"/>
    <xf fontId="1063" fillId="1060" borderId="1057" applyFont="1" applyFill="1" applyBorder="1"/>
    <xf fontId="1064" fillId="1061" borderId="1058" applyFont="1" applyFill="1" applyBorder="1"/>
    <xf fontId="1065" fillId="1062" borderId="1059" applyFont="1" applyFill="1" applyBorder="1"/>
    <xf fontId="1066" fillId="1063" borderId="1060" applyFont="1" applyFill="1" applyBorder="1"/>
    <xf fontId="1067" fillId="1064" borderId="1061" applyFont="1" applyFill="1" applyBorder="1"/>
    <xf fontId="1068" fillId="1065" borderId="1062" applyFont="1" applyFill="1" applyBorder="1"/>
    <xf fontId="1069" fillId="1066" borderId="1063" applyFont="1" applyFill="1" applyBorder="1"/>
    <xf fontId="1070" fillId="1067" borderId="1064" applyFont="1" applyFill="1" applyBorder="1"/>
    <xf fontId="1071" fillId="1068" borderId="1065" applyFont="1" applyFill="1" applyBorder="1"/>
    <xf fontId="1072" fillId="1069" borderId="1066" applyFont="1" applyFill="1" applyBorder="1"/>
    <xf fontId="1073" fillId="1070" borderId="1067" applyFont="1" applyFill="1" applyBorder="1"/>
    <xf fontId="1074" fillId="1071" borderId="1068" applyFont="1" applyFill="1" applyBorder="1"/>
    <xf fontId="1075" fillId="1072" borderId="1069" applyFont="1" applyFill="1" applyBorder="1"/>
    <xf fontId="1076" fillId="1073" borderId="1070" applyFont="1" applyFill="1" applyBorder="1"/>
    <xf fontId="1077" fillId="1074" borderId="1071" applyFont="1" applyFill="1" applyBorder="1"/>
    <xf fontId="1078" fillId="1075" borderId="1072" applyFont="1" applyFill="1" applyBorder="1"/>
    <xf fontId="1079" fillId="1076" borderId="1073" applyFont="1" applyFill="1" applyBorder="1"/>
    <xf fontId="1080" fillId="1077" borderId="1074" applyFont="1" applyFill="1" applyBorder="1"/>
    <xf fontId="1081" fillId="1078" borderId="1075" applyFont="1" applyFill="1" applyBorder="1"/>
    <xf fontId="1082" fillId="1079" borderId="1076" applyFont="1" applyFill="1" applyBorder="1"/>
    <xf fontId="1083" fillId="1080" borderId="1077" applyFont="1" applyFill="1" applyBorder="1"/>
    <xf fontId="1084" fillId="1081" borderId="1078" applyFont="1" applyFill="1" applyBorder="1"/>
    <xf fontId="1085" fillId="1082" borderId="1079" applyFont="1" applyFill="1" applyBorder="1"/>
    <xf fontId="1086" fillId="1083" borderId="1080" applyFont="1" applyFill="1" applyBorder="1"/>
    <xf fontId="1087" fillId="1084" borderId="1081" applyFont="1" applyFill="1" applyBorder="1"/>
    <xf fontId="1088" fillId="1085" borderId="1082" applyFont="1" applyFill="1" applyBorder="1"/>
    <xf fontId="1089" fillId="1086" borderId="1083" applyFont="1" applyFill="1" applyBorder="1"/>
    <xf fontId="1090" fillId="1087" borderId="1084" applyFont="1" applyFill="1" applyBorder="1"/>
    <xf fontId="1091" fillId="1088" borderId="1085" applyFont="1" applyFill="1" applyBorder="1"/>
    <xf fontId="1092" fillId="1089" borderId="1086" applyFont="1" applyFill="1" applyBorder="1"/>
    <xf fontId="1093" fillId="1090" borderId="1087" applyFont="1" applyFill="1" applyBorder="1"/>
    <xf fontId="1094" fillId="1091" borderId="1088" applyFont="1" applyFill="1" applyBorder="1"/>
    <xf fontId="1095" fillId="1092" borderId="1089" applyFont="1" applyFill="1" applyBorder="1"/>
    <xf fontId="1096" fillId="1093" borderId="1090" applyFont="1" applyFill="1" applyBorder="1"/>
    <xf fontId="1097" fillId="1094" borderId="1091" applyFont="1" applyFill="1" applyBorder="1"/>
    <xf fontId="1098" fillId="1095" borderId="1092" applyFont="1" applyFill="1" applyBorder="1"/>
    <xf fontId="1099" fillId="1096" borderId="1093" applyFont="1" applyFill="1" applyBorder="1"/>
    <xf fontId="1100" fillId="1097" borderId="1094" applyFont="1" applyFill="1" applyBorder="1"/>
    <xf fontId="1101" fillId="1098" borderId="1095" applyFont="1" applyFill="1" applyBorder="1"/>
    <xf fontId="1102" fillId="1099" borderId="1096" applyFont="1" applyFill="1" applyBorder="1"/>
    <xf fontId="1103" fillId="1100" borderId="1097" applyFont="1" applyFill="1" applyBorder="1"/>
    <xf fontId="1104" fillId="1101" borderId="1098" applyFont="1" applyFill="1" applyBorder="1"/>
    <xf fontId="1105" fillId="1102" borderId="1099" applyFont="1" applyFill="1" applyBorder="1"/>
    <xf fontId="1106" fillId="1103" borderId="1100" applyFont="1" applyFill="1" applyBorder="1"/>
    <xf fontId="1107" fillId="1104" borderId="1101" applyFont="1" applyFill="1" applyBorder="1"/>
    <xf fontId="1108" fillId="1105" borderId="1102" applyFont="1" applyFill="1" applyBorder="1"/>
    <xf fontId="1109" fillId="1106" borderId="1103" applyFont="1" applyFill="1" applyBorder="1"/>
    <xf fontId="1110" fillId="1107" borderId="1104" applyFont="1" applyFill="1" applyBorder="1"/>
    <xf fontId="1111" fillId="1108" borderId="1105" applyFont="1" applyFill="1" applyBorder="1"/>
    <xf fontId="1112" fillId="1109" borderId="1106" applyFont="1" applyFill="1" applyBorder="1"/>
  </cellXfs>
  <cellStyles count="2">
    <cellStyle name="Normal" xfId="0" builtinId="0"/>
    <cellStyle name="Normal 2" xfId="1" xr:uid="{BCCA1864-8AB9-44B7-BD98-57B365AB0C60}"/>
  </cellStyles>
  <dxfs count="9">
    <dxf>
      <fill>
        <patternFill patternType="solid">
          <bgColor rgb="FFF4CCCC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7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8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6">
  <autoFilter ref="A4:L206" xr:uid="{00000000-000C-0000-FFFF-FFFF01000000}"/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7">
      <calculatedColumnFormula>VLOOKUP(TablaMarimba[[#This Row],[Equipo]],Catalogos!$I$4:$J$35,2,FALSE)</calculatedColumnFormula>
    </tableColumn>
    <tableColumn id="6" xr3:uid="{00000000-0010-0000-0100-000006000000}" name="Entrada (L)"/>
    <tableColumn id="7" xr3:uid="{00000000-0010-0000-0100-000007000000}" name="Salida (L)" dataDxfId="6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6062C8-8627-43AE-B5EA-97534A44444C}" name="TablaMarimba6" displayName="TablaMarimba6" ref="A4:L206">
  <autoFilter ref="A4:L206" xr:uid="{00000000-000C-0000-FFFF-FFFF01000000}"/>
  <tableColumns count="12">
    <tableColumn id="1" xr3:uid="{8F93C2D3-59E8-4ED8-AD33-D80C1E2FB336}" name="Fecha"/>
    <tableColumn id="2" xr3:uid="{1FDB07B9-3C82-4BA6-A1D0-7BBCC4F65B10}" name="Movimiento"/>
    <tableColumn id="3" xr3:uid="{BA86575F-7C22-46F4-B075-46F1C8361BD9}" name="Origen/Obra"/>
    <tableColumn id="4" xr3:uid="{2F9F3F05-302E-4E36-B6C3-D33A7313CF7F}" name="Equipo"/>
    <tableColumn id="5" xr3:uid="{80B99EA3-A76A-4413-803B-47316FD99CFD}" name="Económico" dataDxfId="2">
      <calculatedColumnFormula>VLOOKUP(TablaMarimba6[[#This Row],[Equipo]],Catalogos!$I$4:$J$35,2,FALSE)</calculatedColumnFormula>
    </tableColumn>
    <tableColumn id="6" xr3:uid="{F3B80B77-7F7D-4E7F-90FB-32C1FB406B69}" name="Entrada (L)"/>
    <tableColumn id="7" xr3:uid="{6800B0C2-0798-474F-92E3-491283B10A41}" name="Salida (L)" dataDxfId="1"/>
    <tableColumn id="8" xr3:uid="{074D2D2A-CED3-4020-A111-0260F5AF13EE}" name="Existencia Teórica"/>
    <tableColumn id="9" xr3:uid="{F9911E82-721A-423B-A6E5-F73D5EDF7715}" name="Costo/L"/>
    <tableColumn id="10" xr3:uid="{C0E34614-EA93-4B8E-B48C-B52BEB55C2E1}" name="Importe"/>
    <tableColumn id="11" xr3:uid="{3874C8C0-26B2-46B1-956E-1F33EE7ABE4F}" name="Firma/Validación"/>
    <tableColumn id="12" xr3:uid="{68A50BCC-C51C-495B-BF43-8A8723CAD7BA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/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5">
      <calculatedColumnFormula>VLOOKUP(TablaObra[[#This Row],[Equipo]],Catalogos!$I$4:$J$46,2,FALSE)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3">
      <calculatedColumnFormula>VLOOKUP(TablaObra5[[#This Row],[Equipo]],Catalogos!$I$4:$J$39,2,FALSE)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4">
      <calculatedColumnFormula>VLOOKUP(TablaObra5[[#This Row],[Obra]],Catalogos!$B$3:$C$8,2,FALSE)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18" customWidth="1"/>
    <col min="2" max="2" width="1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32" customWidth="1"/>
  </cols>
  <sheetData>
    <row r="1" ht="35" customHeight="1">
      <c r="A1" t="s" s="608">
        <v>222</v>
      </c>
      <c r="B1" s="834"/>
      <c r="C1" s="835"/>
      <c r="D1" s="836"/>
      <c r="E1" s="837"/>
      <c r="F1" s="838"/>
      <c r="G1" s="839"/>
      <c r="H1" s="840"/>
      <c r="I1" s="841"/>
      <c r="J1" s="842"/>
    </row>
    <row r="2">
      <c r="A2" s="843"/>
      <c r="B2" s="844"/>
      <c r="C2" s="845"/>
      <c r="D2" s="846"/>
      <c r="E2" s="847"/>
      <c r="F2" s="848"/>
      <c r="G2" s="849"/>
      <c r="H2" s="850"/>
      <c r="I2" s="851"/>
      <c r="J2" s="852"/>
    </row>
    <row r="3" ht="20" customHeight="1">
      <c r="A3" t="s" s="609">
        <v>223</v>
      </c>
      <c r="B3" s="853"/>
      <c r="C3" s="854"/>
      <c r="D3" s="855"/>
      <c r="E3" t="s" s="621">
        <v>270</v>
      </c>
      <c r="F3" s="856"/>
      <c r="G3" s="857"/>
      <c r="H3" s="858"/>
      <c r="I3" s="859"/>
      <c r="J3" s="860"/>
    </row>
    <row r="4">
      <c r="A4" s="861"/>
      <c r="B4" t="s" s="610">
        <v>224</v>
      </c>
      <c r="C4" t="s" s="615">
        <v>3</v>
      </c>
      <c r="D4" s="862"/>
      <c r="E4" s="620">
        <f>IF(I28=0, "🟢 TODO COINCIDE (0 L)", "🔴 DISCREPANCIA: " &amp; I28 &amp; " L")</f>
      </c>
      <c r="F4" s="863"/>
      <c r="G4" s="864"/>
      <c r="H4" s="865"/>
      <c r="I4" s="866"/>
      <c r="J4" s="867"/>
    </row>
    <row r="5">
      <c r="A5" s="868"/>
      <c r="B5" t="s" s="611">
        <v>225</v>
      </c>
      <c r="C5" s="616">
        <v>46181</v>
      </c>
      <c r="D5" s="869"/>
      <c r="E5" s="870"/>
      <c r="F5" s="871"/>
      <c r="G5" s="872"/>
      <c r="H5" s="873"/>
      <c r="I5" s="874"/>
      <c r="J5" s="875"/>
    </row>
    <row r="6">
      <c r="A6" s="876"/>
      <c r="B6" t="s" s="612">
        <v>271</v>
      </c>
      <c r="C6" s="617">
        <v>46188</v>
      </c>
      <c r="D6" s="877"/>
      <c r="E6" s="878"/>
      <c r="F6" s="879"/>
      <c r="G6" s="880"/>
      <c r="H6" s="881"/>
      <c r="I6" s="882"/>
      <c r="J6" s="883"/>
    </row>
    <row r="7">
      <c r="A7" s="884"/>
      <c r="B7" t="s" s="613">
        <v>226</v>
      </c>
      <c r="C7" s="618">
        <v>28.3</v>
      </c>
      <c r="D7" s="885"/>
      <c r="E7" s="886"/>
      <c r="F7" s="887"/>
      <c r="G7" s="888"/>
      <c r="H7" s="889"/>
      <c r="I7" s="890"/>
      <c r="J7" s="891"/>
    </row>
    <row r="8">
      <c r="A8" s="892"/>
      <c r="B8" t="s" s="614">
        <v>272</v>
      </c>
      <c r="C8" t="s" s="619">
        <v>273</v>
      </c>
      <c r="D8" s="893"/>
      <c r="E8" s="894"/>
      <c r="F8" s="895"/>
      <c r="G8" s="896"/>
      <c r="H8" s="897"/>
      <c r="I8" s="898"/>
      <c r="J8" s="899"/>
    </row>
    <row r="9">
      <c r="A9" s="900"/>
      <c r="B9" s="901"/>
      <c r="C9" s="902"/>
      <c r="D9" s="903"/>
      <c r="E9" s="904"/>
      <c r="F9" s="905"/>
      <c r="G9" s="906"/>
      <c r="H9" s="907"/>
      <c r="I9" s="908"/>
      <c r="J9" s="909"/>
    </row>
    <row r="10" ht="20" customHeight="1">
      <c r="A10" t="s" s="622">
        <v>227</v>
      </c>
      <c r="B10" s="910"/>
      <c r="C10" s="911"/>
      <c r="D10" s="912"/>
      <c r="E10" s="913"/>
      <c r="F10" s="914"/>
      <c r="G10" s="915"/>
      <c r="H10" s="916"/>
      <c r="I10" s="917"/>
      <c r="J10" s="918"/>
    </row>
    <row r="11" ht="24" customHeight="1">
      <c r="A11" t="s" s="623">
        <v>228</v>
      </c>
      <c r="B11" t="s" s="624">
        <v>14</v>
      </c>
      <c r="C11" t="s" s="625">
        <v>229</v>
      </c>
      <c r="D11" t="s" s="626">
        <v>230</v>
      </c>
      <c r="E11" t="s" s="627">
        <v>231</v>
      </c>
      <c r="F11" t="s" s="628">
        <v>232</v>
      </c>
      <c r="G11" t="s" s="629">
        <v>233</v>
      </c>
      <c r="H11" t="s" s="630">
        <v>234</v>
      </c>
      <c r="I11" s="919"/>
      <c r="J11" s="920"/>
    </row>
    <row r="12" ht="20" customHeight="1">
      <c r="A12" t="s" s="631">
        <v>235</v>
      </c>
      <c r="B12" s="632">
        <f>C$5</f>
      </c>
      <c r="C12" s="633">
        <f>IF(C$4="Todas", SUMIFS(Solicitudes!F:F, Solicitudes!C:C, B12), SUMIFS(Solicitudes!F:F, Solicitudes!B:B, C$4, Solicitudes!C:C, B12))</f>
      </c>
      <c r="D12" s="634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</c>
      <c r="E12" s="635">
        <f>D12-C12</f>
      </c>
      <c r="F12" s="636">
        <f>C12*C$7</f>
      </c>
      <c r="G12" s="637">
        <f>D12*C$7</f>
      </c>
      <c r="H12" s="638">
        <f>G12-F12</f>
      </c>
      <c r="I12" s="921"/>
      <c r="J12" s="922"/>
    </row>
    <row r="13" ht="20" customHeight="1">
      <c r="A13" t="s" s="639">
        <v>236</v>
      </c>
      <c r="B13" s="640">
        <f>B12+1</f>
      </c>
      <c r="C13" s="641">
        <f>IF(C$4="Todas", SUMIFS(Solicitudes!F:F, Solicitudes!C:C, B13), SUMIFS(Solicitudes!F:F, Solicitudes!B:B, C$4, Solicitudes!C:C, B13))</f>
      </c>
      <c r="D13" s="642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</c>
      <c r="E13" s="643">
        <f>D13-C13</f>
      </c>
      <c r="F13" s="644">
        <f>C13*C$7</f>
      </c>
      <c r="G13" s="645">
        <f>D13*C$7</f>
      </c>
      <c r="H13" s="646">
        <f>G13-F13</f>
      </c>
      <c r="I13" s="923"/>
      <c r="J13" s="924"/>
    </row>
    <row r="14" ht="20" customHeight="1">
      <c r="A14" t="s" s="647">
        <v>237</v>
      </c>
      <c r="B14" s="648">
        <f>B13+1</f>
      </c>
      <c r="C14" s="649">
        <f>IF(C$4="Todas", SUMIFS(Solicitudes!F:F, Solicitudes!C:C, B14), SUMIFS(Solicitudes!F:F, Solicitudes!B:B, C$4, Solicitudes!C:C, B14))</f>
      </c>
      <c r="D14" s="650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</c>
      <c r="E14" s="651">
        <f>D14-C14</f>
      </c>
      <c r="F14" s="652">
        <f>C14*C$7</f>
      </c>
      <c r="G14" s="653">
        <f>D14*C$7</f>
      </c>
      <c r="H14" s="654">
        <f>G14-F14</f>
      </c>
      <c r="I14" s="925"/>
      <c r="J14" s="926"/>
    </row>
    <row r="15" ht="20" customHeight="1">
      <c r="A15" t="s" s="655">
        <v>238</v>
      </c>
      <c r="B15" s="656">
        <f>B14+1</f>
      </c>
      <c r="C15" s="657">
        <f>IF(C$4="Todas", SUMIFS(Solicitudes!F:F, Solicitudes!C:C, B15), SUMIFS(Solicitudes!F:F, Solicitudes!B:B, C$4, Solicitudes!C:C, B15))</f>
      </c>
      <c r="D15" s="658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</c>
      <c r="E15" s="659">
        <f>D15-C15</f>
      </c>
      <c r="F15" s="660">
        <f>C15*C$7</f>
      </c>
      <c r="G15" s="661">
        <f>D15*C$7</f>
      </c>
      <c r="H15" s="662">
        <f>G15-F15</f>
      </c>
      <c r="I15" s="927"/>
      <c r="J15" s="928"/>
    </row>
    <row r="16" ht="20" customHeight="1">
      <c r="A16" t="s" s="663">
        <v>239</v>
      </c>
      <c r="B16" s="664">
        <f>B15+1</f>
      </c>
      <c r="C16" s="665">
        <f>IF(C$4="Todas", SUMIFS(Solicitudes!F:F, Solicitudes!C:C, B16), SUMIFS(Solicitudes!F:F, Solicitudes!B:B, C$4, Solicitudes!C:C, B16))</f>
      </c>
      <c r="D16" s="666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</c>
      <c r="E16" s="667">
        <f>D16-C16</f>
      </c>
      <c r="F16" s="668">
        <f>C16*C$7</f>
      </c>
      <c r="G16" s="669">
        <f>D16*C$7</f>
      </c>
      <c r="H16" s="670">
        <f>G16-F16</f>
      </c>
      <c r="I16" s="929"/>
      <c r="J16" s="930"/>
    </row>
    <row r="17" ht="20" customHeight="1">
      <c r="A17" t="s" s="671">
        <v>240</v>
      </c>
      <c r="B17" s="672">
        <f>B16+1</f>
      </c>
      <c r="C17" s="673">
        <f>IF(C$4="Todas", SUMIFS(Solicitudes!F:F, Solicitudes!C:C, B17), SUMIFS(Solicitudes!F:F, Solicitudes!B:B, C$4, Solicitudes!C:C, B17))</f>
      </c>
      <c r="D17" s="674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</c>
      <c r="E17" s="675">
        <f>D17-C17</f>
      </c>
      <c r="F17" s="676">
        <f>C17*C$7</f>
      </c>
      <c r="G17" s="677">
        <f>D17*C$7</f>
      </c>
      <c r="H17" s="678">
        <f>G17-F17</f>
      </c>
      <c r="I17" s="931"/>
      <c r="J17" s="932"/>
    </row>
    <row r="18" ht="22" customHeight="1">
      <c r="A18" t="s" s="679">
        <v>241</v>
      </c>
      <c r="B18" s="680"/>
      <c r="C18" s="681">
        <f>SUM(C12:C17)</f>
      </c>
      <c r="D18" s="682">
        <f>SUM(D12:D17)</f>
      </c>
      <c r="E18" s="683">
        <f>SUM(E12:E17)</f>
      </c>
      <c r="F18" s="684">
        <f>SUM(F12:F17)</f>
      </c>
      <c r="G18" s="685">
        <f>SUM(G12:G17)</f>
      </c>
      <c r="H18" s="686">
        <f>SUM(H12:H17)</f>
      </c>
      <c r="I18" s="933"/>
      <c r="J18" s="934"/>
    </row>
    <row r="19">
      <c r="A19" s="935"/>
      <c r="B19" s="936"/>
      <c r="C19" s="937"/>
      <c r="D19" s="938"/>
      <c r="E19" s="939"/>
      <c r="F19" s="940"/>
      <c r="G19" s="941"/>
      <c r="H19" s="942"/>
      <c r="I19" s="943"/>
      <c r="J19" s="944"/>
    </row>
    <row r="20" ht="20" customHeight="1">
      <c r="A20" t="s" s="687">
        <v>242</v>
      </c>
      <c r="B20" s="945"/>
      <c r="C20" s="946"/>
      <c r="D20" s="947"/>
      <c r="E20" s="948"/>
      <c r="F20" s="949"/>
      <c r="G20" s="950"/>
      <c r="H20" s="951"/>
      <c r="I20" s="952"/>
      <c r="J20" s="953"/>
    </row>
    <row r="21" ht="24" customHeight="1">
      <c r="A21" t="s" s="688">
        <v>228</v>
      </c>
      <c r="B21" t="s" s="689">
        <v>14</v>
      </c>
      <c r="C21" t="s" s="690">
        <v>243</v>
      </c>
      <c r="D21" t="s" s="691">
        <v>244</v>
      </c>
      <c r="E21" t="s" s="692">
        <v>245</v>
      </c>
      <c r="F21" t="s" s="693">
        <v>246</v>
      </c>
      <c r="G21" t="s" s="694">
        <v>247</v>
      </c>
      <c r="H21" t="s" s="695">
        <v>248</v>
      </c>
      <c r="I21" t="s" s="696">
        <v>249</v>
      </c>
      <c r="J21" t="s" s="697">
        <v>274</v>
      </c>
    </row>
    <row r="22" ht="20" customHeight="1">
      <c r="A22" t="s" s="698">
        <v>235</v>
      </c>
      <c r="B22" s="699">
        <f>B12</f>
      </c>
      <c r="C22" s="700">
        <f>IF(C$4="Todas", SUMIFS(Captura_Obra!F:F, Captura_Obra!A:A, B22, Captura_Obra!C:C, "Marimba M-01"), SUMIFS(Captura_Obra!F:F, Captura_Obra!B:B, C$4, Captura_Obra!A:A, B22, Captura_Obra!C:C, "Marimba M-01"))</f>
      </c>
      <c r="D22" s="701">
        <f>IF(C$4="Todas", SUMIFS(Captura_Marimba_M01!G:G, Captura_Marimba_M01!A:A, B22, Captura_Marimba_M01!B:B, "Salida"), SUMIFS(Captura_Marimba_M01!G:G, Captura_Marimba_M01!C:C, C$4, Captura_Marimba_M01!A:A, B22, Captura_Marimba_M01!B:B, "Salida"))</f>
      </c>
      <c r="E22" s="702">
        <f>C22-D22</f>
      </c>
      <c r="F22" s="703">
        <f>IF(C$4="Todas", SUMIFS(Captura_Obra!F:F, Captura_Obra!A:A, B22, Captura_Obra!C:C, "Pegaso Directo"), SUMIFS(Captura_Obra!F:F, Captura_Obra!B:B, C$4, Captura_Obra!A:A, B22, Captura_Obra!C:C, "Pegaso Directo"))</f>
      </c>
      <c r="G22" s="704">
        <f>IF(C$4="Todas", SUMIFS(Captura_Pegaso!H:H, Captura_Pegaso!A:A, B22, Captura_Pegaso!B:B, "Salida"), SUMIFS(Captura_Pegaso!H:H, Captura_Pegaso!D:D, C$4, Captura_Pegaso!A:A, B22, Captura_Pegaso!B:B, "Salida"))</f>
      </c>
      <c r="H22" s="705">
        <f>F22-G22</f>
      </c>
      <c r="I22" s="706">
        <f>E22+H22</f>
      </c>
      <c r="J22" s="707"/>
    </row>
    <row r="23" ht="20" customHeight="1">
      <c r="A23" t="s" s="708">
        <v>236</v>
      </c>
      <c r="B23" s="709">
        <f>B13</f>
      </c>
      <c r="C23" s="710">
        <f>IF(C$4="Todas", SUMIFS(Captura_Obra!F:F, Captura_Obra!A:A, B23, Captura_Obra!C:C, "Marimba M-01"), SUMIFS(Captura_Obra!F:F, Captura_Obra!B:B, C$4, Captura_Obra!A:A, B23, Captura_Obra!C:C, "Marimba M-01"))</f>
      </c>
      <c r="D23" s="711">
        <f>IF(C$4="Todas", SUMIFS(Captura_Marimba_M01!G:G, Captura_Marimba_M01!A:A, B23, Captura_Marimba_M01!B:B, "Salida"), SUMIFS(Captura_Marimba_M01!G:G, Captura_Marimba_M01!C:C, C$4, Captura_Marimba_M01!A:A, B23, Captura_Marimba_M01!B:B, "Salida"))</f>
      </c>
      <c r="E23" s="712">
        <f>C23-D23</f>
      </c>
      <c r="F23" s="713">
        <f>IF(C$4="Todas", SUMIFS(Captura_Obra!F:F, Captura_Obra!A:A, B23, Captura_Obra!C:C, "Pegaso Directo"), SUMIFS(Captura_Obra!F:F, Captura_Obra!B:B, C$4, Captura_Obra!A:A, B23, Captura_Obra!C:C, "Pegaso Directo"))</f>
      </c>
      <c r="G23" s="714">
        <f>IF(C$4="Todas", SUMIFS(Captura_Pegaso!H:H, Captura_Pegaso!A:A, B23, Captura_Pegaso!B:B, "Salida"), SUMIFS(Captura_Pegaso!H:H, Captura_Pegaso!D:D, C$4, Captura_Pegaso!A:A, B23, Captura_Pegaso!B:B, "Salida"))</f>
      </c>
      <c r="H23" s="715">
        <f>F23-G23</f>
      </c>
      <c r="I23" s="716">
        <f>E23+H23</f>
      </c>
      <c r="J23" s="717"/>
    </row>
    <row r="24" ht="20" customHeight="1">
      <c r="A24" t="s" s="718">
        <v>237</v>
      </c>
      <c r="B24" s="719">
        <f>B14</f>
      </c>
      <c r="C24" s="720">
        <f>IF(C$4="Todas", SUMIFS(Captura_Obra!F:F, Captura_Obra!A:A, B24, Captura_Obra!C:C, "Marimba M-01"), SUMIFS(Captura_Obra!F:F, Captura_Obra!B:B, C$4, Captura_Obra!A:A, B24, Captura_Obra!C:C, "Marimba M-01"))</f>
      </c>
      <c r="D24" s="721">
        <f>IF(C$4="Todas", SUMIFS(Captura_Marimba_M01!G:G, Captura_Marimba_M01!A:A, B24, Captura_Marimba_M01!B:B, "Salida"), SUMIFS(Captura_Marimba_M01!G:G, Captura_Marimba_M01!C:C, C$4, Captura_Marimba_M01!A:A, B24, Captura_Marimba_M01!B:B, "Salida"))</f>
      </c>
      <c r="E24" s="722">
        <f>C24-D24</f>
      </c>
      <c r="F24" s="723">
        <f>IF(C$4="Todas", SUMIFS(Captura_Obra!F:F, Captura_Obra!A:A, B24, Captura_Obra!C:C, "Pegaso Directo"), SUMIFS(Captura_Obra!F:F, Captura_Obra!B:B, C$4, Captura_Obra!A:A, B24, Captura_Obra!C:C, "Pegaso Directo"))</f>
      </c>
      <c r="G24" s="724">
        <f>IF(C$4="Todas", SUMIFS(Captura_Pegaso!H:H, Captura_Pegaso!A:A, B24, Captura_Pegaso!B:B, "Salida"), SUMIFS(Captura_Pegaso!H:H, Captura_Pegaso!D:D, C$4, Captura_Pegaso!A:A, B24, Captura_Pegaso!B:B, "Salida"))</f>
      </c>
      <c r="H24" s="725">
        <f>F24-G24</f>
      </c>
      <c r="I24" s="726">
        <f>E24+H24</f>
      </c>
      <c r="J24" s="727"/>
    </row>
    <row r="25" ht="20" customHeight="1">
      <c r="A25" t="s" s="728">
        <v>238</v>
      </c>
      <c r="B25" s="729">
        <f>B15</f>
      </c>
      <c r="C25" s="730">
        <f>IF(C$4="Todas", SUMIFS(Captura_Obra!F:F, Captura_Obra!A:A, B25, Captura_Obra!C:C, "Marimba M-01"), SUMIFS(Captura_Obra!F:F, Captura_Obra!B:B, C$4, Captura_Obra!A:A, B25, Captura_Obra!C:C, "Marimba M-01"))</f>
      </c>
      <c r="D25" s="731">
        <f>IF(C$4="Todas", SUMIFS(Captura_Marimba_M01!G:G, Captura_Marimba_M01!A:A, B25, Captura_Marimba_M01!B:B, "Salida"), SUMIFS(Captura_Marimba_M01!G:G, Captura_Marimba_M01!C:C, C$4, Captura_Marimba_M01!A:A, B25, Captura_Marimba_M01!B:B, "Salida"))</f>
      </c>
      <c r="E25" s="732">
        <f>C25-D25</f>
      </c>
      <c r="F25" s="733">
        <f>IF(C$4="Todas", SUMIFS(Captura_Obra!F:F, Captura_Obra!A:A, B25, Captura_Obra!C:C, "Pegaso Directo"), SUMIFS(Captura_Obra!F:F, Captura_Obra!B:B, C$4, Captura_Obra!A:A, B25, Captura_Obra!C:C, "Pegaso Directo"))</f>
      </c>
      <c r="G25" s="734">
        <f>IF(C$4="Todas", SUMIFS(Captura_Pegaso!H:H, Captura_Pegaso!A:A, B25, Captura_Pegaso!B:B, "Salida"), SUMIFS(Captura_Pegaso!H:H, Captura_Pegaso!D:D, C$4, Captura_Pegaso!A:A, B25, Captura_Pegaso!B:B, "Salida"))</f>
      </c>
      <c r="H25" s="735">
        <f>F25-G25</f>
      </c>
      <c r="I25" s="736">
        <f>E25+H25</f>
      </c>
      <c r="J25" s="737"/>
    </row>
    <row r="26" ht="20" customHeight="1">
      <c r="A26" t="s" s="738">
        <v>239</v>
      </c>
      <c r="B26" s="739">
        <f>B16</f>
      </c>
      <c r="C26" s="740">
        <f>IF(C$4="Todas", SUMIFS(Captura_Obra!F:F, Captura_Obra!A:A, B26, Captura_Obra!C:C, "Marimba M-01"), SUMIFS(Captura_Obra!F:F, Captura_Obra!B:B, C$4, Captura_Obra!A:A, B26, Captura_Obra!C:C, "Marimba M-01"))</f>
      </c>
      <c r="D26" s="741">
        <f>IF(C$4="Todas", SUMIFS(Captura_Marimba_M01!G:G, Captura_Marimba_M01!A:A, B26, Captura_Marimba_M01!B:B, "Salida"), SUMIFS(Captura_Marimba_M01!G:G, Captura_Marimba_M01!C:C, C$4, Captura_Marimba_M01!A:A, B26, Captura_Marimba_M01!B:B, "Salida"))</f>
      </c>
      <c r="E26" s="742">
        <f>C26-D26</f>
      </c>
      <c r="F26" s="743">
        <f>IF(C$4="Todas", SUMIFS(Captura_Obra!F:F, Captura_Obra!A:A, B26, Captura_Obra!C:C, "Pegaso Directo"), SUMIFS(Captura_Obra!F:F, Captura_Obra!B:B, C$4, Captura_Obra!A:A, B26, Captura_Obra!C:C, "Pegaso Directo"))</f>
      </c>
      <c r="G26" s="744">
        <f>IF(C$4="Todas", SUMIFS(Captura_Pegaso!H:H, Captura_Pegaso!A:A, B26, Captura_Pegaso!B:B, "Salida"), SUMIFS(Captura_Pegaso!H:H, Captura_Pegaso!D:D, C$4, Captura_Pegaso!A:A, B26, Captura_Pegaso!B:B, "Salida"))</f>
      </c>
      <c r="H26" s="745">
        <f>F26-G26</f>
      </c>
      <c r="I26" s="746">
        <f>E26+H26</f>
      </c>
      <c r="J26" s="747"/>
    </row>
    <row r="27" ht="20" customHeight="1">
      <c r="A27" t="s" s="748">
        <v>240</v>
      </c>
      <c r="B27" s="749">
        <f>B17</f>
      </c>
      <c r="C27" s="750">
        <f>IF(C$4="Todas", SUMIFS(Captura_Obra!F:F, Captura_Obra!A:A, B27, Captura_Obra!C:C, "Marimba M-01"), SUMIFS(Captura_Obra!F:F, Captura_Obra!B:B, C$4, Captura_Obra!A:A, B27, Captura_Obra!C:C, "Marimba M-01"))</f>
      </c>
      <c r="D27" s="751">
        <f>IF(C$4="Todas", SUMIFS(Captura_Marimba_M01!G:G, Captura_Marimba_M01!A:A, B27, Captura_Marimba_M01!B:B, "Salida"), SUMIFS(Captura_Marimba_M01!G:G, Captura_Marimba_M01!C:C, C$4, Captura_Marimba_M01!A:A, B27, Captura_Marimba_M01!B:B, "Salida"))</f>
      </c>
      <c r="E27" s="752">
        <f>C27-D27</f>
      </c>
      <c r="F27" s="753">
        <f>IF(C$4="Todas", SUMIFS(Captura_Obra!F:F, Captura_Obra!A:A, B27, Captura_Obra!C:C, "Pegaso Directo"), SUMIFS(Captura_Obra!F:F, Captura_Obra!B:B, C$4, Captura_Obra!A:A, B27, Captura_Obra!C:C, "Pegaso Directo"))</f>
      </c>
      <c r="G27" s="754">
        <f>IF(C$4="Todas", SUMIFS(Captura_Pegaso!H:H, Captura_Pegaso!A:A, B27, Captura_Pegaso!B:B, "Salida"), SUMIFS(Captura_Pegaso!H:H, Captura_Pegaso!D:D, C$4, Captura_Pegaso!A:A, B27, Captura_Pegaso!B:B, "Salida"))</f>
      </c>
      <c r="H27" s="755">
        <f>F27-G27</f>
      </c>
      <c r="I27" s="756">
        <f>E27+H27</f>
      </c>
      <c r="J27" s="757"/>
    </row>
    <row r="28" ht="22" customHeight="1">
      <c r="A28" t="s" s="758">
        <v>275</v>
      </c>
      <c r="B28" s="759"/>
      <c r="C28" s="760">
        <f>SUM(C22:C27)</f>
      </c>
      <c r="D28" s="761">
        <f>SUM(D22:D27)</f>
      </c>
      <c r="E28" s="762">
        <f>SUM(E22:E27)</f>
      </c>
      <c r="F28" s="763">
        <f>SUM(F22:F27)</f>
      </c>
      <c r="G28" s="764">
        <f>SUM(G22:G27)</f>
      </c>
      <c r="H28" s="765">
        <f>SUM(H22:H27)</f>
      </c>
      <c r="I28" s="766">
        <f>SUM(I22:I27)</f>
      </c>
      <c r="J28" s="767"/>
    </row>
    <row r="29">
      <c r="A29" s="954"/>
      <c r="B29" s="955"/>
      <c r="C29" s="956"/>
      <c r="D29" s="957"/>
      <c r="E29" s="958"/>
      <c r="F29" s="959"/>
      <c r="G29" s="960"/>
      <c r="H29" s="961"/>
      <c r="I29" s="962"/>
      <c r="J29" s="963"/>
    </row>
    <row r="30">
      <c r="A30" s="964"/>
      <c r="B30" s="965"/>
      <c r="C30" s="966"/>
      <c r="D30" s="967"/>
      <c r="E30" s="968"/>
      <c r="F30" s="969"/>
      <c r="G30" s="970"/>
      <c r="H30" s="971"/>
      <c r="I30" s="972"/>
      <c r="J30" s="973"/>
    </row>
    <row r="31" ht="20" customHeight="1">
      <c r="A31" t="s" s="768">
        <v>276</v>
      </c>
      <c r="B31" s="974"/>
      <c r="C31" s="975"/>
      <c r="D31" s="976"/>
      <c r="E31" s="977"/>
      <c r="F31" s="978"/>
      <c r="G31" s="979"/>
      <c r="H31" s="980"/>
      <c r="I31" s="981"/>
      <c r="J31" s="982"/>
    </row>
    <row r="32" ht="24" customHeight="1">
      <c r="A32" t="s" s="769">
        <v>1</v>
      </c>
      <c r="B32" t="s" s="770">
        <v>277</v>
      </c>
      <c r="C32" t="s" s="771">
        <v>278</v>
      </c>
      <c r="D32" s="983"/>
      <c r="E32" s="984"/>
      <c r="F32" s="985"/>
      <c r="G32" s="986"/>
      <c r="H32" s="987"/>
      <c r="I32" s="988"/>
      <c r="J32" s="989"/>
    </row>
    <row r="33" ht="20" customHeight="1">
      <c r="A33" t="s" s="772">
        <v>3</v>
      </c>
      <c r="B33" s="773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</c>
      <c r="C33" s="774">
        <f>B33*C$7</f>
      </c>
      <c r="D33" s="990"/>
      <c r="E33" s="991"/>
      <c r="F33" s="992"/>
      <c r="G33" s="993"/>
      <c r="H33" s="994"/>
      <c r="I33" s="995"/>
      <c r="J33" s="996"/>
    </row>
    <row r="34" ht="20" customHeight="1">
      <c r="A34" t="s" s="775">
        <v>4</v>
      </c>
      <c r="B34" s="776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</c>
      <c r="C34" s="777">
        <f>B34*C$7</f>
      </c>
      <c r="D34" s="997"/>
      <c r="E34" s="998"/>
      <c r="F34" s="999"/>
      <c r="G34" s="1000"/>
      <c r="H34" s="1001"/>
      <c r="I34" s="1002"/>
      <c r="J34" s="1003"/>
    </row>
    <row r="35" ht="20" customHeight="1">
      <c r="A35" t="s" s="778">
        <v>5</v>
      </c>
      <c r="B35" s="779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</c>
      <c r="C35" s="780">
        <f>B35*C$7</f>
      </c>
      <c r="D35" s="1004"/>
      <c r="E35" s="1005"/>
      <c r="F35" s="1006"/>
      <c r="G35" s="1007"/>
      <c r="H35" s="1008"/>
      <c r="I35" s="1009"/>
      <c r="J35" s="1010"/>
    </row>
    <row r="36" ht="20" customHeight="1">
      <c r="A36" t="s" s="781">
        <v>183</v>
      </c>
      <c r="B36" s="782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</c>
      <c r="C36" s="783">
        <f>B36*C$7</f>
      </c>
      <c r="D36" s="1011"/>
      <c r="E36" s="1012"/>
      <c r="F36" s="1013"/>
      <c r="G36" s="1014"/>
      <c r="H36" s="1015"/>
      <c r="I36" s="1016"/>
      <c r="J36" s="1017"/>
    </row>
    <row r="37" ht="20" customHeight="1">
      <c r="A37" t="s" s="784">
        <v>187</v>
      </c>
      <c r="B37" s="785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</c>
      <c r="C37" s="786">
        <f>B37*C$7</f>
      </c>
      <c r="D37" s="1018"/>
      <c r="E37" s="1019"/>
      <c r="F37" s="1020"/>
      <c r="G37" s="1021"/>
      <c r="H37" s="1022"/>
      <c r="I37" s="1023"/>
      <c r="J37" s="1024"/>
    </row>
    <row r="38" ht="20" customHeight="1">
      <c r="A38" t="s" s="787">
        <v>196</v>
      </c>
      <c r="B38" s="788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</c>
      <c r="C38" s="789">
        <f>B38*C$7</f>
      </c>
      <c r="D38" s="1025"/>
      <c r="E38" s="1026"/>
      <c r="F38" s="1027"/>
      <c r="G38" s="1028"/>
      <c r="H38" s="1029"/>
      <c r="I38" s="1030"/>
      <c r="J38" s="1031"/>
    </row>
    <row r="39" ht="20" customHeight="1">
      <c r="A39" t="s" s="790">
        <v>255</v>
      </c>
      <c r="B39" s="791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</c>
      <c r="C39" s="792">
        <f>B39*C$7</f>
      </c>
      <c r="D39" s="1032"/>
      <c r="E39" s="1033"/>
      <c r="F39" s="1034"/>
      <c r="G39" s="1035"/>
      <c r="H39" s="1036"/>
      <c r="I39" s="1037"/>
      <c r="J39" s="1038"/>
    </row>
    <row r="40" ht="20" customHeight="1">
      <c r="A40" t="s" s="793">
        <v>263</v>
      </c>
      <c r="B40" s="794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</c>
      <c r="C40" s="795">
        <f>B40*C$7</f>
      </c>
      <c r="D40" s="1039"/>
      <c r="E40" s="1040"/>
      <c r="F40" s="1041"/>
      <c r="G40" s="1042"/>
      <c r="H40" s="1043"/>
      <c r="I40" s="1044"/>
      <c r="J40" s="1045"/>
    </row>
    <row r="41" ht="22" customHeight="1">
      <c r="A41" t="s" s="796">
        <v>279</v>
      </c>
      <c r="B41" s="797">
        <f>SUM(B33:B40)</f>
      </c>
      <c r="C41" s="798">
        <f>SUM(C33:C40)</f>
      </c>
      <c r="D41" s="1046"/>
      <c r="E41" s="1047"/>
      <c r="F41" s="1048"/>
      <c r="G41" s="1049"/>
      <c r="H41" s="1050"/>
      <c r="I41" s="1051"/>
      <c r="J41" s="1052"/>
    </row>
    <row r="42">
      <c r="A42" s="1053"/>
      <c r="B42" s="1054"/>
      <c r="C42" s="1055"/>
      <c r="D42" s="1056"/>
      <c r="E42" s="1057"/>
      <c r="F42" s="1058"/>
      <c r="G42" s="1059"/>
      <c r="H42" s="1060"/>
      <c r="I42" s="1061"/>
      <c r="J42" s="1062"/>
    </row>
    <row r="43" ht="20" customHeight="1">
      <c r="A43" t="s" s="799">
        <v>280</v>
      </c>
      <c r="B43" s="1063"/>
      <c r="C43" s="1064"/>
      <c r="D43" s="1065"/>
      <c r="E43" s="1066"/>
      <c r="F43" s="1067"/>
      <c r="G43" s="1068"/>
      <c r="H43" s="1069"/>
      <c r="I43" s="1070"/>
      <c r="J43" s="1071"/>
    </row>
    <row r="44">
      <c r="A44" s="1072"/>
      <c r="B44" t="s" s="800">
        <v>281</v>
      </c>
      <c r="C44" t="s" s="801">
        <v>263</v>
      </c>
      <c r="D44" s="1073"/>
      <c r="E44" s="1074"/>
      <c r="F44" s="1075"/>
      <c r="G44" s="1076"/>
      <c r="H44" s="1077"/>
      <c r="I44" s="1078"/>
      <c r="J44" s="1079"/>
    </row>
    <row r="45">
      <c r="A45" s="1080"/>
      <c r="B45" t="s" s="802">
        <v>226</v>
      </c>
      <c r="C45" s="803">
        <v>28.3</v>
      </c>
      <c r="D45" s="1081"/>
      <c r="E45" s="1082"/>
      <c r="F45" s="1083"/>
      <c r="G45" s="1084"/>
      <c r="H45" s="1085"/>
      <c r="I45" s="1086"/>
      <c r="J45" s="1087"/>
    </row>
    <row r="46">
      <c r="A46" s="1088"/>
      <c r="B46" s="1089"/>
      <c r="C46" s="1090"/>
      <c r="D46" s="1091"/>
      <c r="E46" s="1092"/>
      <c r="F46" s="1093"/>
      <c r="G46" s="1094"/>
      <c r="H46" s="1095"/>
      <c r="I46" s="1096"/>
      <c r="J46" s="1097"/>
    </row>
    <row r="47" ht="24" customHeight="1">
      <c r="A47" t="s" s="804">
        <v>282</v>
      </c>
      <c r="B47" t="s" s="805">
        <v>283</v>
      </c>
      <c r="C47" t="s" s="806">
        <v>284</v>
      </c>
      <c r="D47" t="s" s="807">
        <v>285</v>
      </c>
      <c r="E47" t="s" s="808">
        <v>286</v>
      </c>
      <c r="F47" s="1098"/>
      <c r="G47" s="1099"/>
      <c r="H47" s="1100"/>
      <c r="I47" s="1101"/>
      <c r="J47" s="1102"/>
    </row>
    <row r="48" ht="20" customHeight="1">
      <c r="A48" s="809">
        <v>46167</v>
      </c>
      <c r="B48" s="810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</c>
      <c r="C48" s="811">
        <f>C$45</f>
      </c>
      <c r="D48" s="812">
        <f>B48*C48</f>
      </c>
      <c r="E48" s="813">
        <f>D48</f>
      </c>
      <c r="F48" s="1103"/>
      <c r="G48" s="1104"/>
      <c r="H48" s="1105"/>
      <c r="I48" s="1106"/>
      <c r="J48" s="1107"/>
    </row>
    <row r="49" ht="20" customHeight="1">
      <c r="A49" s="814">
        <v>46174</v>
      </c>
      <c r="B49" s="815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</c>
      <c r="C49" s="816">
        <f>C$45</f>
      </c>
      <c r="D49" s="817">
        <f>B49*C49</f>
      </c>
      <c r="E49" s="818">
        <f>E48+D49</f>
      </c>
      <c r="F49" s="1108"/>
      <c r="G49" s="1109"/>
      <c r="H49" s="1110"/>
      <c r="I49" s="1111"/>
      <c r="J49" s="1112"/>
    </row>
    <row r="50" ht="20" customHeight="1">
      <c r="A50" s="819">
        <v>46181</v>
      </c>
      <c r="B50" s="820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</c>
      <c r="C50" s="821">
        <f>C$45</f>
      </c>
      <c r="D50" s="822">
        <f>B50*C50</f>
      </c>
      <c r="E50" s="823">
        <f>E49+D50</f>
      </c>
      <c r="F50" s="1113"/>
      <c r="G50" s="1114"/>
      <c r="H50" s="1115"/>
      <c r="I50" s="1116"/>
      <c r="J50" s="1117"/>
    </row>
    <row r="51" ht="20" customHeight="1">
      <c r="A51" s="824">
        <v>46188</v>
      </c>
      <c r="B51" s="825">
        <f>IF(C$44="Jalisco", SUMIFS(Captura_Jalisco!G:G, Captura_Jalisco!B:B, "Salida", Captura_Jalisco!A:A, "&gt;="&amp;A51, Captura_Jalisco!A:A, "&lt;="&amp;(A51+5)), IF(C$44="Todas", SUMIFS(Captura_Obra!F:F, Captura_Obra!A:A, "&gt;="&amp;A51, Captura_Obra!A:A, "&lt;="&amp;(A51+5)) + SUMIFS(Captura_Jalisco!G:G, Captura_Jalisco!B:B, "Salida", Captura_Jalisco!A:A, "&gt;="&amp;A51, Captura_Jalisco!A:A, "&lt;="&amp;(A51+5)), SUMIFS(Captura_Obra!F:F, Captura_Obra!B:B, C$44, Captura_Obra!A:A, "&gt;="&amp;A51, Captura_Obra!A:A, "&lt;="&amp;(A51+5))))</f>
      </c>
      <c r="C51" s="826">
        <f>C$45</f>
      </c>
      <c r="D51" s="827">
        <f>B51*C51</f>
      </c>
      <c r="E51" s="828">
        <f>E50+D51</f>
      </c>
      <c r="F51" s="1118"/>
      <c r="G51" s="1119"/>
      <c r="H51" s="1120"/>
      <c r="I51" s="1121"/>
      <c r="J51" s="1122"/>
    </row>
    <row r="52" ht="22" customHeight="1">
      <c r="A52" t="s" s="829">
        <v>287</v>
      </c>
      <c r="B52" s="830">
        <f>SUM(B48:B51)</f>
      </c>
      <c r="C52" s="831"/>
      <c r="D52" s="832">
        <f>SUM(D48:D51)</f>
      </c>
      <c r="E52" s="833"/>
      <c r="F52" s="1123"/>
      <c r="G52" s="1124"/>
      <c r="H52" s="1125"/>
      <c r="I52" s="1126"/>
      <c r="J52" s="1127"/>
    </row>
  </sheetData>
  <mergeCells>
    <mergeCell ref="A1:J1"/>
    <mergeCell ref="A3:J3"/>
    <mergeCell ref="E4:I8"/>
    <mergeCell ref="A10:J10"/>
    <mergeCell ref="A20:J20"/>
    <mergeCell ref="A31:J31"/>
    <mergeCell ref="A43:J43"/>
  </mergeCells>
  <dataValidations>
    <dataValidation type="list" allowBlank="true" showInputMessage="true" prompt="undefined" promptTitle="undefined" showErrorMessage="true" error="undefined" errorTitle="Obra no válida" operator="undefined" sqref="C4">
      <formula1>Catalogos!$K$4:$K$12</formula1>
      <formula2/>
    </dataValidation>
    <dataValidation type="list" allowBlank="true" showInputMessage="true" prompt="undefined" promptTitle="undefined" showErrorMessage="true" error="undefined" errorTitle="Fecha no válida" operator="undefined" sqref="C5">
      <formula1>Catalogos!$L$4:$L$33</formula1>
      <formula2/>
    </dataValidation>
    <dataValidation type="list" allowBlank="true" showInputMessage="true" prompt="undefined" promptTitle="undefined" showErrorMessage="true" error="undefined" errorTitle="Fecha no válida" operator="undefined" sqref="C6">
      <formula1>Catalogos!$L$4:$L$33</formula1>
      <formula2/>
    </dataValidation>
    <dataValidation type="list" allowBlank="true" showInputMessage="true" prompt="undefined" promptTitle="undefined" showErrorMessage="true" error="undefined" errorTitle="Filtro no válido" operator="undefined" sqref="C8">
      <formula1>"Semana Seleccionada,Acumulado Histórico,Rango de Fechas"</formula1>
      <formula2/>
    </dataValidation>
    <dataValidation type="list" allowBlank="true" showInputMessage="true" prompt="undefined" promptTitle="undefined" showErrorMessage="true" error="undefined" errorTitle="Obra no válida" operator="undefined" sqref="C44">
      <formula1>Catalogos!$K$4:$K$12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sheetPr/>
  <sheetViews>
    <sheetView showGridLines="0" zoomScale="118" zoomScaleNormal="80" workbookViewId="0">
      <selection activeCell="X11" sqref="X11"/>
    </sheetView>
  </sheetViews>
  <sheetFormatPr baseColWidth="10" defaultColWidth="8" defaultRowHeight="14.4"/>
  <cols>
    <col min="1" max="1" width="8" style="11"/>
    <col min="2" max="5" width="15" style="11" customWidth="1"/>
    <col min="6" max="6" width="8" style="11"/>
    <col min="7" max="10" width="15" style="11" customWidth="1"/>
    <col min="11" max="11" width="8" style="11"/>
    <col min="12" max="15" width="15" style="11" customWidth="1"/>
    <col min="16" max="16" width="8" style="11"/>
    <col min="17" max="20" width="15" style="11" customWidth="1"/>
    <col min="21" max="21" width="8" style="11"/>
    <col min="22" max="26" width="15" style="11" customWidth="1"/>
    <col min="27" max="16384" width="8" style="11"/>
  </cols>
  <sheetData>
    <row r="2" spans="2:24" ht="18">
      <c r="B2" t="s" s="10">
        <v>199</v>
      </c>
      <c r="G2" t="s" s="10">
        <v>200</v>
      </c>
      <c r="L2" t="s" s="10">
        <v>201</v>
      </c>
      <c r="Q2" t="s" s="10">
        <v>202</v>
      </c>
      <c r="V2" t="s" s="10">
        <v>203</v>
      </c>
    </row>
    <row r="4" spans="2:24">
      <c r="B4" t="s" s="12">
        <v>14</v>
      </c>
      <c r="C4" t="s" s="12">
        <v>1</v>
      </c>
      <c r="D4" t="s" s="12">
        <v>136</v>
      </c>
      <c r="E4" t="s" s="12">
        <v>204</v>
      </c>
      <c r="G4" t="s" s="12">
        <v>14</v>
      </c>
      <c r="H4" t="s" s="12">
        <v>1</v>
      </c>
      <c r="I4" t="s" s="12">
        <v>19</v>
      </c>
      <c r="J4" t="s" s="12">
        <v>205</v>
      </c>
      <c r="L4" t="s" s="12">
        <v>14</v>
      </c>
      <c r="M4" t="s" s="12">
        <v>1</v>
      </c>
      <c r="N4" t="s" s="12">
        <v>19</v>
      </c>
      <c r="O4" t="s" s="12">
        <v>205</v>
      </c>
      <c r="Q4" t="s" s="12">
        <v>14</v>
      </c>
      <c r="R4" t="s" s="12">
        <v>1</v>
      </c>
      <c r="S4" t="s" s="12">
        <v>38</v>
      </c>
      <c r="T4" t="s" s="12">
        <v>205</v>
      </c>
      <c r="V4" t="s" s="12">
        <v>1</v>
      </c>
      <c r="W4" t="s" s="12">
        <v>38</v>
      </c>
      <c r="X4" t="s" s="12">
        <v>205</v>
      </c>
    </row>
    <row r="5" spans="2:24">
      <c r="B5" t="s" s="13">
        <v>206</v>
      </c>
      <c r="C5" t="s" s="13">
        <v>4</v>
      </c>
      <c r="D5" s="13">
        <v>160</v>
      </c>
      <c r="E5" s="14">
        <v>4528</v>
      </c>
      <c r="G5" t="s" s="13">
        <v>207</v>
      </c>
      <c r="H5" t="s" s="13">
        <v>5</v>
      </c>
      <c r="I5" s="13">
        <v>455</v>
      </c>
      <c r="J5" s="14">
        <v>12876.5</v>
      </c>
      <c r="L5" t="s" s="13">
        <v>207</v>
      </c>
      <c r="M5" t="s" s="13">
        <v>183</v>
      </c>
      <c r="N5" s="13">
        <v>180</v>
      </c>
      <c r="O5" s="14">
        <v>5094</v>
      </c>
      <c r="Q5" t="s" s="13">
        <v>207</v>
      </c>
      <c r="R5" t="s" s="13">
        <v>183</v>
      </c>
      <c r="S5" s="13">
        <v>100</v>
      </c>
      <c r="T5" s="14">
        <v>2830</v>
      </c>
      <c r="V5" t="s" s="13">
        <v>183</v>
      </c>
      <c r="W5" s="13">
        <v>200</v>
      </c>
      <c r="X5" s="14">
        <v>5660</v>
      </c>
    </row>
    <row r="6" spans="2:24">
      <c r="B6" t="s" s="13">
        <v>206</v>
      </c>
      <c r="C6" t="s" s="13">
        <v>3</v>
      </c>
      <c r="D6" s="13">
        <v>640</v>
      </c>
      <c r="E6" s="14">
        <v>18112</v>
      </c>
      <c r="G6" t="s" s="13">
        <v>207</v>
      </c>
      <c r="H6" t="s" s="13">
        <v>4</v>
      </c>
      <c r="I6" s="13">
        <v>97</v>
      </c>
      <c r="J6" s="14">
        <v>2745.1</v>
      </c>
      <c r="L6" t="s" s="13">
        <v>207</v>
      </c>
      <c r="M6" t="s" s="13">
        <v>187</v>
      </c>
      <c r="N6" s="13">
        <v>409</v>
      </c>
      <c r="O6" s="14">
        <v>11574.7</v>
      </c>
      <c r="Q6" t="s" s="13">
        <v>207</v>
      </c>
      <c r="R6" t="s" s="13">
        <v>5</v>
      </c>
      <c r="S6" s="13">
        <v>455</v>
      </c>
      <c r="T6" s="14">
        <v>12876.5</v>
      </c>
      <c r="V6" t="s" s="13">
        <v>5</v>
      </c>
      <c r="W6" s="13">
        <v>1693</v>
      </c>
      <c r="X6" s="14">
        <v>47911.9</v>
      </c>
    </row>
    <row r="7" spans="2:24">
      <c r="B7" t="s" s="13">
        <v>207</v>
      </c>
      <c r="C7" t="s" s="13">
        <v>183</v>
      </c>
      <c r="D7" s="13">
        <v>100</v>
      </c>
      <c r="E7" s="14">
        <v>2830</v>
      </c>
      <c r="G7" t="s" s="13">
        <v>207</v>
      </c>
      <c r="H7" t="s" s="13">
        <v>3</v>
      </c>
      <c r="I7" s="13">
        <v>369</v>
      </c>
      <c r="J7" s="14">
        <v>10442.7</v>
      </c>
      <c r="L7" t="s" s="13">
        <v>208</v>
      </c>
      <c r="M7" t="s" s="13">
        <v>4</v>
      </c>
      <c r="N7" s="13">
        <v>180</v>
      </c>
      <c r="O7" s="14">
        <v>5094</v>
      </c>
      <c r="Q7" t="s" s="13">
        <v>207</v>
      </c>
      <c r="R7" t="s" s="13">
        <v>4</v>
      </c>
      <c r="S7" s="13">
        <v>97</v>
      </c>
      <c r="T7" s="14">
        <v>2745.1</v>
      </c>
      <c r="V7" t="s" s="13">
        <v>4</v>
      </c>
      <c r="W7" s="13">
        <v>872</v>
      </c>
      <c r="X7" s="14">
        <v>24677.6</v>
      </c>
    </row>
    <row r="8" spans="2:24">
      <c r="B8" t="s" s="13">
        <v>207</v>
      </c>
      <c r="C8" t="s" s="13">
        <v>5</v>
      </c>
      <c r="D8" s="13">
        <v>990</v>
      </c>
      <c r="E8" s="14">
        <v>28017</v>
      </c>
      <c r="G8" t="s" s="13">
        <v>208</v>
      </c>
      <c r="H8" t="s" s="13">
        <v>5</v>
      </c>
      <c r="I8" s="13">
        <v>736</v>
      </c>
      <c r="J8" s="14">
        <v>20828.8</v>
      </c>
      <c r="L8" t="s" s="13">
        <v>209</v>
      </c>
      <c r="M8" t="s" s="13">
        <v>183</v>
      </c>
      <c r="N8" s="13">
        <v>100</v>
      </c>
      <c r="O8" s="14">
        <v>2830</v>
      </c>
      <c r="Q8" t="s" s="13">
        <v>207</v>
      </c>
      <c r="R8" t="s" s="13">
        <v>3</v>
      </c>
      <c r="S8" s="13">
        <v>369</v>
      </c>
      <c r="T8" s="14">
        <v>10442.7</v>
      </c>
      <c r="V8" t="s" s="13">
        <v>3</v>
      </c>
      <c r="W8" s="13">
        <v>1285</v>
      </c>
      <c r="X8" s="14">
        <v>36365.5</v>
      </c>
    </row>
    <row r="9" spans="2:24">
      <c r="B9" t="s" s="13">
        <v>208</v>
      </c>
      <c r="C9" t="s" s="13">
        <v>183</v>
      </c>
      <c r="D9" s="13">
        <v>100</v>
      </c>
      <c r="E9" s="14">
        <v>2830</v>
      </c>
      <c r="G9" t="s" s="13">
        <v>209</v>
      </c>
      <c r="H9" t="s" s="13">
        <v>3</v>
      </c>
      <c r="I9" s="13">
        <v>300</v>
      </c>
      <c r="J9" s="14">
        <v>8490</v>
      </c>
      <c r="L9" t="s" s="13">
        <v>210</v>
      </c>
      <c r="M9" t="s" s="13">
        <v>4</v>
      </c>
      <c r="N9" s="13">
        <v>595</v>
      </c>
      <c r="O9" s="14">
        <v>16838.5</v>
      </c>
      <c r="Q9" t="s" s="13">
        <v>207</v>
      </c>
      <c r="R9" t="s" s="13">
        <v>187</v>
      </c>
      <c r="S9" s="13">
        <v>409</v>
      </c>
      <c r="T9" s="14">
        <v>11574.7</v>
      </c>
      <c r="V9" t="s" s="13">
        <v>187</v>
      </c>
      <c r="W9" s="13">
        <v>647</v>
      </c>
      <c r="X9" s="14">
        <v>18310.1</v>
      </c>
    </row>
    <row r="10" spans="2:24">
      <c r="B10" t="s" s="13">
        <v>208</v>
      </c>
      <c r="C10" t="s" s="13">
        <v>5</v>
      </c>
      <c r="D10" s="13">
        <v>790</v>
      </c>
      <c r="E10" s="14">
        <v>22357</v>
      </c>
      <c r="G10" t="s" s="13">
        <v>210</v>
      </c>
      <c r="H10" t="s" s="13">
        <v>3</v>
      </c>
      <c r="I10" s="13">
        <v>256</v>
      </c>
      <c r="J10" s="14">
        <v>7244.8</v>
      </c>
      <c r="L10" t="s" s="13">
        <v>210</v>
      </c>
      <c r="M10" t="s" s="13">
        <v>187</v>
      </c>
      <c r="N10" s="13">
        <v>238</v>
      </c>
      <c r="O10" s="14">
        <v>6735.400000000001</v>
      </c>
      <c r="Q10" t="s" s="13">
        <v>208</v>
      </c>
      <c r="R10" t="s" s="13">
        <v>5</v>
      </c>
      <c r="S10" s="13">
        <v>736</v>
      </c>
      <c r="T10" s="14">
        <v>20828.8</v>
      </c>
      <c r="X10" s="17">
        <f>SUM(X5:X9)</f>
      </c>
    </row>
    <row r="11" spans="2:24">
      <c r="B11" t="s" s="13">
        <v>208</v>
      </c>
      <c r="C11" t="s" s="13">
        <v>4</v>
      </c>
      <c r="D11" s="13">
        <v>210</v>
      </c>
      <c r="E11" s="14">
        <v>5943</v>
      </c>
      <c r="G11" t="s" s="13">
        <v>211</v>
      </c>
      <c r="H11" t="s" s="13">
        <v>5</v>
      </c>
      <c r="I11" s="13">
        <v>502</v>
      </c>
      <c r="J11" s="14">
        <v>14206.6</v>
      </c>
      <c r="L11" t="s" s="13">
        <v>211</v>
      </c>
      <c r="M11" t="s" s="13">
        <v>183</v>
      </c>
      <c r="N11" s="13">
        <v>70</v>
      </c>
      <c r="O11" s="14">
        <v>1981</v>
      </c>
      <c r="Q11" t="s" s="13">
        <v>208</v>
      </c>
      <c r="R11" t="s" s="13">
        <v>4</v>
      </c>
      <c r="S11" s="13">
        <v>180</v>
      </c>
      <c r="T11" s="14">
        <v>5094</v>
      </c>
    </row>
    <row r="12" spans="2:24">
      <c r="B12" t="s" s="13">
        <v>209</v>
      </c>
      <c r="C12" t="s" s="13">
        <v>3</v>
      </c>
      <c r="D12" s="13">
        <v>320</v>
      </c>
      <c r="E12" s="14">
        <v>9056</v>
      </c>
      <c r="G12" t="s" s="13">
        <v>211</v>
      </c>
      <c r="H12" t="s" s="13">
        <v>3</v>
      </c>
      <c r="I12" s="13">
        <v>360</v>
      </c>
      <c r="J12" s="14">
        <v>10188</v>
      </c>
      <c r="Q12" t="s" s="13">
        <v>209</v>
      </c>
      <c r="R12" t="s" s="13">
        <v>183</v>
      </c>
      <c r="S12" s="13">
        <v>100</v>
      </c>
      <c r="T12" s="14">
        <v>2830</v>
      </c>
    </row>
    <row r="13" spans="2:24">
      <c r="B13" t="s" s="13">
        <v>210</v>
      </c>
      <c r="C13" t="s" s="13">
        <v>183</v>
      </c>
      <c r="D13" s="13">
        <v>70</v>
      </c>
      <c r="E13" s="14">
        <v>1981</v>
      </c>
      <c r="Q13" t="s" s="13">
        <v>209</v>
      </c>
      <c r="R13" t="s" s="13">
        <v>3</v>
      </c>
      <c r="S13" s="13">
        <v>300</v>
      </c>
      <c r="T13" s="14">
        <v>8490</v>
      </c>
    </row>
    <row r="14" spans="2:24">
      <c r="B14" t="s" s="13">
        <v>210</v>
      </c>
      <c r="C14" t="s" s="13">
        <v>4</v>
      </c>
      <c r="D14" s="13">
        <v>460</v>
      </c>
      <c r="E14" s="14">
        <v>13018</v>
      </c>
      <c r="Q14" t="s" s="13">
        <v>210</v>
      </c>
      <c r="R14" t="s" s="13">
        <v>4</v>
      </c>
      <c r="S14" s="13">
        <v>595</v>
      </c>
      <c r="T14" s="14">
        <v>16838.5</v>
      </c>
    </row>
    <row r="15" spans="2:24">
      <c r="B15" t="s" s="13">
        <v>211</v>
      </c>
      <c r="C15" t="s" s="13">
        <v>5</v>
      </c>
      <c r="D15" s="13">
        <v>620</v>
      </c>
      <c r="E15" s="14">
        <v>17546</v>
      </c>
      <c r="Q15" t="s" s="13">
        <v>210</v>
      </c>
      <c r="R15" t="s" s="13">
        <v>3</v>
      </c>
      <c r="S15" s="13">
        <v>256</v>
      </c>
      <c r="T15" s="14">
        <v>7244.8</v>
      </c>
    </row>
    <row r="16" spans="2:24">
      <c r="B16" t="s" s="13">
        <v>211</v>
      </c>
      <c r="C16" t="s" s="13">
        <v>3</v>
      </c>
      <c r="D16" s="13">
        <v>540</v>
      </c>
      <c r="E16" s="14">
        <v>15282</v>
      </c>
      <c r="Q16" t="s" s="13">
        <v>210</v>
      </c>
      <c r="R16" t="s" s="13">
        <v>187</v>
      </c>
      <c r="S16" s="13">
        <v>238</v>
      </c>
      <c r="T16" s="14">
        <v>6735.400000000001</v>
      </c>
    </row>
    <row r="17" spans="17:20">
      <c r="Q17" t="s" s="13">
        <v>211</v>
      </c>
      <c r="R17" t="s" s="13">
        <v>5</v>
      </c>
      <c r="S17" s="13">
        <v>502</v>
      </c>
      <c r="T17" s="14">
        <v>14206.6</v>
      </c>
    </row>
    <row r="18" spans="17:20">
      <c r="Q18" t="s" s="13">
        <v>211</v>
      </c>
      <c r="R18" t="s" s="13">
        <v>3</v>
      </c>
      <c r="S18" s="13">
        <v>360</v>
      </c>
      <c r="T18" s="14">
        <v>10188</v>
      </c>
    </row>
    <row r="35" spans="2:26" ht="18">
      <c r="B35" t="s" s="10">
        <v>212</v>
      </c>
      <c r="G35" t="s" s="10">
        <v>213</v>
      </c>
      <c r="L35" t="s" s="10">
        <v>214</v>
      </c>
      <c r="Q35" t="s" s="10">
        <v>215</v>
      </c>
      <c r="V35" t="s" s="15">
        <v>216</v>
      </c>
    </row>
    <row r="37" spans="2:26">
      <c r="B37" t="s" s="12">
        <v>14</v>
      </c>
      <c r="C37" t="s" s="12">
        <v>217</v>
      </c>
      <c r="D37" t="s" s="12">
        <v>205</v>
      </c>
      <c r="G37" t="s" s="12">
        <v>1</v>
      </c>
      <c r="H37" t="s" s="12">
        <v>217</v>
      </c>
      <c r="I37" t="s" s="12">
        <v>205</v>
      </c>
      <c r="L37" t="s" s="12">
        <v>14</v>
      </c>
      <c r="M37" t="s" s="12">
        <v>218</v>
      </c>
      <c r="N37" t="s" s="12">
        <v>219</v>
      </c>
      <c r="Q37" t="s" s="12">
        <v>1</v>
      </c>
      <c r="R37" t="s" s="12">
        <v>218</v>
      </c>
      <c r="S37" t="s" s="12">
        <v>219</v>
      </c>
      <c r="V37" t="s" s="16">
        <v>14</v>
      </c>
      <c r="W37" t="s" s="16">
        <v>1</v>
      </c>
      <c r="X37" t="s" s="16">
        <v>220</v>
      </c>
      <c r="Y37" t="s" s="16">
        <v>38</v>
      </c>
      <c r="Z37" t="s" s="16">
        <v>221</v>
      </c>
    </row>
    <row r="38" spans="2:26">
      <c r="B38" t="s" s="13">
        <v>206</v>
      </c>
      <c r="C38" s="14">
        <v>22640</v>
      </c>
      <c r="D38" s="14">
        <v>0</v>
      </c>
      <c r="G38" t="s" s="13">
        <v>183</v>
      </c>
      <c r="H38" s="14">
        <v>7641</v>
      </c>
      <c r="I38" s="14">
        <v>9905</v>
      </c>
      <c r="L38" t="s" s="13">
        <v>207</v>
      </c>
      <c r="M38" s="13">
        <v>1510</v>
      </c>
      <c r="N38" s="14">
        <v>42733</v>
      </c>
      <c r="Q38" t="s" s="13">
        <v>183</v>
      </c>
      <c r="R38" s="13">
        <v>350</v>
      </c>
      <c r="S38" s="14">
        <v>9905</v>
      </c>
      <c r="V38" t="s" s="13">
        <v>207</v>
      </c>
      <c r="W38" t="s" s="13">
        <v>183</v>
      </c>
      <c r="X38" s="13">
        <v>180</v>
      </c>
      <c r="Y38" s="13">
        <v>100</v>
      </c>
      <c r="Z38" s="13">
        <v>80</v>
      </c>
    </row>
    <row r="39" spans="2:26">
      <c r="B39" t="s" s="13">
        <v>207</v>
      </c>
      <c r="C39" s="14">
        <v>30847</v>
      </c>
      <c r="D39" s="14">
        <v>42733</v>
      </c>
      <c r="G39" t="s" s="13">
        <v>5</v>
      </c>
      <c r="H39" s="14">
        <v>67920</v>
      </c>
      <c r="I39" s="14">
        <v>47911.9</v>
      </c>
      <c r="L39" t="s" s="13">
        <v>208</v>
      </c>
      <c r="M39" s="13">
        <v>916</v>
      </c>
      <c r="N39" s="14">
        <v>25922.8</v>
      </c>
      <c r="Q39" t="s" s="13">
        <v>5</v>
      </c>
      <c r="R39" s="13">
        <v>1693</v>
      </c>
      <c r="S39" s="14">
        <v>47911.9</v>
      </c>
      <c r="V39" t="s" s="13">
        <v>211</v>
      </c>
      <c r="W39" t="s" s="13">
        <v>183</v>
      </c>
      <c r="X39" s="13">
        <v>70</v>
      </c>
      <c r="Y39" s="13">
        <v>0</v>
      </c>
      <c r="Z39" s="13">
        <v>70</v>
      </c>
    </row>
    <row r="40" spans="2:26">
      <c r="B40" t="s" s="13">
        <v>208</v>
      </c>
      <c r="C40" s="14">
        <v>31130</v>
      </c>
      <c r="D40" s="14">
        <v>25922.8</v>
      </c>
      <c r="G40" t="s" s="13">
        <v>4</v>
      </c>
      <c r="H40" s="14">
        <v>23489</v>
      </c>
      <c r="I40" s="14">
        <v>24677.6</v>
      </c>
      <c r="L40" t="s" s="13">
        <v>209</v>
      </c>
      <c r="M40" s="13">
        <v>400</v>
      </c>
      <c r="N40" s="14">
        <v>11320</v>
      </c>
      <c r="Q40" t="s" s="13">
        <v>4</v>
      </c>
      <c r="R40" s="13">
        <v>872</v>
      </c>
      <c r="S40" s="14">
        <v>24677.6</v>
      </c>
    </row>
    <row r="41" spans="2:26">
      <c r="B41" t="s" s="13">
        <v>209</v>
      </c>
      <c r="C41" s="14">
        <v>9056</v>
      </c>
      <c r="D41" s="14">
        <v>11320</v>
      </c>
      <c r="G41" t="s" s="13">
        <v>3</v>
      </c>
      <c r="H41" s="14">
        <v>42450</v>
      </c>
      <c r="I41" s="14">
        <v>36365.5</v>
      </c>
      <c r="L41" t="s" s="13">
        <v>210</v>
      </c>
      <c r="M41" s="13">
        <v>1089</v>
      </c>
      <c r="N41" s="14">
        <v>30818.7</v>
      </c>
      <c r="Q41" t="s" s="13">
        <v>3</v>
      </c>
      <c r="R41" s="13">
        <v>1285</v>
      </c>
      <c r="S41" s="14">
        <v>36365.5</v>
      </c>
    </row>
    <row r="42" spans="2:26">
      <c r="B42" t="s" s="13">
        <v>210</v>
      </c>
      <c r="C42" s="14">
        <v>14999</v>
      </c>
      <c r="D42" s="14">
        <v>30818.7</v>
      </c>
      <c r="G42" t="s" s="13">
        <v>187</v>
      </c>
      <c r="H42" s="14">
        <v>0</v>
      </c>
      <c r="I42" s="14">
        <v>18310.1</v>
      </c>
      <c r="L42" t="s" s="13">
        <v>211</v>
      </c>
      <c r="M42" s="13">
        <v>932</v>
      </c>
      <c r="N42" s="14">
        <v>26375.6</v>
      </c>
      <c r="Q42" t="s" s="13">
        <v>187</v>
      </c>
      <c r="R42" s="13">
        <v>647</v>
      </c>
      <c r="S42" s="14">
        <v>18310.1</v>
      </c>
    </row>
    <row r="43" spans="2:26">
      <c r="B43" t="s" s="13">
        <v>211</v>
      </c>
      <c r="C43" s="14">
        <v>32828</v>
      </c>
      <c r="D43" s="14">
        <v>26375.6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>
      <selection activeCell="C23" sqref="C23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t="s" s="404">
        <v>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t="s">
        <v>8</v>
      </c>
      <c r="C2" t="s">
        <v>9</v>
      </c>
      <c r="F2" t="s">
        <v>10</v>
      </c>
      <c r="H2" t="s">
        <v>11</v>
      </c>
      <c r="I2" t="s">
        <v>12</v>
      </c>
      <c r="J2" t="s">
        <v>13</v>
      </c>
    </row>
    <row r="4" spans="1:12" ht="27.6">
      <c r="A4" t="s" s="1">
        <v>14</v>
      </c>
      <c r="B4" t="s" s="1">
        <v>15</v>
      </c>
      <c r="C4" t="s" s="1">
        <v>16</v>
      </c>
      <c r="D4" t="s" s="1">
        <v>1</v>
      </c>
      <c r="E4" t="s" s="1">
        <v>31</v>
      </c>
      <c r="F4" t="s" s="1">
        <v>182</v>
      </c>
      <c r="G4" t="s" s="1">
        <v>18</v>
      </c>
      <c r="H4" t="s" s="1">
        <v>19</v>
      </c>
      <c r="I4" t="s" s="1">
        <v>20</v>
      </c>
      <c r="J4" t="s" s="1">
        <v>21</v>
      </c>
      <c r="K4" t="s" s="1">
        <v>22</v>
      </c>
      <c r="L4" t="s" s="1">
        <v>23</v>
      </c>
    </row>
    <row r="5" spans="1:12">
      <c r="A5" s="2">
        <v>46181</v>
      </c>
      <c r="B5" t="s">
        <v>268</v>
      </c>
      <c r="C5" t="s">
        <v>82</v>
      </c>
      <c r="D5" t="s">
        <v>183</v>
      </c>
      <c r="E5" t="s">
        <v>184</v>
      </c>
      <c r="F5">
        <f>VLOOKUP(TablaPegaso[[#This Row],[Equipo]],Catalogos!$I$4:$J$34,2,FALSE)</f>
      </c>
      <c r="G5" s="3"/>
      <c r="H5" s="3">
        <v>100</v>
      </c>
      <c r="I5" s="3">
        <f t="shared" ref="I5:I38" si="0">IF(ROW()=5,G5-H5,I4+G5-H5)</f>
      </c>
      <c r="J5" s="4">
        <v>28.3</v>
      </c>
      <c r="K5" s="4">
        <f t="shared" ref="K5:K38" si="1">IFERROR((G5+H5)*J5,0)</f>
      </c>
    </row>
    <row r="6" spans="1:12">
      <c r="A6" s="2">
        <v>46181</v>
      </c>
      <c r="B6" t="s">
        <v>268</v>
      </c>
      <c r="C6" t="s">
        <v>187</v>
      </c>
      <c r="D6" t="s">
        <v>187</v>
      </c>
      <c r="E6" t="s">
        <v>184</v>
      </c>
      <c r="F6">
        <f>VLOOKUP(TablaPegaso[[#This Row],[Equipo]],Catalogos!$I$4:$J$34,2,FALSE)</f>
      </c>
      <c r="G6" s="3"/>
      <c r="H6" s="3">
        <v>200</v>
      </c>
      <c r="I6" s="3">
        <f t="shared" si="0"/>
      </c>
      <c r="J6" s="4">
        <v>28.3</v>
      </c>
      <c r="K6" s="4">
        <f t="shared" si="1"/>
      </c>
    </row>
    <row r="7" spans="1:12">
      <c r="A7" s="2">
        <v>46181</v>
      </c>
      <c r="B7" t="s">
        <v>268</v>
      </c>
      <c r="C7" t="s">
        <v>188</v>
      </c>
      <c r="D7" t="s">
        <v>187</v>
      </c>
      <c r="E7" t="s">
        <v>184</v>
      </c>
      <c r="F7">
        <f>VLOOKUP(TablaPegaso[[#This Row],[Equipo]],Catalogos!$I$4:$J$34,2,FALSE)</f>
      </c>
      <c r="G7" s="3"/>
      <c r="H7" s="3">
        <v>209</v>
      </c>
      <c r="I7" s="3">
        <f t="shared" si="0"/>
      </c>
      <c r="J7" s="4">
        <v>28.3</v>
      </c>
      <c r="K7" s="4">
        <f t="shared" si="1"/>
      </c>
    </row>
    <row r="8" spans="1:12">
      <c r="A8" s="2">
        <v>46181</v>
      </c>
      <c r="B8" t="s">
        <v>197</v>
      </c>
      <c r="F8">
        <f>VLOOKUP(TablaPegaso[[#This Row],[Equipo]],Catalogos!$I$4:$J$34,2,FALSE)</f>
      </c>
      <c r="G8" s="3">
        <v>2800</v>
      </c>
      <c r="H8" s="3"/>
      <c r="I8" s="3">
        <f t="shared" si="0"/>
      </c>
      <c r="J8" s="4">
        <v>28.3</v>
      </c>
      <c r="K8" s="4">
        <f t="shared" si="1"/>
      </c>
    </row>
    <row r="9" spans="1:12">
      <c r="A9" s="2">
        <v>46181</v>
      </c>
      <c r="B9" t="s">
        <v>268</v>
      </c>
      <c r="C9" t="s">
        <v>79</v>
      </c>
      <c r="D9" t="s">
        <v>183</v>
      </c>
      <c r="E9" t="s">
        <v>184</v>
      </c>
      <c r="F9">
        <f>VLOOKUP(TablaPegaso[[#This Row],[Equipo]],Catalogos!$I$4:$J$34,2,FALSE)</f>
      </c>
      <c r="G9" s="3"/>
      <c r="H9" s="3">
        <v>80</v>
      </c>
      <c r="I9" s="3">
        <f t="shared" si="0"/>
      </c>
      <c r="J9" s="4">
        <v>28.3</v>
      </c>
      <c r="K9" s="4">
        <f t="shared" si="1"/>
      </c>
    </row>
    <row r="10" spans="1:12">
      <c r="A10" s="2">
        <v>46182</v>
      </c>
      <c r="B10" t="s">
        <v>268</v>
      </c>
      <c r="C10" t="s">
        <v>79</v>
      </c>
      <c r="D10" t="s">
        <v>4</v>
      </c>
      <c r="E10" t="s">
        <v>81</v>
      </c>
      <c r="F10">
        <f>VLOOKUP(TablaPegaso[[#This Row],[Equipo]],Catalogos!$I$4:$J$34,2,FALSE)</f>
      </c>
      <c r="G10" s="3"/>
      <c r="H10" s="3">
        <v>70</v>
      </c>
      <c r="I10" s="3">
        <f t="shared" si="0"/>
      </c>
      <c r="J10" s="4">
        <v>28.3</v>
      </c>
      <c r="K10" s="4">
        <f t="shared" si="1"/>
      </c>
    </row>
    <row r="11" spans="1:12">
      <c r="A11" s="2">
        <v>46182</v>
      </c>
      <c r="B11" t="s">
        <v>268</v>
      </c>
      <c r="C11" t="s">
        <v>79</v>
      </c>
      <c r="D11" t="s">
        <v>4</v>
      </c>
      <c r="E11" t="s">
        <v>174</v>
      </c>
      <c r="F11">
        <f>VLOOKUP(TablaPegaso[[#This Row],[Equipo]],Catalogos!$I$4:$J$34,2,FALSE)</f>
      </c>
      <c r="G11" s="3"/>
      <c r="H11" s="3">
        <v>50</v>
      </c>
      <c r="I11" s="3">
        <f t="shared" si="0"/>
      </c>
      <c r="J11" s="4">
        <v>28.3</v>
      </c>
      <c r="K11" s="4">
        <f t="shared" si="1"/>
      </c>
    </row>
    <row r="12" spans="1:12">
      <c r="A12" s="2">
        <v>46182</v>
      </c>
      <c r="B12" t="s">
        <v>268</v>
      </c>
      <c r="C12" t="s">
        <v>79</v>
      </c>
      <c r="D12" t="s">
        <v>4</v>
      </c>
      <c r="E12" t="s">
        <v>86</v>
      </c>
      <c r="F12">
        <f>VLOOKUP(TablaPegaso[[#This Row],[Equipo]],Catalogos!$I$4:$J$34,2,FALSE)</f>
      </c>
      <c r="G12" s="3"/>
      <c r="H12" s="3">
        <v>60</v>
      </c>
      <c r="I12" s="3">
        <f t="shared" si="0"/>
      </c>
      <c r="J12" s="4">
        <v>28.3</v>
      </c>
      <c r="K12" s="4">
        <f t="shared" si="1"/>
      </c>
    </row>
    <row r="13" spans="1:12">
      <c r="A13" s="2">
        <v>46183</v>
      </c>
      <c r="B13" t="s">
        <v>268</v>
      </c>
      <c r="C13" t="s">
        <v>82</v>
      </c>
      <c r="D13" t="s">
        <v>183</v>
      </c>
      <c r="E13" t="s">
        <v>184</v>
      </c>
      <c r="F13">
        <f>VLOOKUP(TablaPegaso[[#This Row],[Equipo]],Catalogos!$I$4:$J$34,2,FALSE)</f>
      </c>
      <c r="G13" s="3"/>
      <c r="H13" s="3">
        <v>100</v>
      </c>
      <c r="I13" s="3">
        <f t="shared" si="0"/>
      </c>
      <c r="J13" s="4">
        <v>28.3</v>
      </c>
      <c r="K13" s="4">
        <f t="shared" si="1"/>
      </c>
    </row>
    <row r="14" spans="1:12">
      <c r="A14" s="2">
        <v>46184</v>
      </c>
      <c r="B14" t="s">
        <v>268</v>
      </c>
      <c r="C14" t="s">
        <v>187</v>
      </c>
      <c r="D14" t="s">
        <v>187</v>
      </c>
      <c r="E14" t="s">
        <v>189</v>
      </c>
      <c r="F14">
        <f>VLOOKUP(TablaPegaso[[#This Row],[Equipo]],Catalogos!$I$4:$J$34,2,FALSE)</f>
      </c>
      <c r="G14" s="3"/>
      <c r="H14" s="3">
        <v>238</v>
      </c>
      <c r="I14" s="3">
        <f t="shared" si="0"/>
      </c>
      <c r="J14" s="4">
        <v>28.3</v>
      </c>
      <c r="K14" s="4">
        <f t="shared" si="1"/>
      </c>
    </row>
    <row r="15" spans="1:12">
      <c r="A15" s="2">
        <v>46184</v>
      </c>
      <c r="B15" t="s">
        <v>268</v>
      </c>
      <c r="C15" t="s">
        <v>79</v>
      </c>
      <c r="D15" t="s">
        <v>4</v>
      </c>
      <c r="E15" t="s">
        <v>86</v>
      </c>
      <c r="F15">
        <f>VLOOKUP(TablaPegaso[[#This Row],[Equipo]],Catalogos!$I$4:$J$34,2,FALSE)</f>
      </c>
      <c r="G15" s="3"/>
      <c r="H15" s="3">
        <v>80</v>
      </c>
      <c r="I15" s="3">
        <f t="shared" si="0"/>
      </c>
      <c r="J15" s="4">
        <v>28.3</v>
      </c>
      <c r="K15" s="4">
        <f t="shared" si="1"/>
      </c>
    </row>
    <row r="16" spans="1:12">
      <c r="A16" s="2">
        <v>46184</v>
      </c>
      <c r="B16" t="s">
        <v>268</v>
      </c>
      <c r="C16" t="s">
        <v>79</v>
      </c>
      <c r="D16" t="s">
        <v>4</v>
      </c>
      <c r="E16" t="s">
        <v>168</v>
      </c>
      <c r="F16">
        <f>VLOOKUP(TablaPegaso[[#This Row],[Equipo]],Catalogos!$I$4:$J$34,2,FALSE)</f>
      </c>
      <c r="G16" s="3"/>
      <c r="H16" s="3">
        <v>50</v>
      </c>
      <c r="I16" s="3">
        <f t="shared" si="0"/>
      </c>
      <c r="J16" s="4">
        <v>28.3</v>
      </c>
      <c r="K16" s="4">
        <f t="shared" si="1"/>
      </c>
    </row>
    <row r="17" spans="1:11">
      <c r="A17" s="2">
        <v>46184</v>
      </c>
      <c r="B17" t="s">
        <v>268</v>
      </c>
      <c r="C17" t="s">
        <v>79</v>
      </c>
      <c r="D17" t="s">
        <v>4</v>
      </c>
      <c r="E17" t="s">
        <v>81</v>
      </c>
      <c r="F17">
        <f>VLOOKUP(TablaPegaso[[#This Row],[Equipo]],Catalogos!$I$4:$J$34,2,FALSE)</f>
      </c>
      <c r="G17" s="3"/>
      <c r="H17" s="3">
        <v>70</v>
      </c>
      <c r="I17" s="3">
        <f t="shared" si="0"/>
      </c>
      <c r="J17" s="4">
        <v>28.3</v>
      </c>
      <c r="K17" s="4">
        <f t="shared" si="1"/>
      </c>
    </row>
    <row r="18" spans="1:11">
      <c r="A18" s="2">
        <v>46184</v>
      </c>
      <c r="B18" t="s">
        <v>268</v>
      </c>
      <c r="C18" t="s">
        <v>79</v>
      </c>
      <c r="D18" t="s">
        <v>4</v>
      </c>
      <c r="E18" t="s">
        <v>164</v>
      </c>
      <c r="F18">
        <f>VLOOKUP(TablaPegaso[[#This Row],[Equipo]],Catalogos!$I$4:$J$34,2,FALSE)</f>
      </c>
      <c r="G18" s="3"/>
      <c r="H18" s="3">
        <v>80</v>
      </c>
      <c r="I18" s="3">
        <f t="shared" si="0"/>
      </c>
      <c r="J18" s="4">
        <v>28.3</v>
      </c>
      <c r="K18" s="4">
        <f t="shared" si="1"/>
      </c>
    </row>
    <row r="19" spans="1:11">
      <c r="A19" s="2">
        <v>46184</v>
      </c>
      <c r="B19" t="s">
        <v>268</v>
      </c>
      <c r="C19" t="s">
        <v>79</v>
      </c>
      <c r="D19" t="s">
        <v>4</v>
      </c>
      <c r="E19" t="s">
        <v>134</v>
      </c>
      <c r="F19">
        <f>VLOOKUP(TablaPegaso[[#This Row],[Equipo]],Catalogos!$I$4:$J$34,2,FALSE)</f>
      </c>
      <c r="G19" s="3"/>
      <c r="H19" s="3">
        <v>185</v>
      </c>
      <c r="I19" s="3">
        <f t="shared" si="0"/>
      </c>
      <c r="J19" s="4">
        <v>28.3</v>
      </c>
      <c r="K19" s="4">
        <f t="shared" si="1"/>
      </c>
    </row>
    <row r="20" spans="1:11">
      <c r="A20" s="2">
        <v>46184</v>
      </c>
      <c r="B20" t="s">
        <v>268</v>
      </c>
      <c r="C20" t="s">
        <v>79</v>
      </c>
      <c r="D20" t="s">
        <v>4</v>
      </c>
      <c r="E20" t="s">
        <v>174</v>
      </c>
      <c r="F20">
        <f>VLOOKUP(TablaPegaso[[#This Row],[Equipo]],Catalogos!$I$4:$J$34,2,FALSE)</f>
      </c>
      <c r="G20" s="3"/>
      <c r="H20" s="3">
        <v>50</v>
      </c>
      <c r="I20" s="3">
        <f t="shared" si="0"/>
      </c>
      <c r="J20" s="4">
        <v>28.3</v>
      </c>
      <c r="K20" s="4">
        <f t="shared" si="1"/>
      </c>
    </row>
    <row r="21" spans="1:11">
      <c r="A21" s="2">
        <v>46184</v>
      </c>
      <c r="B21" t="s">
        <v>268</v>
      </c>
      <c r="C21" t="s">
        <v>79</v>
      </c>
      <c r="D21" t="s">
        <v>4</v>
      </c>
      <c r="E21" t="s">
        <v>174</v>
      </c>
      <c r="F21">
        <f>VLOOKUP(TablaPegaso[[#This Row],[Equipo]],Catalogos!$I$4:$J$34,2,FALSE)</f>
      </c>
      <c r="G21" s="3"/>
      <c r="H21" s="3">
        <v>40</v>
      </c>
      <c r="I21" s="3">
        <f t="shared" si="0"/>
      </c>
      <c r="J21" s="4">
        <v>28.3</v>
      </c>
      <c r="K21" s="4">
        <f t="shared" si="1"/>
      </c>
    </row>
    <row r="22" spans="1:11">
      <c r="A22" s="2">
        <v>46184</v>
      </c>
      <c r="B22" t="s">
        <v>268</v>
      </c>
      <c r="C22" t="s">
        <v>79</v>
      </c>
      <c r="D22" t="s">
        <v>4</v>
      </c>
      <c r="E22" t="s">
        <v>155</v>
      </c>
      <c r="F22">
        <f>VLOOKUP(TablaPegaso[[#This Row],[Equipo]],Catalogos!$I$4:$J$34,2,FALSE)</f>
      </c>
      <c r="G22" s="3"/>
      <c r="H22" s="3">
        <v>40</v>
      </c>
      <c r="I22" s="3">
        <f t="shared" si="0"/>
      </c>
      <c r="J22" s="4">
        <v>28.3</v>
      </c>
      <c r="K22" s="4">
        <f t="shared" si="1"/>
      </c>
    </row>
    <row r="23" spans="1:11">
      <c r="A23" s="2">
        <v>46185</v>
      </c>
      <c r="B23" t="s">
        <v>268</v>
      </c>
      <c r="C23" t="s">
        <v>79</v>
      </c>
      <c r="D23" t="s">
        <v>183</v>
      </c>
      <c r="E23" t="s">
        <v>149</v>
      </c>
      <c r="F23">
        <f>VLOOKUP(TablaPegaso[[#This Row],[Equipo]],Catalogos!$I$4:$J$34,2,FALSE)</f>
      </c>
      <c r="G23" s="3"/>
      <c r="H23" s="3">
        <v>70</v>
      </c>
      <c r="I23" s="3">
        <f t="shared" si="0"/>
      </c>
      <c r="J23" s="4">
        <v>28.3</v>
      </c>
      <c r="K23" s="4">
        <f t="shared" si="1"/>
      </c>
    </row>
    <row r="24" spans="1:11">
      <c r="A24" s="2"/>
      <c r="F24">
        <f>VLOOKUP(TablaPegaso[[#This Row],[Equipo]],Catalogos!$I$4:$J$34,2,FALSE)</f>
      </c>
      <c r="G24" s="3"/>
      <c r="H24" s="3"/>
      <c r="I24" s="3">
        <f t="shared" si="0"/>
      </c>
      <c r="J24" s="4"/>
      <c r="K24" s="4">
        <f t="shared" si="1"/>
      </c>
    </row>
    <row r="25" spans="1:11">
      <c r="A25" s="2"/>
      <c r="F25">
        <f>VLOOKUP(TablaPegaso[[#This Row],[Equipo]],Catalogos!$I$4:$J$34,2,FALSE)</f>
      </c>
      <c r="G25" s="3"/>
      <c r="H25" s="3"/>
      <c r="I25" s="3">
        <f t="shared" si="0"/>
      </c>
      <c r="J25" s="4"/>
      <c r="K25" s="4">
        <f t="shared" si="1"/>
      </c>
    </row>
    <row r="26" spans="1:11">
      <c r="A26" s="2"/>
      <c r="F26">
        <f>VLOOKUP(TablaPegaso[[#This Row],[Equipo]],Catalogos!$I$4:$J$34,2,FALSE)</f>
      </c>
      <c r="G26" s="3"/>
      <c r="H26" s="3"/>
      <c r="I26" s="3">
        <f t="shared" si="0"/>
      </c>
      <c r="J26" s="4"/>
      <c r="K26" s="4">
        <f t="shared" si="1"/>
      </c>
    </row>
    <row r="27" spans="1:11">
      <c r="A27" s="2"/>
      <c r="F27">
        <f>VLOOKUP(TablaPegaso[[#This Row],[Equipo]],Catalogos!$I$4:$J$34,2,FALSE)</f>
      </c>
      <c r="G27" s="3"/>
      <c r="H27" s="3"/>
      <c r="I27" s="3">
        <f t="shared" si="0"/>
      </c>
      <c r="J27" s="4"/>
      <c r="K27" s="4">
        <f t="shared" si="1"/>
      </c>
    </row>
    <row r="28" spans="1:11">
      <c r="A28" s="2"/>
      <c r="F28">
        <f>VLOOKUP(TablaPegaso[[#This Row],[Equipo]],Catalogos!$I$4:$J$34,2,FALSE)</f>
      </c>
      <c r="G28" s="3"/>
      <c r="H28" s="3"/>
      <c r="I28" s="3">
        <f t="shared" si="0"/>
      </c>
      <c r="J28" s="4"/>
      <c r="K28" s="4">
        <f t="shared" si="1"/>
      </c>
    </row>
    <row r="29" spans="1:11">
      <c r="A29" s="2"/>
      <c r="F29">
        <f>VLOOKUP(TablaPegaso[[#This Row],[Equipo]],Catalogos!$I$4:$J$34,2,FALSE)</f>
      </c>
      <c r="G29" s="3"/>
      <c r="H29" s="3"/>
      <c r="I29" s="3">
        <f t="shared" si="0"/>
      </c>
      <c r="J29" s="4"/>
      <c r="K29" s="4">
        <f t="shared" si="1"/>
      </c>
    </row>
    <row r="30" spans="1:11">
      <c r="A30" s="2"/>
      <c r="F30">
        <f>VLOOKUP(TablaPegaso[[#This Row],[Equipo]],Catalogos!$I$4:$J$34,2,FALSE)</f>
      </c>
      <c r="G30" s="3"/>
      <c r="H30" s="3"/>
      <c r="I30" s="3">
        <f t="shared" si="0"/>
      </c>
      <c r="J30" s="4"/>
      <c r="K30" s="4">
        <f t="shared" si="1"/>
      </c>
    </row>
    <row r="31" spans="1:11">
      <c r="A31" s="2"/>
      <c r="F31">
        <f>VLOOKUP(TablaPegaso[[#This Row],[Equipo]],Catalogos!$I$4:$J$34,2,FALSE)</f>
      </c>
      <c r="G31" s="3"/>
      <c r="H31" s="3"/>
      <c r="I31" s="3">
        <f t="shared" si="0"/>
      </c>
      <c r="J31" s="4"/>
      <c r="K31" s="4">
        <f t="shared" si="1"/>
      </c>
    </row>
    <row r="32" spans="1:11">
      <c r="A32" s="2"/>
      <c r="F32">
        <f>VLOOKUP(TablaPegaso[[#This Row],[Equipo]],Catalogos!$I$4:$J$34,2,FALSE)</f>
      </c>
      <c r="G32" s="3"/>
      <c r="H32" s="3"/>
      <c r="I32" s="3">
        <f t="shared" si="0"/>
      </c>
      <c r="J32" s="4"/>
      <c r="K32" s="4">
        <f t="shared" si="1"/>
      </c>
    </row>
    <row r="33" spans="1:11">
      <c r="A33" s="2"/>
      <c r="F33">
        <f>VLOOKUP(TablaPegaso[[#This Row],[Equipo]],Catalogos!$I$4:$J$34,2,FALSE)</f>
      </c>
      <c r="G33" s="3"/>
      <c r="H33" s="3"/>
      <c r="I33" s="3">
        <f t="shared" si="0"/>
      </c>
      <c r="J33" s="4"/>
      <c r="K33" s="4">
        <f t="shared" si="1"/>
      </c>
    </row>
    <row r="34" spans="1:11">
      <c r="A34" s="2"/>
      <c r="F34">
        <f>VLOOKUP(TablaPegaso[[#This Row],[Equipo]],Catalogos!$I$4:$J$34,2,FALSE)</f>
      </c>
      <c r="G34" s="3"/>
      <c r="H34" s="3"/>
      <c r="I34" s="3">
        <f t="shared" si="0"/>
      </c>
      <c r="J34" s="4"/>
      <c r="K34" s="4">
        <f t="shared" si="1"/>
      </c>
    </row>
    <row r="35" spans="1:11">
      <c r="A35" s="2"/>
      <c r="F35">
        <f>VLOOKUP(TablaPegaso[[#This Row],[Equipo]],Catalogos!$I$4:$J$34,2,FALSE)</f>
      </c>
      <c r="G35" s="3"/>
      <c r="H35" s="3"/>
      <c r="I35" s="3">
        <f t="shared" si="0"/>
      </c>
      <c r="J35" s="4"/>
      <c r="K35" s="4">
        <f t="shared" si="1"/>
      </c>
    </row>
    <row r="36" spans="1:11">
      <c r="A36" s="2"/>
      <c r="F36">
        <f>VLOOKUP(TablaPegaso[[#This Row],[Equipo]],Catalogos!$I$4:$J$34,2,FALSE)</f>
      </c>
      <c r="G36" s="3"/>
      <c r="H36" s="3"/>
      <c r="I36" s="3">
        <f t="shared" si="0"/>
      </c>
      <c r="J36" s="4"/>
      <c r="K36" s="4">
        <f t="shared" si="1"/>
      </c>
    </row>
    <row r="37" spans="1:11">
      <c r="A37" s="2"/>
      <c r="F37">
        <f>VLOOKUP(TablaPegaso[[#This Row],[Equipo]],Catalogos!$I$4:$J$34,2,FALSE)</f>
      </c>
      <c r="G37" s="3"/>
      <c r="H37" s="3"/>
      <c r="I37" s="3">
        <f t="shared" si="0"/>
      </c>
      <c r="J37" s="4"/>
      <c r="K37" s="4">
        <f t="shared" si="1"/>
      </c>
    </row>
    <row r="38" spans="1:11">
      <c r="A38" s="2"/>
      <c r="F38">
        <f>VLOOKUP(TablaPegaso[[#This Row],[Equipo]],Catalogos!$I$4:$J$34,2,FALSE)</f>
      </c>
      <c r="G38" s="3"/>
      <c r="H38" s="3"/>
      <c r="I38" s="3">
        <f t="shared" si="0"/>
      </c>
      <c r="J38" s="4"/>
      <c r="K38" s="4">
        <f t="shared" si="1"/>
      </c>
    </row>
    <row r="39" spans="1:11">
      <c r="A39" s="2"/>
      <c r="F39">
        <f>VLOOKUP(TablaPegaso[[#This Row],[Equipo]],Catalogos!$I$4:$J$34,2,FALSE)</f>
      </c>
      <c r="G39" s="3"/>
      <c r="H39" s="3"/>
      <c r="I39" s="3">
        <f t="shared" ref="I39:I70" si="2">IF(ROW()=5,G39-H39,I38+G39-H39)</f>
      </c>
      <c r="J39" s="4"/>
      <c r="K39" s="4">
        <f t="shared" ref="K39:K70" si="3">IFERROR((G39+H39)*J39,0)</f>
      </c>
    </row>
    <row r="40" spans="1:11">
      <c r="A40" s="2"/>
      <c r="F40">
        <f>VLOOKUP(TablaPegaso[[#This Row],[Equipo]],Catalogos!$I$4:$J$34,2,FALSE)</f>
      </c>
      <c r="G40" s="3"/>
      <c r="H40" s="3"/>
      <c r="I40" s="3">
        <f t="shared" si="2"/>
      </c>
      <c r="J40" s="4"/>
      <c r="K40" s="4">
        <f t="shared" si="3"/>
      </c>
    </row>
    <row r="41" spans="1:11">
      <c r="A41" s="2"/>
      <c r="F41">
        <f>VLOOKUP(TablaPegaso[[#This Row],[Equipo]],Catalogos!$I$4:$J$34,2,FALSE)</f>
      </c>
      <c r="G41" s="3"/>
      <c r="H41" s="3"/>
      <c r="I41" s="3">
        <f t="shared" si="2"/>
      </c>
      <c r="J41" s="4"/>
      <c r="K41" s="4">
        <f t="shared" si="3"/>
      </c>
    </row>
    <row r="42" spans="1:11">
      <c r="A42" s="2"/>
      <c r="F42">
        <f>VLOOKUP(TablaPegaso[[#This Row],[Equipo]],Catalogos!$I$4:$J$34,2,FALSE)</f>
      </c>
      <c r="G42" s="3"/>
      <c r="H42" s="3"/>
      <c r="I42" s="3">
        <f t="shared" si="2"/>
      </c>
      <c r="J42" s="4"/>
      <c r="K42" s="4">
        <f t="shared" si="3"/>
      </c>
    </row>
    <row r="43" spans="1:11">
      <c r="A43" s="2"/>
      <c r="F43">
        <f>VLOOKUP(TablaPegaso[[#This Row],[Equipo]],Catalogos!$I$4:$J$34,2,FALSE)</f>
      </c>
      <c r="G43" s="3"/>
      <c r="H43" s="3"/>
      <c r="I43" s="3">
        <f t="shared" si="2"/>
      </c>
      <c r="J43" s="4"/>
      <c r="K43" s="4">
        <f t="shared" si="3"/>
      </c>
    </row>
    <row r="44" spans="1:11">
      <c r="A44" s="2"/>
      <c r="F44">
        <f>VLOOKUP(TablaPegaso[[#This Row],[Equipo]],Catalogos!$I$4:$J$34,2,FALSE)</f>
      </c>
      <c r="G44" s="3"/>
      <c r="H44" s="3"/>
      <c r="I44" s="3">
        <f t="shared" si="2"/>
      </c>
      <c r="J44" s="4"/>
      <c r="K44" s="4">
        <f t="shared" si="3"/>
      </c>
    </row>
    <row r="45" spans="1:11">
      <c r="A45" s="2"/>
      <c r="F45">
        <f>VLOOKUP(TablaPegaso[[#This Row],[Equipo]],Catalogos!$I$4:$J$34,2,FALSE)</f>
      </c>
      <c r="G45" s="3"/>
      <c r="H45" s="3"/>
      <c r="I45" s="3">
        <f t="shared" si="2"/>
      </c>
      <c r="J45" s="4"/>
      <c r="K45" s="4">
        <f t="shared" si="3"/>
      </c>
    </row>
    <row r="46" spans="1:11">
      <c r="A46" s="2"/>
      <c r="F46">
        <f>VLOOKUP(TablaPegaso[[#This Row],[Equipo]],Catalogos!$I$4:$J$34,2,FALSE)</f>
      </c>
      <c r="G46" s="3"/>
      <c r="H46" s="3"/>
      <c r="I46" s="3">
        <f t="shared" si="2"/>
      </c>
      <c r="J46" s="4"/>
      <c r="K46" s="4">
        <f t="shared" si="3"/>
      </c>
    </row>
    <row r="47" spans="1:11">
      <c r="A47" s="2"/>
      <c r="F47">
        <f>VLOOKUP(TablaPegaso[[#This Row],[Equipo]],Catalogos!$I$4:$J$34,2,FALSE)</f>
      </c>
      <c r="G47" s="3"/>
      <c r="H47" s="3"/>
      <c r="I47" s="3">
        <f t="shared" si="2"/>
      </c>
      <c r="J47" s="4"/>
      <c r="K47" s="4">
        <f t="shared" si="3"/>
      </c>
    </row>
    <row r="48" spans="1:11">
      <c r="A48" s="2"/>
      <c r="F48">
        <f>VLOOKUP(TablaPegaso[[#This Row],[Equipo]],Catalogos!$I$4:$J$34,2,FALSE)</f>
      </c>
      <c r="G48" s="3"/>
      <c r="H48" s="3"/>
      <c r="I48" s="3">
        <f t="shared" si="2"/>
      </c>
      <c r="J48" s="4"/>
      <c r="K48" s="4">
        <f t="shared" si="3"/>
      </c>
    </row>
    <row r="49" spans="1:11">
      <c r="A49" s="2"/>
      <c r="F49">
        <f>VLOOKUP(TablaPegaso[[#This Row],[Equipo]],Catalogos!$I$4:$J$34,2,FALSE)</f>
      </c>
      <c r="G49" s="3"/>
      <c r="H49" s="3"/>
      <c r="I49" s="3">
        <f t="shared" si="2"/>
      </c>
      <c r="J49" s="4"/>
      <c r="K49" s="4">
        <f t="shared" si="3"/>
      </c>
    </row>
    <row r="50" spans="1:11">
      <c r="A50" s="2"/>
      <c r="F50">
        <f>VLOOKUP(TablaPegaso[[#This Row],[Equipo]],Catalogos!$I$4:$J$34,2,FALSE)</f>
      </c>
      <c r="G50" s="3"/>
      <c r="H50" s="3"/>
      <c r="I50" s="3">
        <f t="shared" si="2"/>
      </c>
      <c r="J50" s="4"/>
      <c r="K50" s="4">
        <f t="shared" si="3"/>
      </c>
    </row>
    <row r="51" spans="1:11">
      <c r="A51" s="2"/>
      <c r="F51">
        <f>VLOOKUP(TablaPegaso[[#This Row],[Equipo]],Catalogos!$I$4:$J$34,2,FALSE)</f>
      </c>
      <c r="G51" s="3"/>
      <c r="H51" s="3"/>
      <c r="I51" s="3">
        <f t="shared" si="2"/>
      </c>
      <c r="J51" s="4"/>
      <c r="K51" s="4">
        <f t="shared" si="3"/>
      </c>
    </row>
    <row r="52" spans="1:11">
      <c r="A52" s="2"/>
      <c r="F52">
        <f>VLOOKUP(TablaPegaso[[#This Row],[Equipo]],Catalogos!$I$4:$J$34,2,FALSE)</f>
      </c>
      <c r="G52" s="3"/>
      <c r="H52" s="3"/>
      <c r="I52" s="3">
        <f t="shared" si="2"/>
      </c>
      <c r="J52" s="4"/>
      <c r="K52" s="4">
        <f t="shared" si="3"/>
      </c>
    </row>
    <row r="53" spans="1:11">
      <c r="A53" s="2"/>
      <c r="F53">
        <f>VLOOKUP(TablaPegaso[[#This Row],[Equipo]],Catalogos!$I$4:$J$34,2,FALSE)</f>
      </c>
      <c r="G53" s="3"/>
      <c r="H53" s="3"/>
      <c r="I53" s="3">
        <f t="shared" si="2"/>
      </c>
      <c r="J53" s="4"/>
      <c r="K53" s="4">
        <f t="shared" si="3"/>
      </c>
    </row>
    <row r="54" spans="1:11">
      <c r="A54" s="2"/>
      <c r="F54">
        <f>VLOOKUP(TablaPegaso[[#This Row],[Equipo]],Catalogos!$I$4:$J$34,2,FALSE)</f>
      </c>
      <c r="G54" s="3"/>
      <c r="H54" s="3"/>
      <c r="I54" s="3">
        <f t="shared" si="2"/>
      </c>
      <c r="J54" s="4"/>
      <c r="K54" s="4">
        <f t="shared" si="3"/>
      </c>
    </row>
    <row r="55" spans="1:11">
      <c r="A55" s="2"/>
      <c r="F55">
        <f>VLOOKUP(TablaPegaso[[#This Row],[Equipo]],Catalogos!$I$4:$J$34,2,FALSE)</f>
      </c>
      <c r="G55" s="3"/>
      <c r="H55" s="3"/>
      <c r="I55" s="3">
        <f t="shared" si="2"/>
      </c>
      <c r="J55" s="4"/>
      <c r="K55" s="4">
        <f t="shared" si="3"/>
      </c>
    </row>
    <row r="56" spans="1:11">
      <c r="A56" s="2"/>
      <c r="F56">
        <f>VLOOKUP(TablaPegaso[[#This Row],[Equipo]],Catalogos!$I$4:$J$34,2,FALSE)</f>
      </c>
      <c r="G56" s="3"/>
      <c r="H56" s="3"/>
      <c r="I56" s="3">
        <f t="shared" si="2"/>
      </c>
      <c r="J56" s="4"/>
      <c r="K56" s="4">
        <f t="shared" si="3"/>
      </c>
    </row>
    <row r="57" spans="1:11">
      <c r="A57" s="2"/>
      <c r="F57">
        <f>VLOOKUP(TablaPegaso[[#This Row],[Equipo]],Catalogos!$I$4:$J$34,2,FALSE)</f>
      </c>
      <c r="G57" s="3"/>
      <c r="H57" s="3"/>
      <c r="I57" s="3">
        <f t="shared" si="2"/>
      </c>
      <c r="J57" s="4"/>
      <c r="K57" s="4">
        <f t="shared" si="3"/>
      </c>
    </row>
    <row r="58" spans="1:11">
      <c r="A58" s="2"/>
      <c r="F58">
        <f>VLOOKUP(TablaPegaso[[#This Row],[Equipo]],Catalogos!$I$4:$J$34,2,FALSE)</f>
      </c>
      <c r="G58" s="3"/>
      <c r="H58" s="3"/>
      <c r="I58" s="3">
        <f t="shared" si="2"/>
      </c>
      <c r="J58" s="4"/>
      <c r="K58" s="4">
        <f t="shared" si="3"/>
      </c>
    </row>
    <row r="59" spans="1:11">
      <c r="A59" s="2"/>
      <c r="F59">
        <f>VLOOKUP(TablaPegaso[[#This Row],[Equipo]],Catalogos!$I$4:$J$34,2,FALSE)</f>
      </c>
      <c r="G59" s="3"/>
      <c r="H59" s="3"/>
      <c r="I59" s="3">
        <f t="shared" si="2"/>
      </c>
      <c r="J59" s="4"/>
      <c r="K59" s="4">
        <f t="shared" si="3"/>
      </c>
    </row>
    <row r="60" spans="1:11">
      <c r="A60" s="2"/>
      <c r="F60">
        <f>VLOOKUP(TablaPegaso[[#This Row],[Equipo]],Catalogos!$I$4:$J$34,2,FALSE)</f>
      </c>
      <c r="G60" s="3"/>
      <c r="H60" s="3"/>
      <c r="I60" s="3">
        <f t="shared" si="2"/>
      </c>
      <c r="J60" s="4"/>
      <c r="K60" s="4">
        <f t="shared" si="3"/>
      </c>
    </row>
    <row r="61" spans="1:11">
      <c r="A61" s="2"/>
      <c r="F61">
        <f>VLOOKUP(TablaPegaso[[#This Row],[Equipo]],Catalogos!$I$4:$J$34,2,FALSE)</f>
      </c>
      <c r="G61" s="3"/>
      <c r="H61" s="3"/>
      <c r="I61" s="3">
        <f t="shared" si="2"/>
      </c>
      <c r="J61" s="4"/>
      <c r="K61" s="4">
        <f t="shared" si="3"/>
      </c>
    </row>
    <row r="62" spans="1:11">
      <c r="A62" s="2"/>
      <c r="F62">
        <f>VLOOKUP(TablaPegaso[[#This Row],[Equipo]],Catalogos!$I$4:$J$34,2,FALSE)</f>
      </c>
      <c r="G62" s="3"/>
      <c r="H62" s="3"/>
      <c r="I62" s="3">
        <f t="shared" si="2"/>
      </c>
      <c r="J62" s="4"/>
      <c r="K62" s="4">
        <f t="shared" si="3"/>
      </c>
    </row>
    <row r="63" spans="1:11">
      <c r="A63" s="2"/>
      <c r="F63">
        <f>VLOOKUP(TablaPegaso[[#This Row],[Equipo]],Catalogos!$I$4:$J$34,2,FALSE)</f>
      </c>
      <c r="G63" s="3"/>
      <c r="H63" s="3"/>
      <c r="I63" s="3">
        <f t="shared" si="2"/>
      </c>
      <c r="J63" s="4"/>
      <c r="K63" s="4">
        <f t="shared" si="3"/>
      </c>
    </row>
    <row r="64" spans="1:11">
      <c r="A64" s="2"/>
      <c r="F64">
        <f>VLOOKUP(TablaPegaso[[#This Row],[Equipo]],Catalogos!$I$4:$J$34,2,FALSE)</f>
      </c>
      <c r="G64" s="3"/>
      <c r="H64" s="3"/>
      <c r="I64" s="3">
        <f t="shared" si="2"/>
      </c>
      <c r="J64" s="4"/>
      <c r="K64" s="4">
        <f t="shared" si="3"/>
      </c>
    </row>
    <row r="65" spans="1:11">
      <c r="A65" s="2"/>
      <c r="F65">
        <f>VLOOKUP(TablaPegaso[[#This Row],[Equipo]],Catalogos!$I$4:$J$34,2,FALSE)</f>
      </c>
      <c r="G65" s="3"/>
      <c r="H65" s="3"/>
      <c r="I65" s="3">
        <f t="shared" si="2"/>
      </c>
      <c r="J65" s="4"/>
      <c r="K65" s="4">
        <f t="shared" si="3"/>
      </c>
    </row>
    <row r="66" spans="1:11">
      <c r="A66" s="2"/>
      <c r="F66">
        <f>VLOOKUP(TablaPegaso[[#This Row],[Equipo]],Catalogos!$I$4:$J$34,2,FALSE)</f>
      </c>
      <c r="G66" s="3"/>
      <c r="H66" s="3"/>
      <c r="I66" s="3">
        <f t="shared" si="2"/>
      </c>
      <c r="J66" s="4"/>
      <c r="K66" s="4">
        <f t="shared" si="3"/>
      </c>
    </row>
    <row r="67" spans="1:11">
      <c r="A67" s="2"/>
      <c r="F67">
        <f>VLOOKUP(TablaPegaso[[#This Row],[Equipo]],Catalogos!$I$4:$J$34,2,FALSE)</f>
      </c>
      <c r="G67" s="3"/>
      <c r="H67" s="3"/>
      <c r="I67" s="3">
        <f t="shared" si="2"/>
      </c>
      <c r="J67" s="4"/>
      <c r="K67" s="4">
        <f t="shared" si="3"/>
      </c>
    </row>
    <row r="68" spans="1:11">
      <c r="A68" s="2"/>
      <c r="F68">
        <f>VLOOKUP(TablaPegaso[[#This Row],[Equipo]],Catalogos!$I$4:$J$34,2,FALSE)</f>
      </c>
      <c r="G68" s="3"/>
      <c r="H68" s="3"/>
      <c r="I68" s="3">
        <f t="shared" si="2"/>
      </c>
      <c r="J68" s="4"/>
      <c r="K68" s="4">
        <f t="shared" si="3"/>
      </c>
    </row>
    <row r="69" spans="1:11">
      <c r="A69" s="2"/>
      <c r="F69">
        <f>VLOOKUP(TablaPegaso[[#This Row],[Equipo]],Catalogos!$I$4:$J$34,2,FALSE)</f>
      </c>
      <c r="G69" s="3"/>
      <c r="H69" s="3"/>
      <c r="I69" s="3">
        <f t="shared" si="2"/>
      </c>
      <c r="J69" s="4"/>
      <c r="K69" s="4">
        <f t="shared" si="3"/>
      </c>
    </row>
    <row r="70" spans="1:11">
      <c r="A70" s="2"/>
      <c r="F70">
        <f>VLOOKUP(TablaPegaso[[#This Row],[Equipo]],Catalogos!$I$4:$J$34,2,FALSE)</f>
      </c>
      <c r="G70" s="3"/>
      <c r="H70" s="3"/>
      <c r="I70" s="3">
        <f t="shared" si="2"/>
      </c>
      <c r="J70" s="4"/>
      <c r="K70" s="4">
        <f t="shared" si="3"/>
      </c>
    </row>
    <row r="71" spans="1:11">
      <c r="A71" s="2"/>
      <c r="F71">
        <f>VLOOKUP(TablaPegaso[[#This Row],[Equipo]],Catalogos!$I$4:$J$34,2,FALSE)</f>
      </c>
      <c r="G71" s="3"/>
      <c r="H71" s="3"/>
      <c r="I71" s="3">
        <f t="shared" ref="I71:I102" si="4">IF(ROW()=5,G71-H71,I70+G71-H71)</f>
      </c>
      <c r="J71" s="4"/>
      <c r="K71" s="4">
        <f t="shared" ref="K71:K102" si="5">IFERROR((G71+H71)*J71,0)</f>
      </c>
    </row>
    <row r="72" spans="1:11">
      <c r="A72" s="2"/>
      <c r="F72">
        <f>VLOOKUP(TablaPegaso[[#This Row],[Equipo]],Catalogos!$I$4:$J$34,2,FALSE)</f>
      </c>
      <c r="G72" s="3"/>
      <c r="H72" s="3"/>
      <c r="I72" s="3">
        <f t="shared" si="4"/>
      </c>
      <c r="J72" s="4"/>
      <c r="K72" s="4">
        <f t="shared" si="5"/>
      </c>
    </row>
    <row r="73" spans="1:11">
      <c r="A73" s="2"/>
      <c r="F73">
        <f>VLOOKUP(TablaPegaso[[#This Row],[Equipo]],Catalogos!$I$4:$J$34,2,FALSE)</f>
      </c>
      <c r="G73" s="3"/>
      <c r="H73" s="3"/>
      <c r="I73" s="3">
        <f t="shared" si="4"/>
      </c>
      <c r="J73" s="4"/>
      <c r="K73" s="4">
        <f t="shared" si="5"/>
      </c>
    </row>
    <row r="74" spans="1:11">
      <c r="A74" s="2"/>
      <c r="F74">
        <f>VLOOKUP(TablaPegaso[[#This Row],[Equipo]],Catalogos!$I$4:$J$34,2,FALSE)</f>
      </c>
      <c r="G74" s="3"/>
      <c r="H74" s="3"/>
      <c r="I74" s="3">
        <f t="shared" si="4"/>
      </c>
      <c r="J74" s="4"/>
      <c r="K74" s="4">
        <f t="shared" si="5"/>
      </c>
    </row>
    <row r="75" spans="1:11">
      <c r="A75" s="2"/>
      <c r="F75">
        <f>VLOOKUP(TablaPegaso[[#This Row],[Equipo]],Catalogos!$I$4:$J$34,2,FALSE)</f>
      </c>
      <c r="G75" s="3"/>
      <c r="H75" s="3"/>
      <c r="I75" s="3">
        <f t="shared" si="4"/>
      </c>
      <c r="J75" s="4"/>
      <c r="K75" s="4">
        <f t="shared" si="5"/>
      </c>
    </row>
    <row r="76" spans="1:11">
      <c r="A76" s="2"/>
      <c r="F76">
        <f>VLOOKUP(TablaPegaso[[#This Row],[Equipo]],Catalogos!$I$4:$J$34,2,FALSE)</f>
      </c>
      <c r="G76" s="3"/>
      <c r="H76" s="3"/>
      <c r="I76" s="3">
        <f t="shared" si="4"/>
      </c>
      <c r="J76" s="4"/>
      <c r="K76" s="4">
        <f t="shared" si="5"/>
      </c>
    </row>
    <row r="77" spans="1:11">
      <c r="A77" s="2"/>
      <c r="F77">
        <f>VLOOKUP(TablaPegaso[[#This Row],[Equipo]],Catalogos!$I$4:$J$34,2,FALSE)</f>
      </c>
      <c r="G77" s="3"/>
      <c r="H77" s="3"/>
      <c r="I77" s="3">
        <f t="shared" si="4"/>
      </c>
      <c r="J77" s="4"/>
      <c r="K77" s="4">
        <f t="shared" si="5"/>
      </c>
    </row>
    <row r="78" spans="1:11">
      <c r="A78" s="2"/>
      <c r="F78">
        <f>VLOOKUP(TablaPegaso[[#This Row],[Equipo]],Catalogos!$I$4:$J$34,2,FALSE)</f>
      </c>
      <c r="G78" s="3"/>
      <c r="H78" s="3"/>
      <c r="I78" s="3">
        <f t="shared" si="4"/>
      </c>
      <c r="J78" s="4"/>
      <c r="K78" s="4">
        <f t="shared" si="5"/>
      </c>
    </row>
    <row r="79" spans="1:11">
      <c r="A79" s="2"/>
      <c r="F79">
        <f>VLOOKUP(TablaPegaso[[#This Row],[Equipo]],Catalogos!$I$4:$J$34,2,FALSE)</f>
      </c>
      <c r="G79" s="3"/>
      <c r="H79" s="3"/>
      <c r="I79" s="3">
        <f t="shared" si="4"/>
      </c>
      <c r="J79" s="4"/>
      <c r="K79" s="4">
        <f t="shared" si="5"/>
      </c>
    </row>
    <row r="80" spans="1:11">
      <c r="A80" s="2"/>
      <c r="F80">
        <f>VLOOKUP(TablaPegaso[[#This Row],[Equipo]],Catalogos!$I$4:$J$34,2,FALSE)</f>
      </c>
      <c r="G80" s="3"/>
      <c r="H80" s="3"/>
      <c r="I80" s="3">
        <f t="shared" si="4"/>
      </c>
      <c r="J80" s="4"/>
      <c r="K80" s="4">
        <f t="shared" si="5"/>
      </c>
    </row>
    <row r="81" spans="1:11">
      <c r="A81" s="2"/>
      <c r="F81">
        <f>VLOOKUP(TablaPegaso[[#This Row],[Equipo]],Catalogos!$I$4:$J$34,2,FALSE)</f>
      </c>
      <c r="G81" s="3"/>
      <c r="H81" s="3"/>
      <c r="I81" s="3">
        <f t="shared" si="4"/>
      </c>
      <c r="J81" s="4"/>
      <c r="K81" s="4">
        <f t="shared" si="5"/>
      </c>
    </row>
    <row r="82" spans="1:11">
      <c r="A82" s="2"/>
      <c r="F82">
        <f>VLOOKUP(TablaPegaso[[#This Row],[Equipo]],Catalogos!$I$4:$J$34,2,FALSE)</f>
      </c>
      <c r="G82" s="3"/>
      <c r="H82" s="3"/>
      <c r="I82" s="3">
        <f t="shared" si="4"/>
      </c>
      <c r="J82" s="4"/>
      <c r="K82" s="4">
        <f t="shared" si="5"/>
      </c>
    </row>
    <row r="83" spans="1:11">
      <c r="A83" s="2"/>
      <c r="F83">
        <f>VLOOKUP(TablaPegaso[[#This Row],[Equipo]],Catalogos!$I$4:$J$34,2,FALSE)</f>
      </c>
      <c r="G83" s="3"/>
      <c r="H83" s="3"/>
      <c r="I83" s="3">
        <f t="shared" si="4"/>
      </c>
      <c r="J83" s="4"/>
      <c r="K83" s="4">
        <f t="shared" si="5"/>
      </c>
    </row>
    <row r="84" spans="1:11">
      <c r="A84" s="2"/>
      <c r="F84">
        <f>VLOOKUP(TablaPegaso[[#This Row],[Equipo]],Catalogos!$I$4:$J$34,2,FALSE)</f>
      </c>
      <c r="G84" s="3"/>
      <c r="H84" s="3"/>
      <c r="I84" s="3">
        <f t="shared" si="4"/>
      </c>
      <c r="J84" s="4"/>
      <c r="K84" s="4">
        <f t="shared" si="5"/>
      </c>
    </row>
    <row r="85" spans="1:11">
      <c r="A85" s="2"/>
      <c r="F85">
        <f>VLOOKUP(TablaPegaso[[#This Row],[Equipo]],Catalogos!$I$4:$J$34,2,FALSE)</f>
      </c>
      <c r="G85" s="3"/>
      <c r="H85" s="3"/>
      <c r="I85" s="3">
        <f t="shared" si="4"/>
      </c>
      <c r="J85" s="4"/>
      <c r="K85" s="4">
        <f t="shared" si="5"/>
      </c>
    </row>
    <row r="86" spans="1:11">
      <c r="A86" s="2"/>
      <c r="F86">
        <f>VLOOKUP(TablaPegaso[[#This Row],[Equipo]],Catalogos!$I$4:$J$34,2,FALSE)</f>
      </c>
      <c r="G86" s="3"/>
      <c r="H86" s="3"/>
      <c r="I86" s="3">
        <f t="shared" si="4"/>
      </c>
      <c r="J86" s="4"/>
      <c r="K86" s="4">
        <f t="shared" si="5"/>
      </c>
    </row>
    <row r="87" spans="1:11">
      <c r="A87" s="2"/>
      <c r="F87">
        <f>VLOOKUP(TablaPegaso[[#This Row],[Equipo]],Catalogos!$I$4:$J$34,2,FALSE)</f>
      </c>
      <c r="G87" s="3"/>
      <c r="H87" s="3"/>
      <c r="I87" s="3">
        <f t="shared" si="4"/>
      </c>
      <c r="J87" s="4"/>
      <c r="K87" s="4">
        <f t="shared" si="5"/>
      </c>
    </row>
    <row r="88" spans="1:11">
      <c r="A88" s="2"/>
      <c r="F88">
        <f>VLOOKUP(TablaPegaso[[#This Row],[Equipo]],Catalogos!$I$4:$J$34,2,FALSE)</f>
      </c>
      <c r="G88" s="3"/>
      <c r="H88" s="3"/>
      <c r="I88" s="3">
        <f t="shared" si="4"/>
      </c>
      <c r="J88" s="4"/>
      <c r="K88" s="4">
        <f t="shared" si="5"/>
      </c>
    </row>
    <row r="89" spans="1:11">
      <c r="A89" s="2"/>
      <c r="F89">
        <f>VLOOKUP(TablaPegaso[[#This Row],[Equipo]],Catalogos!$I$4:$J$34,2,FALSE)</f>
      </c>
      <c r="G89" s="3"/>
      <c r="H89" s="3"/>
      <c r="I89" s="3">
        <f t="shared" si="4"/>
      </c>
      <c r="J89" s="4"/>
      <c r="K89" s="4">
        <f t="shared" si="5"/>
      </c>
    </row>
    <row r="90" spans="1:11">
      <c r="A90" s="2"/>
      <c r="F90">
        <f>VLOOKUP(TablaPegaso[[#This Row],[Equipo]],Catalogos!$I$4:$J$34,2,FALSE)</f>
      </c>
      <c r="G90" s="3"/>
      <c r="H90" s="3"/>
      <c r="I90" s="3">
        <f t="shared" si="4"/>
      </c>
      <c r="J90" s="4"/>
      <c r="K90" s="4">
        <f t="shared" si="5"/>
      </c>
    </row>
    <row r="91" spans="1:11">
      <c r="A91" s="2"/>
      <c r="F91">
        <f>VLOOKUP(TablaPegaso[[#This Row],[Equipo]],Catalogos!$I$4:$J$34,2,FALSE)</f>
      </c>
      <c r="G91" s="3"/>
      <c r="H91" s="3"/>
      <c r="I91" s="3">
        <f t="shared" si="4"/>
      </c>
      <c r="J91" s="4"/>
      <c r="K91" s="4">
        <f t="shared" si="5"/>
      </c>
    </row>
    <row r="92" spans="1:11">
      <c r="A92" s="2"/>
      <c r="F92">
        <f>VLOOKUP(TablaPegaso[[#This Row],[Equipo]],Catalogos!$I$4:$J$34,2,FALSE)</f>
      </c>
      <c r="G92" s="3"/>
      <c r="H92" s="3"/>
      <c r="I92" s="3">
        <f t="shared" si="4"/>
      </c>
      <c r="J92" s="4"/>
      <c r="K92" s="4">
        <f t="shared" si="5"/>
      </c>
    </row>
    <row r="93" spans="1:11">
      <c r="A93" s="2"/>
      <c r="F93">
        <f>VLOOKUP(TablaPegaso[[#This Row],[Equipo]],Catalogos!$I$4:$J$34,2,FALSE)</f>
      </c>
      <c r="G93" s="3"/>
      <c r="H93" s="3"/>
      <c r="I93" s="3">
        <f t="shared" si="4"/>
      </c>
      <c r="J93" s="4"/>
      <c r="K93" s="4">
        <f t="shared" si="5"/>
      </c>
    </row>
    <row r="94" spans="1:11">
      <c r="A94" s="2"/>
      <c r="F94">
        <f>VLOOKUP(TablaPegaso[[#This Row],[Equipo]],Catalogos!$I$4:$J$34,2,FALSE)</f>
      </c>
      <c r="G94" s="3"/>
      <c r="H94" s="3"/>
      <c r="I94" s="3">
        <f t="shared" si="4"/>
      </c>
      <c r="J94" s="4"/>
      <c r="K94" s="4">
        <f t="shared" si="5"/>
      </c>
    </row>
    <row r="95" spans="1:11">
      <c r="A95" s="2"/>
      <c r="F95">
        <f>VLOOKUP(TablaPegaso[[#This Row],[Equipo]],Catalogos!$I$4:$J$34,2,FALSE)</f>
      </c>
      <c r="G95" s="3"/>
      <c r="H95" s="3"/>
      <c r="I95" s="3">
        <f t="shared" si="4"/>
      </c>
      <c r="J95" s="4"/>
      <c r="K95" s="4">
        <f t="shared" si="5"/>
      </c>
    </row>
    <row r="96" spans="1:11">
      <c r="A96" s="2"/>
      <c r="F96">
        <f>VLOOKUP(TablaPegaso[[#This Row],[Equipo]],Catalogos!$I$4:$J$34,2,FALSE)</f>
      </c>
      <c r="G96" s="3"/>
      <c r="H96" s="3"/>
      <c r="I96" s="3">
        <f t="shared" si="4"/>
      </c>
      <c r="J96" s="4"/>
      <c r="K96" s="4">
        <f t="shared" si="5"/>
      </c>
    </row>
    <row r="97" spans="1:11">
      <c r="A97" s="2"/>
      <c r="F97">
        <f>VLOOKUP(TablaPegaso[[#This Row],[Equipo]],Catalogos!$I$4:$J$34,2,FALSE)</f>
      </c>
      <c r="G97" s="3"/>
      <c r="H97" s="3"/>
      <c r="I97" s="3">
        <f t="shared" si="4"/>
      </c>
      <c r="J97" s="4"/>
      <c r="K97" s="4">
        <f t="shared" si="5"/>
      </c>
    </row>
    <row r="98" spans="1:11">
      <c r="A98" s="2"/>
      <c r="F98">
        <f>VLOOKUP(TablaPegaso[[#This Row],[Equipo]],Catalogos!$I$4:$J$34,2,FALSE)</f>
      </c>
      <c r="G98" s="3"/>
      <c r="H98" s="3"/>
      <c r="I98" s="3">
        <f t="shared" si="4"/>
      </c>
      <c r="J98" s="4"/>
      <c r="K98" s="4">
        <f t="shared" si="5"/>
      </c>
    </row>
    <row r="99" spans="1:11">
      <c r="A99" s="2"/>
      <c r="F99">
        <f>VLOOKUP(TablaPegaso[[#This Row],[Equipo]],Catalogos!$I$4:$J$34,2,FALSE)</f>
      </c>
      <c r="G99" s="3"/>
      <c r="H99" s="3"/>
      <c r="I99" s="3">
        <f t="shared" si="4"/>
      </c>
      <c r="J99" s="4"/>
      <c r="K99" s="4">
        <f t="shared" si="5"/>
      </c>
    </row>
    <row r="100" spans="1:11">
      <c r="A100" s="2"/>
      <c r="F100">
        <f>VLOOKUP(TablaPegaso[[#This Row],[Equipo]],Catalogos!$I$4:$J$34,2,FALSE)</f>
      </c>
      <c r="G100" s="3"/>
      <c r="H100" s="3"/>
      <c r="I100" s="3">
        <f t="shared" si="4"/>
      </c>
      <c r="J100" s="4"/>
      <c r="K100" s="4">
        <f t="shared" si="5"/>
      </c>
    </row>
    <row r="101" spans="1:11">
      <c r="A101" s="2"/>
      <c r="F101">
        <f>VLOOKUP(TablaPegaso[[#This Row],[Equipo]],Catalogos!$I$4:$J$34,2,FALSE)</f>
      </c>
      <c r="G101" s="3"/>
      <c r="H101" s="3"/>
      <c r="I101" s="3">
        <f t="shared" si="4"/>
      </c>
      <c r="J101" s="4"/>
      <c r="K101" s="4">
        <f t="shared" si="5"/>
      </c>
    </row>
    <row r="102" spans="1:11">
      <c r="A102" s="2"/>
      <c r="F102">
        <f>VLOOKUP(TablaPegaso[[#This Row],[Equipo]],Catalogos!$I$4:$J$34,2,FALSE)</f>
      </c>
      <c r="G102" s="3"/>
      <c r="H102" s="3"/>
      <c r="I102" s="3">
        <f t="shared" si="4"/>
      </c>
      <c r="J102" s="4"/>
      <c r="K102" s="4">
        <f t="shared" si="5"/>
      </c>
    </row>
    <row r="103" spans="1:11">
      <c r="A103" s="2"/>
      <c r="F103">
        <f>VLOOKUP(TablaPegaso[[#This Row],[Equipo]],Catalogos!$I$4:$J$34,2,FALSE)</f>
      </c>
      <c r="G103" s="3"/>
      <c r="H103" s="3"/>
      <c r="I103" s="3">
        <f t="shared" ref="I103:I134" si="6">IF(ROW()=5,G103-H103,I102+G103-H103)</f>
      </c>
      <c r="J103" s="4"/>
      <c r="K103" s="4">
        <f t="shared" ref="K103:K134" si="7">IFERROR((G103+H103)*J103,0)</f>
      </c>
    </row>
    <row r="104" spans="1:11">
      <c r="A104" s="2"/>
      <c r="F104">
        <f>VLOOKUP(TablaPegaso[[#This Row],[Equipo]],Catalogos!$I$4:$J$34,2,FALSE)</f>
      </c>
      <c r="G104" s="3"/>
      <c r="H104" s="3"/>
      <c r="I104" s="3">
        <f t="shared" si="6"/>
      </c>
      <c r="J104" s="4"/>
      <c r="K104" s="4">
        <f t="shared" si="7"/>
      </c>
    </row>
    <row r="105" spans="1:11">
      <c r="A105" s="2"/>
      <c r="F105">
        <f>VLOOKUP(TablaPegaso[[#This Row],[Equipo]],Catalogos!$I$4:$J$34,2,FALSE)</f>
      </c>
      <c r="G105" s="3"/>
      <c r="H105" s="3"/>
      <c r="I105" s="3">
        <f t="shared" si="6"/>
      </c>
      <c r="J105" s="4"/>
      <c r="K105" s="4">
        <f t="shared" si="7"/>
      </c>
    </row>
    <row r="106" spans="1:11">
      <c r="A106" s="2"/>
      <c r="F106">
        <f>VLOOKUP(TablaPegaso[[#This Row],[Equipo]],Catalogos!$I$4:$J$34,2,FALSE)</f>
      </c>
      <c r="G106" s="3"/>
      <c r="H106" s="3"/>
      <c r="I106" s="3">
        <f t="shared" si="6"/>
      </c>
      <c r="J106" s="4"/>
      <c r="K106" s="4">
        <f t="shared" si="7"/>
      </c>
    </row>
    <row r="107" spans="1:11">
      <c r="A107" s="2"/>
      <c r="F107">
        <f>VLOOKUP(TablaPegaso[[#This Row],[Equipo]],Catalogos!$I$4:$J$34,2,FALSE)</f>
      </c>
      <c r="G107" s="3"/>
      <c r="H107" s="3"/>
      <c r="I107" s="3">
        <f t="shared" si="6"/>
      </c>
      <c r="J107" s="4"/>
      <c r="K107" s="4">
        <f t="shared" si="7"/>
      </c>
    </row>
    <row r="108" spans="1:11">
      <c r="A108" s="2"/>
      <c r="F108">
        <f>VLOOKUP(TablaPegaso[[#This Row],[Equipo]],Catalogos!$I$4:$J$34,2,FALSE)</f>
      </c>
      <c r="G108" s="3"/>
      <c r="H108" s="3"/>
      <c r="I108" s="3">
        <f t="shared" si="6"/>
      </c>
      <c r="J108" s="4"/>
      <c r="K108" s="4">
        <f t="shared" si="7"/>
      </c>
    </row>
    <row r="109" spans="1:11">
      <c r="A109" s="2"/>
      <c r="F109">
        <f>VLOOKUP(TablaPegaso[[#This Row],[Equipo]],Catalogos!$I$4:$J$34,2,FALSE)</f>
      </c>
      <c r="G109" s="3"/>
      <c r="H109" s="3"/>
      <c r="I109" s="3">
        <f t="shared" si="6"/>
      </c>
      <c r="J109" s="4"/>
      <c r="K109" s="4">
        <f t="shared" si="7"/>
      </c>
    </row>
    <row r="110" spans="1:11">
      <c r="A110" s="2"/>
      <c r="F110">
        <f>VLOOKUP(TablaPegaso[[#This Row],[Equipo]],Catalogos!$I$4:$J$34,2,FALSE)</f>
      </c>
      <c r="G110" s="3"/>
      <c r="H110" s="3"/>
      <c r="I110" s="3">
        <f t="shared" si="6"/>
      </c>
      <c r="J110" s="4"/>
      <c r="K110" s="4">
        <f t="shared" si="7"/>
      </c>
    </row>
    <row r="111" spans="1:11">
      <c r="A111" s="2"/>
      <c r="F111">
        <f>VLOOKUP(TablaPegaso[[#This Row],[Equipo]],Catalogos!$I$4:$J$34,2,FALSE)</f>
      </c>
      <c r="G111" s="3"/>
      <c r="H111" s="3"/>
      <c r="I111" s="3">
        <f t="shared" si="6"/>
      </c>
      <c r="J111" s="4"/>
      <c r="K111" s="4">
        <f t="shared" si="7"/>
      </c>
    </row>
    <row r="112" spans="1:11">
      <c r="A112" s="2"/>
      <c r="F112">
        <f>VLOOKUP(TablaPegaso[[#This Row],[Equipo]],Catalogos!$I$4:$J$34,2,FALSE)</f>
      </c>
      <c r="G112" s="3"/>
      <c r="H112" s="3"/>
      <c r="I112" s="3">
        <f t="shared" si="6"/>
      </c>
      <c r="J112" s="4"/>
      <c r="K112" s="4">
        <f t="shared" si="7"/>
      </c>
    </row>
    <row r="113" spans="1:11">
      <c r="A113" s="2"/>
      <c r="F113">
        <f>VLOOKUP(TablaPegaso[[#This Row],[Equipo]],Catalogos!$I$4:$J$34,2,FALSE)</f>
      </c>
      <c r="G113" s="3"/>
      <c r="H113" s="3"/>
      <c r="I113" s="3">
        <f t="shared" si="6"/>
      </c>
      <c r="J113" s="4"/>
      <c r="K113" s="4">
        <f t="shared" si="7"/>
      </c>
    </row>
    <row r="114" spans="1:11">
      <c r="A114" s="2"/>
      <c r="F114">
        <f>VLOOKUP(TablaPegaso[[#This Row],[Equipo]],Catalogos!$I$4:$J$34,2,FALSE)</f>
      </c>
      <c r="G114" s="3"/>
      <c r="H114" s="3"/>
      <c r="I114" s="3">
        <f t="shared" si="6"/>
      </c>
      <c r="J114" s="4"/>
      <c r="K114" s="4">
        <f t="shared" si="7"/>
      </c>
    </row>
    <row r="115" spans="1:11">
      <c r="A115" s="2"/>
      <c r="F115">
        <f>VLOOKUP(TablaPegaso[[#This Row],[Equipo]],Catalogos!$I$4:$J$34,2,FALSE)</f>
      </c>
      <c r="G115" s="3"/>
      <c r="H115" s="3"/>
      <c r="I115" s="3">
        <f t="shared" si="6"/>
      </c>
      <c r="J115" s="4"/>
      <c r="K115" s="4">
        <f t="shared" si="7"/>
      </c>
    </row>
    <row r="116" spans="1:11">
      <c r="A116" s="2"/>
      <c r="F116">
        <f>VLOOKUP(TablaPegaso[[#This Row],[Equipo]],Catalogos!$I$4:$J$34,2,FALSE)</f>
      </c>
      <c r="G116" s="3"/>
      <c r="H116" s="3"/>
      <c r="I116" s="3">
        <f t="shared" si="6"/>
      </c>
      <c r="J116" s="4"/>
      <c r="K116" s="4">
        <f t="shared" si="7"/>
      </c>
    </row>
    <row r="117" spans="1:11">
      <c r="A117" s="2"/>
      <c r="F117">
        <f>VLOOKUP(TablaPegaso[[#This Row],[Equipo]],Catalogos!$I$4:$J$34,2,FALSE)</f>
      </c>
      <c r="G117" s="3"/>
      <c r="H117" s="3"/>
      <c r="I117" s="3">
        <f t="shared" si="6"/>
      </c>
      <c r="J117" s="4"/>
      <c r="K117" s="4">
        <f t="shared" si="7"/>
      </c>
    </row>
    <row r="118" spans="1:11">
      <c r="A118" s="2"/>
      <c r="F118">
        <f>VLOOKUP(TablaPegaso[[#This Row],[Equipo]],Catalogos!$I$4:$J$34,2,FALSE)</f>
      </c>
      <c r="G118" s="3"/>
      <c r="H118" s="3"/>
      <c r="I118" s="3">
        <f t="shared" si="6"/>
      </c>
      <c r="J118" s="4"/>
      <c r="K118" s="4">
        <f t="shared" si="7"/>
      </c>
    </row>
    <row r="119" spans="1:11">
      <c r="A119" s="2"/>
      <c r="F119">
        <f>VLOOKUP(TablaPegaso[[#This Row],[Equipo]],Catalogos!$I$4:$J$34,2,FALSE)</f>
      </c>
      <c r="G119" s="3"/>
      <c r="H119" s="3"/>
      <c r="I119" s="3">
        <f t="shared" si="6"/>
      </c>
      <c r="J119" s="4"/>
      <c r="K119" s="4">
        <f t="shared" si="7"/>
      </c>
    </row>
    <row r="120" spans="1:11">
      <c r="A120" s="2"/>
      <c r="F120">
        <f>VLOOKUP(TablaPegaso[[#This Row],[Equipo]],Catalogos!$I$4:$J$34,2,FALSE)</f>
      </c>
      <c r="G120" s="3"/>
      <c r="H120" s="3"/>
      <c r="I120" s="3">
        <f t="shared" si="6"/>
      </c>
      <c r="J120" s="4"/>
      <c r="K120" s="4">
        <f t="shared" si="7"/>
      </c>
    </row>
    <row r="121" spans="1:11">
      <c r="A121" s="2"/>
      <c r="F121">
        <f>VLOOKUP(TablaPegaso[[#This Row],[Equipo]],Catalogos!$I$4:$J$34,2,FALSE)</f>
      </c>
      <c r="G121" s="3"/>
      <c r="H121" s="3"/>
      <c r="I121" s="3">
        <f t="shared" si="6"/>
      </c>
      <c r="J121" s="4"/>
      <c r="K121" s="4">
        <f t="shared" si="7"/>
      </c>
    </row>
    <row r="122" spans="1:11">
      <c r="A122" s="2"/>
      <c r="F122">
        <f>VLOOKUP(TablaPegaso[[#This Row],[Equipo]],Catalogos!$I$4:$J$34,2,FALSE)</f>
      </c>
      <c r="G122" s="3"/>
      <c r="H122" s="3"/>
      <c r="I122" s="3">
        <f t="shared" si="6"/>
      </c>
      <c r="J122" s="4"/>
      <c r="K122" s="4">
        <f t="shared" si="7"/>
      </c>
    </row>
    <row r="123" spans="1:11">
      <c r="A123" s="2"/>
      <c r="F123">
        <f>VLOOKUP(TablaPegaso[[#This Row],[Equipo]],Catalogos!$I$4:$J$34,2,FALSE)</f>
      </c>
      <c r="G123" s="3"/>
      <c r="H123" s="3"/>
      <c r="I123" s="3">
        <f t="shared" si="6"/>
      </c>
      <c r="J123" s="4"/>
      <c r="K123" s="4">
        <f t="shared" si="7"/>
      </c>
    </row>
    <row r="124" spans="1:11">
      <c r="A124" s="2"/>
      <c r="F124">
        <f>VLOOKUP(TablaPegaso[[#This Row],[Equipo]],Catalogos!$I$4:$J$34,2,FALSE)</f>
      </c>
      <c r="G124" s="3"/>
      <c r="H124" s="3"/>
      <c r="I124" s="3">
        <f t="shared" si="6"/>
      </c>
      <c r="J124" s="4"/>
      <c r="K124" s="4">
        <f t="shared" si="7"/>
      </c>
    </row>
    <row r="125" spans="1:11">
      <c r="A125" s="2"/>
      <c r="F125">
        <f>VLOOKUP(TablaPegaso[[#This Row],[Equipo]],Catalogos!$I$4:$J$34,2,FALSE)</f>
      </c>
      <c r="G125" s="3"/>
      <c r="H125" s="3"/>
      <c r="I125" s="3">
        <f t="shared" si="6"/>
      </c>
      <c r="J125" s="4"/>
      <c r="K125" s="4">
        <f t="shared" si="7"/>
      </c>
    </row>
    <row r="126" spans="1:11">
      <c r="A126" s="2"/>
      <c r="F126">
        <f>VLOOKUP(TablaPegaso[[#This Row],[Equipo]],Catalogos!$I$4:$J$34,2,FALSE)</f>
      </c>
      <c r="G126" s="3"/>
      <c r="H126" s="3"/>
      <c r="I126" s="3">
        <f t="shared" si="6"/>
      </c>
      <c r="J126" s="4"/>
      <c r="K126" s="4">
        <f t="shared" si="7"/>
      </c>
    </row>
    <row r="127" spans="1:11">
      <c r="A127" s="2"/>
      <c r="F127">
        <f>VLOOKUP(TablaPegaso[[#This Row],[Equipo]],Catalogos!$I$4:$J$34,2,FALSE)</f>
      </c>
      <c r="G127" s="3"/>
      <c r="H127" s="3"/>
      <c r="I127" s="3">
        <f t="shared" si="6"/>
      </c>
      <c r="J127" s="4"/>
      <c r="K127" s="4">
        <f t="shared" si="7"/>
      </c>
    </row>
    <row r="128" spans="1:11">
      <c r="A128" s="2"/>
      <c r="F128">
        <f>VLOOKUP(TablaPegaso[[#This Row],[Equipo]],Catalogos!$I$4:$J$34,2,FALSE)</f>
      </c>
      <c r="G128" s="3"/>
      <c r="H128" s="3"/>
      <c r="I128" s="3">
        <f t="shared" si="6"/>
      </c>
      <c r="J128" s="4"/>
      <c r="K128" s="4">
        <f t="shared" si="7"/>
      </c>
    </row>
    <row r="129" spans="1:11">
      <c r="A129" s="2"/>
      <c r="F129">
        <f>VLOOKUP(TablaPegaso[[#This Row],[Equipo]],Catalogos!$I$4:$J$34,2,FALSE)</f>
      </c>
      <c r="G129" s="3"/>
      <c r="H129" s="3"/>
      <c r="I129" s="3">
        <f t="shared" si="6"/>
      </c>
      <c r="J129" s="4"/>
      <c r="K129" s="4">
        <f t="shared" si="7"/>
      </c>
    </row>
    <row r="130" spans="1:11">
      <c r="A130" s="2"/>
      <c r="F130">
        <f>VLOOKUP(TablaPegaso[[#This Row],[Equipo]],Catalogos!$I$4:$J$34,2,FALSE)</f>
      </c>
      <c r="G130" s="3"/>
      <c r="H130" s="3"/>
      <c r="I130" s="3">
        <f t="shared" si="6"/>
      </c>
      <c r="J130" s="4"/>
      <c r="K130" s="4">
        <f t="shared" si="7"/>
      </c>
    </row>
    <row r="131" spans="1:11">
      <c r="A131" s="2"/>
      <c r="F131">
        <f>VLOOKUP(TablaPegaso[[#This Row],[Equipo]],Catalogos!$I$4:$J$34,2,FALSE)</f>
      </c>
      <c r="G131" s="3"/>
      <c r="H131" s="3"/>
      <c r="I131" s="3">
        <f t="shared" si="6"/>
      </c>
      <c r="J131" s="4"/>
      <c r="K131" s="4">
        <f t="shared" si="7"/>
      </c>
    </row>
    <row r="132" spans="1:11">
      <c r="A132" s="2"/>
      <c r="F132">
        <f>VLOOKUP(TablaPegaso[[#This Row],[Equipo]],Catalogos!$I$4:$J$34,2,FALSE)</f>
      </c>
      <c r="G132" s="3"/>
      <c r="H132" s="3"/>
      <c r="I132" s="3">
        <f t="shared" si="6"/>
      </c>
      <c r="J132" s="4"/>
      <c r="K132" s="4">
        <f t="shared" si="7"/>
      </c>
    </row>
    <row r="133" spans="1:11">
      <c r="A133" s="2"/>
      <c r="F133">
        <f>VLOOKUP(TablaPegaso[[#This Row],[Equipo]],Catalogos!$I$4:$J$34,2,FALSE)</f>
      </c>
      <c r="G133" s="3"/>
      <c r="H133" s="3"/>
      <c r="I133" s="3">
        <f t="shared" si="6"/>
      </c>
      <c r="J133" s="4"/>
      <c r="K133" s="4">
        <f t="shared" si="7"/>
      </c>
    </row>
    <row r="134" spans="1:11">
      <c r="A134" s="2"/>
      <c r="F134">
        <f>VLOOKUP(TablaPegaso[[#This Row],[Equipo]],Catalogos!$I$4:$J$34,2,FALSE)</f>
      </c>
      <c r="G134" s="3"/>
      <c r="H134" s="3"/>
      <c r="I134" s="3">
        <f t="shared" si="6"/>
      </c>
      <c r="J134" s="4"/>
      <c r="K134" s="4">
        <f t="shared" si="7"/>
      </c>
    </row>
    <row r="135" spans="1:11">
      <c r="A135" s="2"/>
      <c r="F135">
        <f>VLOOKUP(TablaPegaso[[#This Row],[Equipo]],Catalogos!$I$4:$J$34,2,FALSE)</f>
      </c>
      <c r="G135" s="3"/>
      <c r="H135" s="3"/>
      <c r="I135" s="3">
        <f t="shared" ref="I135:I166" si="8">IF(ROW()=5,G135-H135,I134+G135-H135)</f>
      </c>
      <c r="J135" s="4"/>
      <c r="K135" s="4">
        <f t="shared" ref="K135:K166" si="9">IFERROR((G135+H135)*J135,0)</f>
      </c>
    </row>
    <row r="136" spans="1:11">
      <c r="A136" s="2"/>
      <c r="F136">
        <f>VLOOKUP(TablaPegaso[[#This Row],[Equipo]],Catalogos!$I$4:$J$34,2,FALSE)</f>
      </c>
      <c r="G136" s="3"/>
      <c r="H136" s="3"/>
      <c r="I136" s="3">
        <f t="shared" si="8"/>
      </c>
      <c r="J136" s="4"/>
      <c r="K136" s="4">
        <f t="shared" si="9"/>
      </c>
    </row>
    <row r="137" spans="1:11">
      <c r="A137" s="2"/>
      <c r="F137">
        <f>VLOOKUP(TablaPegaso[[#This Row],[Equipo]],Catalogos!$I$4:$J$34,2,FALSE)</f>
      </c>
      <c r="G137" s="3"/>
      <c r="H137" s="3"/>
      <c r="I137" s="3">
        <f t="shared" si="8"/>
      </c>
      <c r="J137" s="4"/>
      <c r="K137" s="4">
        <f t="shared" si="9"/>
      </c>
    </row>
    <row r="138" spans="1:11">
      <c r="A138" s="2"/>
      <c r="F138">
        <f>VLOOKUP(TablaPegaso[[#This Row],[Equipo]],Catalogos!$I$4:$J$34,2,FALSE)</f>
      </c>
      <c r="G138" s="3"/>
      <c r="H138" s="3"/>
      <c r="I138" s="3">
        <f t="shared" si="8"/>
      </c>
      <c r="J138" s="4"/>
      <c r="K138" s="4">
        <f t="shared" si="9"/>
      </c>
    </row>
    <row r="139" spans="1:11">
      <c r="A139" s="2"/>
      <c r="F139">
        <f>VLOOKUP(TablaPegaso[[#This Row],[Equipo]],Catalogos!$I$4:$J$34,2,FALSE)</f>
      </c>
      <c r="G139" s="3"/>
      <c r="H139" s="3"/>
      <c r="I139" s="3">
        <f t="shared" si="8"/>
      </c>
      <c r="J139" s="4"/>
      <c r="K139" s="4">
        <f t="shared" si="9"/>
      </c>
    </row>
    <row r="140" spans="1:11">
      <c r="A140" s="2"/>
      <c r="F140">
        <f>VLOOKUP(TablaPegaso[[#This Row],[Equipo]],Catalogos!$I$4:$J$34,2,FALSE)</f>
      </c>
      <c r="G140" s="3"/>
      <c r="H140" s="3"/>
      <c r="I140" s="3">
        <f t="shared" si="8"/>
      </c>
      <c r="J140" s="4"/>
      <c r="K140" s="4">
        <f t="shared" si="9"/>
      </c>
    </row>
    <row r="141" spans="1:11">
      <c r="A141" s="2"/>
      <c r="F141">
        <f>VLOOKUP(TablaPegaso[[#This Row],[Equipo]],Catalogos!$I$4:$J$34,2,FALSE)</f>
      </c>
      <c r="G141" s="3"/>
      <c r="H141" s="3"/>
      <c r="I141" s="3">
        <f t="shared" si="8"/>
      </c>
      <c r="J141" s="4"/>
      <c r="K141" s="4">
        <f t="shared" si="9"/>
      </c>
    </row>
    <row r="142" spans="1:11">
      <c r="A142" s="2"/>
      <c r="F142">
        <f>VLOOKUP(TablaPegaso[[#This Row],[Equipo]],Catalogos!$I$4:$J$34,2,FALSE)</f>
      </c>
      <c r="G142" s="3"/>
      <c r="H142" s="3"/>
      <c r="I142" s="3">
        <f t="shared" si="8"/>
      </c>
      <c r="J142" s="4"/>
      <c r="K142" s="4">
        <f t="shared" si="9"/>
      </c>
    </row>
    <row r="143" spans="1:11">
      <c r="A143" s="2"/>
      <c r="F143">
        <f>VLOOKUP(TablaPegaso[[#This Row],[Equipo]],Catalogos!$I$4:$J$34,2,FALSE)</f>
      </c>
      <c r="G143" s="3"/>
      <c r="H143" s="3"/>
      <c r="I143" s="3">
        <f t="shared" si="8"/>
      </c>
      <c r="J143" s="4"/>
      <c r="K143" s="4">
        <f t="shared" si="9"/>
      </c>
    </row>
    <row r="144" spans="1:11">
      <c r="A144" s="2"/>
      <c r="F144">
        <f>VLOOKUP(TablaPegaso[[#This Row],[Equipo]],Catalogos!$I$4:$J$34,2,FALSE)</f>
      </c>
      <c r="G144" s="3"/>
      <c r="H144" s="3"/>
      <c r="I144" s="3">
        <f t="shared" si="8"/>
      </c>
      <c r="J144" s="4"/>
      <c r="K144" s="4">
        <f t="shared" si="9"/>
      </c>
    </row>
    <row r="145" spans="1:11">
      <c r="A145" s="2"/>
      <c r="F145">
        <f>VLOOKUP(TablaPegaso[[#This Row],[Equipo]],Catalogos!$I$4:$J$34,2,FALSE)</f>
      </c>
      <c r="G145" s="3"/>
      <c r="H145" s="3"/>
      <c r="I145" s="3">
        <f t="shared" si="8"/>
      </c>
      <c r="J145" s="4"/>
      <c r="K145" s="4">
        <f t="shared" si="9"/>
      </c>
    </row>
    <row r="146" spans="1:11">
      <c r="A146" s="2"/>
      <c r="F146">
        <f>VLOOKUP(TablaPegaso[[#This Row],[Equipo]],Catalogos!$I$4:$J$34,2,FALSE)</f>
      </c>
      <c r="G146" s="3"/>
      <c r="H146" s="3"/>
      <c r="I146" s="3">
        <f t="shared" si="8"/>
      </c>
      <c r="J146" s="4"/>
      <c r="K146" s="4">
        <f t="shared" si="9"/>
      </c>
    </row>
    <row r="147" spans="1:11">
      <c r="A147" s="2"/>
      <c r="F147">
        <f>VLOOKUP(TablaPegaso[[#This Row],[Equipo]],Catalogos!$I$4:$J$34,2,FALSE)</f>
      </c>
      <c r="G147" s="3"/>
      <c r="H147" s="3"/>
      <c r="I147" s="3">
        <f t="shared" si="8"/>
      </c>
      <c r="J147" s="4"/>
      <c r="K147" s="4">
        <f t="shared" si="9"/>
      </c>
    </row>
    <row r="148" spans="1:11">
      <c r="A148" s="2"/>
      <c r="F148">
        <f>VLOOKUP(TablaPegaso[[#This Row],[Equipo]],Catalogos!$I$4:$J$34,2,FALSE)</f>
      </c>
      <c r="G148" s="3"/>
      <c r="H148" s="3"/>
      <c r="I148" s="3">
        <f t="shared" si="8"/>
      </c>
      <c r="J148" s="4"/>
      <c r="K148" s="4">
        <f t="shared" si="9"/>
      </c>
    </row>
    <row r="149" spans="1:11">
      <c r="A149" s="2"/>
      <c r="F149">
        <f>VLOOKUP(TablaPegaso[[#This Row],[Equipo]],Catalogos!$I$4:$J$34,2,FALSE)</f>
      </c>
      <c r="G149" s="3"/>
      <c r="H149" s="3"/>
      <c r="I149" s="3">
        <f t="shared" si="8"/>
      </c>
      <c r="J149" s="4"/>
      <c r="K149" s="4">
        <f t="shared" si="9"/>
      </c>
    </row>
    <row r="150" spans="1:11">
      <c r="A150" s="2"/>
      <c r="F150">
        <f>VLOOKUP(TablaPegaso[[#This Row],[Equipo]],Catalogos!$I$4:$J$34,2,FALSE)</f>
      </c>
      <c r="G150" s="3"/>
      <c r="H150" s="3"/>
      <c r="I150" s="3">
        <f t="shared" si="8"/>
      </c>
      <c r="J150" s="4"/>
      <c r="K150" s="4">
        <f t="shared" si="9"/>
      </c>
    </row>
    <row r="151" spans="1:11">
      <c r="A151" s="2"/>
      <c r="F151">
        <f>VLOOKUP(TablaPegaso[[#This Row],[Equipo]],Catalogos!$I$4:$J$34,2,FALSE)</f>
      </c>
      <c r="G151" s="3"/>
      <c r="H151" s="3"/>
      <c r="I151" s="3">
        <f t="shared" si="8"/>
      </c>
      <c r="J151" s="4"/>
      <c r="K151" s="4">
        <f t="shared" si="9"/>
      </c>
    </row>
    <row r="152" spans="1:11">
      <c r="A152" s="2"/>
      <c r="F152">
        <f>VLOOKUP(TablaPegaso[[#This Row],[Equipo]],Catalogos!$I$4:$J$34,2,FALSE)</f>
      </c>
      <c r="G152" s="3"/>
      <c r="H152" s="3"/>
      <c r="I152" s="3">
        <f t="shared" si="8"/>
      </c>
      <c r="J152" s="4"/>
      <c r="K152" s="4">
        <f t="shared" si="9"/>
      </c>
    </row>
    <row r="153" spans="1:11">
      <c r="A153" s="2"/>
      <c r="F153">
        <f>VLOOKUP(TablaPegaso[[#This Row],[Equipo]],Catalogos!$I$4:$J$34,2,FALSE)</f>
      </c>
      <c r="G153" s="3"/>
      <c r="H153" s="3"/>
      <c r="I153" s="3">
        <f t="shared" si="8"/>
      </c>
      <c r="J153" s="4"/>
      <c r="K153" s="4">
        <f t="shared" si="9"/>
      </c>
    </row>
    <row r="154" spans="1:11">
      <c r="A154" s="2"/>
      <c r="F154">
        <f>VLOOKUP(TablaPegaso[[#This Row],[Equipo]],Catalogos!$I$4:$J$34,2,FALSE)</f>
      </c>
      <c r="G154" s="3"/>
      <c r="H154" s="3"/>
      <c r="I154" s="3">
        <f t="shared" si="8"/>
      </c>
      <c r="J154" s="4"/>
      <c r="K154" s="4">
        <f t="shared" si="9"/>
      </c>
    </row>
    <row r="155" spans="1:11">
      <c r="A155" s="2"/>
      <c r="F155">
        <f>VLOOKUP(TablaPegaso[[#This Row],[Equipo]],Catalogos!$I$4:$J$34,2,FALSE)</f>
      </c>
      <c r="G155" s="3"/>
      <c r="H155" s="3"/>
      <c r="I155" s="3">
        <f t="shared" si="8"/>
      </c>
      <c r="J155" s="4"/>
      <c r="K155" s="4">
        <f t="shared" si="9"/>
      </c>
    </row>
    <row r="156" spans="1:11">
      <c r="A156" s="2"/>
      <c r="F156">
        <f>VLOOKUP(TablaPegaso[[#This Row],[Equipo]],Catalogos!$I$4:$J$34,2,FALSE)</f>
      </c>
      <c r="G156" s="3"/>
      <c r="H156" s="3"/>
      <c r="I156" s="3">
        <f t="shared" si="8"/>
      </c>
      <c r="J156" s="4"/>
      <c r="K156" s="4">
        <f t="shared" si="9"/>
      </c>
    </row>
    <row r="157" spans="1:11">
      <c r="A157" s="2"/>
      <c r="F157">
        <f>VLOOKUP(TablaPegaso[[#This Row],[Equipo]],Catalogos!$I$4:$J$34,2,FALSE)</f>
      </c>
      <c r="G157" s="3"/>
      <c r="H157" s="3"/>
      <c r="I157" s="3">
        <f t="shared" si="8"/>
      </c>
      <c r="J157" s="4"/>
      <c r="K157" s="4">
        <f t="shared" si="9"/>
      </c>
    </row>
    <row r="158" spans="1:11">
      <c r="A158" s="2"/>
      <c r="F158">
        <f>VLOOKUP(TablaPegaso[[#This Row],[Equipo]],Catalogos!$I$4:$J$34,2,FALSE)</f>
      </c>
      <c r="G158" s="3"/>
      <c r="H158" s="3"/>
      <c r="I158" s="3">
        <f t="shared" si="8"/>
      </c>
      <c r="J158" s="4"/>
      <c r="K158" s="4">
        <f t="shared" si="9"/>
      </c>
    </row>
    <row r="159" spans="1:11">
      <c r="A159" s="2"/>
      <c r="F159">
        <f>VLOOKUP(TablaPegaso[[#This Row],[Equipo]],Catalogos!$I$4:$J$34,2,FALSE)</f>
      </c>
      <c r="G159" s="3"/>
      <c r="H159" s="3"/>
      <c r="I159" s="3">
        <f t="shared" si="8"/>
      </c>
      <c r="J159" s="4"/>
      <c r="K159" s="4">
        <f t="shared" si="9"/>
      </c>
    </row>
    <row r="160" spans="1:11">
      <c r="A160" s="2"/>
      <c r="F160">
        <f>VLOOKUP(TablaPegaso[[#This Row],[Equipo]],Catalogos!$I$4:$J$34,2,FALSE)</f>
      </c>
      <c r="G160" s="3"/>
      <c r="H160" s="3"/>
      <c r="I160" s="3">
        <f t="shared" si="8"/>
      </c>
      <c r="J160" s="4"/>
      <c r="K160" s="4">
        <f t="shared" si="9"/>
      </c>
    </row>
    <row r="161" spans="1:11">
      <c r="A161" s="2"/>
      <c r="F161">
        <f>VLOOKUP(TablaPegaso[[#This Row],[Equipo]],Catalogos!$I$4:$J$34,2,FALSE)</f>
      </c>
      <c r="G161" s="3"/>
      <c r="H161" s="3"/>
      <c r="I161" s="3">
        <f t="shared" si="8"/>
      </c>
      <c r="J161" s="4"/>
      <c r="K161" s="4">
        <f t="shared" si="9"/>
      </c>
    </row>
    <row r="162" spans="1:11">
      <c r="A162" s="2"/>
      <c r="F162">
        <f>VLOOKUP(TablaPegaso[[#This Row],[Equipo]],Catalogos!$I$4:$J$34,2,FALSE)</f>
      </c>
      <c r="G162" s="3"/>
      <c r="H162" s="3"/>
      <c r="I162" s="3">
        <f t="shared" si="8"/>
      </c>
      <c r="J162" s="4"/>
      <c r="K162" s="4">
        <f t="shared" si="9"/>
      </c>
    </row>
    <row r="163" spans="1:11">
      <c r="A163" s="2"/>
      <c r="F163">
        <f>VLOOKUP(TablaPegaso[[#This Row],[Equipo]],Catalogos!$I$4:$J$34,2,FALSE)</f>
      </c>
      <c r="G163" s="3"/>
      <c r="H163" s="3"/>
      <c r="I163" s="3">
        <f t="shared" si="8"/>
      </c>
      <c r="J163" s="4"/>
      <c r="K163" s="4">
        <f t="shared" si="9"/>
      </c>
    </row>
    <row r="164" spans="1:11">
      <c r="A164" s="2"/>
      <c r="F164">
        <f>VLOOKUP(TablaPegaso[[#This Row],[Equipo]],Catalogos!$I$4:$J$34,2,FALSE)</f>
      </c>
      <c r="G164" s="3"/>
      <c r="H164" s="3"/>
      <c r="I164" s="3">
        <f t="shared" si="8"/>
      </c>
      <c r="J164" s="4"/>
      <c r="K164" s="4">
        <f t="shared" si="9"/>
      </c>
    </row>
    <row r="165" spans="1:11">
      <c r="A165" s="2"/>
      <c r="F165">
        <f>VLOOKUP(TablaPegaso[[#This Row],[Equipo]],Catalogos!$I$4:$J$34,2,FALSE)</f>
      </c>
      <c r="G165" s="3"/>
      <c r="H165" s="3"/>
      <c r="I165" s="3">
        <f t="shared" si="8"/>
      </c>
      <c r="J165" s="4"/>
      <c r="K165" s="4">
        <f t="shared" si="9"/>
      </c>
    </row>
    <row r="166" spans="1:11">
      <c r="A166" s="2"/>
      <c r="F166">
        <f>VLOOKUP(TablaPegaso[[#This Row],[Equipo]],Catalogos!$I$4:$J$34,2,FALSE)</f>
      </c>
      <c r="G166" s="3"/>
      <c r="H166" s="3"/>
      <c r="I166" s="3">
        <f t="shared" si="8"/>
      </c>
      <c r="J166" s="4"/>
      <c r="K166" s="4">
        <f t="shared" si="9"/>
      </c>
    </row>
    <row r="167" spans="1:11">
      <c r="A167" s="2"/>
      <c r="F167">
        <f>VLOOKUP(TablaPegaso[[#This Row],[Equipo]],Catalogos!$I$4:$J$34,2,FALSE)</f>
      </c>
      <c r="G167" s="3"/>
      <c r="H167" s="3"/>
      <c r="I167" s="3">
        <f t="shared" ref="I167:I198" si="10">IF(ROW()=5,G167-H167,I166+G167-H167)</f>
      </c>
      <c r="J167" s="4"/>
      <c r="K167" s="4">
        <f t="shared" ref="K167:K198" si="11">IFERROR((G167+H167)*J167,0)</f>
      </c>
    </row>
    <row r="168" spans="1:11">
      <c r="A168" s="2"/>
      <c r="F168">
        <f>VLOOKUP(TablaPegaso[[#This Row],[Equipo]],Catalogos!$I$4:$J$34,2,FALSE)</f>
      </c>
      <c r="G168" s="3"/>
      <c r="H168" s="3"/>
      <c r="I168" s="3">
        <f t="shared" si="10"/>
      </c>
      <c r="J168" s="4"/>
      <c r="K168" s="4">
        <f t="shared" si="11"/>
      </c>
    </row>
    <row r="169" spans="1:11">
      <c r="A169" s="2"/>
      <c r="F169">
        <f>VLOOKUP(TablaPegaso[[#This Row],[Equipo]],Catalogos!$I$4:$J$34,2,FALSE)</f>
      </c>
      <c r="G169" s="3"/>
      <c r="H169" s="3"/>
      <c r="I169" s="3">
        <f t="shared" si="10"/>
      </c>
      <c r="J169" s="4"/>
      <c r="K169" s="4">
        <f t="shared" si="11"/>
      </c>
    </row>
    <row r="170" spans="1:11">
      <c r="A170" s="2"/>
      <c r="F170">
        <f>VLOOKUP(TablaPegaso[[#This Row],[Equipo]],Catalogos!$I$4:$J$34,2,FALSE)</f>
      </c>
      <c r="G170" s="3"/>
      <c r="H170" s="3"/>
      <c r="I170" s="3">
        <f t="shared" si="10"/>
      </c>
      <c r="J170" s="4"/>
      <c r="K170" s="4">
        <f t="shared" si="11"/>
      </c>
    </row>
    <row r="171" spans="1:11">
      <c r="A171" s="2"/>
      <c r="F171">
        <f>VLOOKUP(TablaPegaso[[#This Row],[Equipo]],Catalogos!$I$4:$J$34,2,FALSE)</f>
      </c>
      <c r="G171" s="3"/>
      <c r="H171" s="3"/>
      <c r="I171" s="3">
        <f t="shared" si="10"/>
      </c>
      <c r="J171" s="4"/>
      <c r="K171" s="4">
        <f t="shared" si="11"/>
      </c>
    </row>
    <row r="172" spans="1:11">
      <c r="A172" s="2"/>
      <c r="F172">
        <f>VLOOKUP(TablaPegaso[[#This Row],[Equipo]],Catalogos!$I$4:$J$34,2,FALSE)</f>
      </c>
      <c r="G172" s="3"/>
      <c r="H172" s="3"/>
      <c r="I172" s="3">
        <f t="shared" si="10"/>
      </c>
      <c r="J172" s="4"/>
      <c r="K172" s="4">
        <f t="shared" si="11"/>
      </c>
    </row>
    <row r="173" spans="1:11">
      <c r="A173" s="2"/>
      <c r="F173">
        <f>VLOOKUP(TablaPegaso[[#This Row],[Equipo]],Catalogos!$I$4:$J$34,2,FALSE)</f>
      </c>
      <c r="G173" s="3"/>
      <c r="H173" s="3"/>
      <c r="I173" s="3">
        <f t="shared" si="10"/>
      </c>
      <c r="J173" s="4"/>
      <c r="K173" s="4">
        <f t="shared" si="11"/>
      </c>
    </row>
    <row r="174" spans="1:11">
      <c r="A174" s="2"/>
      <c r="F174">
        <f>VLOOKUP(TablaPegaso[[#This Row],[Equipo]],Catalogos!$I$4:$J$34,2,FALSE)</f>
      </c>
      <c r="G174" s="3"/>
      <c r="H174" s="3"/>
      <c r="I174" s="3">
        <f t="shared" si="10"/>
      </c>
      <c r="J174" s="4"/>
      <c r="K174" s="4">
        <f t="shared" si="11"/>
      </c>
    </row>
    <row r="175" spans="1:11">
      <c r="A175" s="2"/>
      <c r="F175">
        <f>VLOOKUP(TablaPegaso[[#This Row],[Equipo]],Catalogos!$I$4:$J$34,2,FALSE)</f>
      </c>
      <c r="G175" s="3"/>
      <c r="H175" s="3"/>
      <c r="I175" s="3">
        <f t="shared" si="10"/>
      </c>
      <c r="J175" s="4"/>
      <c r="K175" s="4">
        <f t="shared" si="11"/>
      </c>
    </row>
    <row r="176" spans="1:11">
      <c r="A176" s="2"/>
      <c r="F176">
        <f>VLOOKUP(TablaPegaso[[#This Row],[Equipo]],Catalogos!$I$4:$J$34,2,FALSE)</f>
      </c>
      <c r="G176" s="3"/>
      <c r="H176" s="3"/>
      <c r="I176" s="3">
        <f t="shared" si="10"/>
      </c>
      <c r="J176" s="4"/>
      <c r="K176" s="4">
        <f t="shared" si="11"/>
      </c>
    </row>
    <row r="177" spans="1:11">
      <c r="A177" s="2"/>
      <c r="F177">
        <f>VLOOKUP(TablaPegaso[[#This Row],[Equipo]],Catalogos!$I$4:$J$34,2,FALSE)</f>
      </c>
      <c r="G177" s="3"/>
      <c r="H177" s="3"/>
      <c r="I177" s="3">
        <f t="shared" si="10"/>
      </c>
      <c r="J177" s="4"/>
      <c r="K177" s="4">
        <f t="shared" si="11"/>
      </c>
    </row>
    <row r="178" spans="1:11">
      <c r="A178" s="2"/>
      <c r="F178">
        <f>VLOOKUP(TablaPegaso[[#This Row],[Equipo]],Catalogos!$I$4:$J$34,2,FALSE)</f>
      </c>
      <c r="G178" s="3"/>
      <c r="H178" s="3"/>
      <c r="I178" s="3">
        <f t="shared" si="10"/>
      </c>
      <c r="J178" s="4"/>
      <c r="K178" s="4">
        <f t="shared" si="11"/>
      </c>
    </row>
    <row r="179" spans="1:11">
      <c r="A179" s="2"/>
      <c r="F179">
        <f>VLOOKUP(TablaPegaso[[#This Row],[Equipo]],Catalogos!$I$4:$J$34,2,FALSE)</f>
      </c>
      <c r="G179" s="3"/>
      <c r="H179" s="3"/>
      <c r="I179" s="3">
        <f t="shared" si="10"/>
      </c>
      <c r="J179" s="4"/>
      <c r="K179" s="4">
        <f t="shared" si="11"/>
      </c>
    </row>
    <row r="180" spans="1:11">
      <c r="A180" s="2"/>
      <c r="F180">
        <f>VLOOKUP(TablaPegaso[[#This Row],[Equipo]],Catalogos!$I$4:$J$34,2,FALSE)</f>
      </c>
      <c r="G180" s="3"/>
      <c r="H180" s="3"/>
      <c r="I180" s="3">
        <f t="shared" si="10"/>
      </c>
      <c r="J180" s="4"/>
      <c r="K180" s="4">
        <f t="shared" si="11"/>
      </c>
    </row>
    <row r="181" spans="1:11">
      <c r="A181" s="2"/>
      <c r="F181">
        <f>VLOOKUP(TablaPegaso[[#This Row],[Equipo]],Catalogos!$I$4:$J$34,2,FALSE)</f>
      </c>
      <c r="G181" s="3"/>
      <c r="H181" s="3"/>
      <c r="I181" s="3">
        <f t="shared" si="10"/>
      </c>
      <c r="J181" s="4"/>
      <c r="K181" s="4">
        <f t="shared" si="11"/>
      </c>
    </row>
    <row r="182" spans="1:11">
      <c r="A182" s="2"/>
      <c r="F182">
        <f>VLOOKUP(TablaPegaso[[#This Row],[Equipo]],Catalogos!$I$4:$J$34,2,FALSE)</f>
      </c>
      <c r="G182" s="3"/>
      <c r="H182" s="3"/>
      <c r="I182" s="3">
        <f t="shared" si="10"/>
      </c>
      <c r="J182" s="4"/>
      <c r="K182" s="4">
        <f t="shared" si="11"/>
      </c>
    </row>
    <row r="183" spans="1:11">
      <c r="A183" s="2"/>
      <c r="F183">
        <f>VLOOKUP(TablaPegaso[[#This Row],[Equipo]],Catalogos!$I$4:$J$34,2,FALSE)</f>
      </c>
      <c r="G183" s="3"/>
      <c r="H183" s="3"/>
      <c r="I183" s="3">
        <f t="shared" si="10"/>
      </c>
      <c r="J183" s="4"/>
      <c r="K183" s="4">
        <f t="shared" si="11"/>
      </c>
    </row>
    <row r="184" spans="1:11">
      <c r="A184" s="2"/>
      <c r="F184">
        <f>VLOOKUP(TablaPegaso[[#This Row],[Equipo]],Catalogos!$I$4:$J$34,2,FALSE)</f>
      </c>
      <c r="G184" s="3"/>
      <c r="H184" s="3"/>
      <c r="I184" s="3">
        <f t="shared" si="10"/>
      </c>
      <c r="J184" s="4"/>
      <c r="K184" s="4">
        <f t="shared" si="11"/>
      </c>
    </row>
    <row r="185" spans="1:11">
      <c r="A185" s="2"/>
      <c r="F185">
        <f>VLOOKUP(TablaPegaso[[#This Row],[Equipo]],Catalogos!$I$4:$J$34,2,FALSE)</f>
      </c>
      <c r="G185" s="3"/>
      <c r="H185" s="3"/>
      <c r="I185" s="3">
        <f t="shared" si="10"/>
      </c>
      <c r="J185" s="4"/>
      <c r="K185" s="4">
        <f t="shared" si="11"/>
      </c>
    </row>
    <row r="186" spans="1:11">
      <c r="A186" s="2"/>
      <c r="F186">
        <f>VLOOKUP(TablaPegaso[[#This Row],[Equipo]],Catalogos!$I$4:$J$34,2,FALSE)</f>
      </c>
      <c r="G186" s="3"/>
      <c r="H186" s="3"/>
      <c r="I186" s="3">
        <f t="shared" si="10"/>
      </c>
      <c r="J186" s="4"/>
      <c r="K186" s="4">
        <f t="shared" si="11"/>
      </c>
    </row>
    <row r="187" spans="1:11">
      <c r="A187" s="2"/>
      <c r="F187">
        <f>VLOOKUP(TablaPegaso[[#This Row],[Equipo]],Catalogos!$I$4:$J$34,2,FALSE)</f>
      </c>
      <c r="G187" s="3"/>
      <c r="H187" s="3"/>
      <c r="I187" s="3">
        <f t="shared" si="10"/>
      </c>
      <c r="J187" s="4"/>
      <c r="K187" s="4">
        <f t="shared" si="11"/>
      </c>
    </row>
    <row r="188" spans="1:11">
      <c r="A188" s="2"/>
      <c r="F188">
        <f>VLOOKUP(TablaPegaso[[#This Row],[Equipo]],Catalogos!$I$4:$J$34,2,FALSE)</f>
      </c>
      <c r="G188" s="3"/>
      <c r="H188" s="3"/>
      <c r="I188" s="3">
        <f t="shared" si="10"/>
      </c>
      <c r="J188" s="4"/>
      <c r="K188" s="4">
        <f t="shared" si="11"/>
      </c>
    </row>
    <row r="189" spans="1:11">
      <c r="A189" s="2"/>
      <c r="F189">
        <f>VLOOKUP(TablaPegaso[[#This Row],[Equipo]],Catalogos!$I$4:$J$34,2,FALSE)</f>
      </c>
      <c r="G189" s="3"/>
      <c r="H189" s="3"/>
      <c r="I189" s="3">
        <f t="shared" si="10"/>
      </c>
      <c r="J189" s="4"/>
      <c r="K189" s="4">
        <f t="shared" si="11"/>
      </c>
    </row>
    <row r="190" spans="1:11">
      <c r="A190" s="2"/>
      <c r="F190">
        <f>VLOOKUP(TablaPegaso[[#This Row],[Equipo]],Catalogos!$I$4:$J$34,2,FALSE)</f>
      </c>
      <c r="G190" s="3"/>
      <c r="H190" s="3"/>
      <c r="I190" s="3">
        <f t="shared" si="10"/>
      </c>
      <c r="J190" s="4"/>
      <c r="K190" s="4">
        <f t="shared" si="11"/>
      </c>
    </row>
    <row r="191" spans="1:11">
      <c r="A191" s="2"/>
      <c r="F191">
        <f>VLOOKUP(TablaPegaso[[#This Row],[Equipo]],Catalogos!$I$4:$J$34,2,FALSE)</f>
      </c>
      <c r="G191" s="3"/>
      <c r="H191" s="3"/>
      <c r="I191" s="3">
        <f t="shared" si="10"/>
      </c>
      <c r="J191" s="4"/>
      <c r="K191" s="4">
        <f t="shared" si="11"/>
      </c>
    </row>
    <row r="192" spans="1:11">
      <c r="A192" s="2"/>
      <c r="F192">
        <f>VLOOKUP(TablaPegaso[[#This Row],[Equipo]],Catalogos!$I$4:$J$34,2,FALSE)</f>
      </c>
      <c r="G192" s="3"/>
      <c r="H192" s="3"/>
      <c r="I192" s="3">
        <f t="shared" si="10"/>
      </c>
      <c r="J192" s="4"/>
      <c r="K192" s="4">
        <f t="shared" si="11"/>
      </c>
    </row>
    <row r="193" spans="1:11">
      <c r="A193" s="2"/>
      <c r="F193">
        <f>VLOOKUP(TablaPegaso[[#This Row],[Equipo]],Catalogos!$I$4:$J$34,2,FALSE)</f>
      </c>
      <c r="G193" s="3"/>
      <c r="H193" s="3"/>
      <c r="I193" s="3">
        <f t="shared" si="10"/>
      </c>
      <c r="J193" s="4"/>
      <c r="K193" s="4">
        <f t="shared" si="11"/>
      </c>
    </row>
    <row r="194" spans="1:11">
      <c r="A194" s="2"/>
      <c r="F194">
        <f>VLOOKUP(TablaPegaso[[#This Row],[Equipo]],Catalogos!$I$4:$J$34,2,FALSE)</f>
      </c>
      <c r="G194" s="3"/>
      <c r="H194" s="3"/>
      <c r="I194" s="3">
        <f t="shared" si="10"/>
      </c>
      <c r="J194" s="4"/>
      <c r="K194" s="4">
        <f t="shared" si="11"/>
      </c>
    </row>
    <row r="195" spans="1:11">
      <c r="A195" s="2"/>
      <c r="F195">
        <f>VLOOKUP(TablaPegaso[[#This Row],[Equipo]],Catalogos!$I$4:$J$34,2,FALSE)</f>
      </c>
      <c r="G195" s="3"/>
      <c r="H195" s="3"/>
      <c r="I195" s="3">
        <f t="shared" si="10"/>
      </c>
      <c r="J195" s="4"/>
      <c r="K195" s="4">
        <f t="shared" si="11"/>
      </c>
    </row>
    <row r="196" spans="1:11">
      <c r="A196" s="2"/>
      <c r="F196">
        <f>VLOOKUP(TablaPegaso[[#This Row],[Equipo]],Catalogos!$I$4:$J$34,2,FALSE)</f>
      </c>
      <c r="G196" s="3"/>
      <c r="H196" s="3"/>
      <c r="I196" s="3">
        <f t="shared" si="10"/>
      </c>
      <c r="J196" s="4"/>
      <c r="K196" s="4">
        <f t="shared" si="11"/>
      </c>
    </row>
    <row r="197" spans="1:11">
      <c r="A197" s="2"/>
      <c r="F197">
        <f>VLOOKUP(TablaPegaso[[#This Row],[Equipo]],Catalogos!$I$4:$J$34,2,FALSE)</f>
      </c>
      <c r="G197" s="3"/>
      <c r="H197" s="3"/>
      <c r="I197" s="3">
        <f t="shared" si="10"/>
      </c>
      <c r="J197" s="4"/>
      <c r="K197" s="4">
        <f t="shared" si="11"/>
      </c>
    </row>
    <row r="198" spans="1:11">
      <c r="A198" s="2"/>
      <c r="F198">
        <f>VLOOKUP(TablaPegaso[[#This Row],[Equipo]],Catalogos!$I$4:$J$34,2,FALSE)</f>
      </c>
      <c r="G198" s="3"/>
      <c r="H198" s="3"/>
      <c r="I198" s="3">
        <f t="shared" si="10"/>
      </c>
      <c r="J198" s="4"/>
      <c r="K198" s="4">
        <f t="shared" si="11"/>
      </c>
    </row>
    <row r="199" spans="1:11">
      <c r="A199" s="2"/>
      <c r="F199">
        <f>VLOOKUP(TablaPegaso[[#This Row],[Equipo]],Catalogos!$I$4:$J$34,2,FALSE)</f>
      </c>
      <c r="G199" s="3"/>
      <c r="H199" s="3"/>
      <c r="I199" s="3">
        <f t="shared" ref="I199:I206" si="12">IF(ROW()=5,G199-H199,I198+G199-H199)</f>
      </c>
      <c r="J199" s="4"/>
      <c r="K199" s="4">
        <f t="shared" ref="K199:K206" si="13">IFERROR((G199+H199)*J199,0)</f>
      </c>
    </row>
    <row r="200" spans="1:11">
      <c r="A200" s="2"/>
      <c r="F200">
        <f>VLOOKUP(TablaPegaso[[#This Row],[Equipo]],Catalogos!$I$4:$J$34,2,FALSE)</f>
      </c>
      <c r="G200" s="3"/>
      <c r="H200" s="3"/>
      <c r="I200" s="3">
        <f t="shared" si="12"/>
      </c>
      <c r="J200" s="4"/>
      <c r="K200" s="4">
        <f t="shared" si="13"/>
      </c>
    </row>
    <row r="201" spans="1:11">
      <c r="A201" s="2"/>
      <c r="F201">
        <f>VLOOKUP(TablaPegaso[[#This Row],[Equipo]],Catalogos!$I$4:$J$34,2,FALSE)</f>
      </c>
      <c r="G201" s="3"/>
      <c r="H201" s="3"/>
      <c r="I201" s="3">
        <f t="shared" si="12"/>
      </c>
      <c r="J201" s="4"/>
      <c r="K201" s="4">
        <f t="shared" si="13"/>
      </c>
    </row>
    <row r="202" spans="1:11">
      <c r="A202" s="2"/>
      <c r="F202">
        <f>VLOOKUP(TablaPegaso[[#This Row],[Equipo]],Catalogos!$I$4:$J$34,2,FALSE)</f>
      </c>
      <c r="G202" s="3"/>
      <c r="H202" s="3"/>
      <c r="I202" s="3">
        <f t="shared" si="12"/>
      </c>
      <c r="J202" s="4"/>
      <c r="K202" s="4">
        <f t="shared" si="13"/>
      </c>
    </row>
    <row r="203" spans="1:11">
      <c r="A203" s="2"/>
      <c r="F203">
        <f>VLOOKUP(TablaPegaso[[#This Row],[Equipo]],Catalogos!$I$4:$J$34,2,FALSE)</f>
      </c>
      <c r="G203" s="3"/>
      <c r="H203" s="3"/>
      <c r="I203" s="3">
        <f t="shared" si="12"/>
      </c>
      <c r="J203" s="4"/>
      <c r="K203" s="4">
        <f t="shared" si="13"/>
      </c>
    </row>
    <row r="204" spans="1:11">
      <c r="A204" s="2"/>
      <c r="F204">
        <f>VLOOKUP(TablaPegaso[[#This Row],[Equipo]],Catalogos!$I$4:$J$34,2,FALSE)</f>
      </c>
      <c r="G204" s="3"/>
      <c r="H204" s="3"/>
      <c r="I204" s="3">
        <f t="shared" si="12"/>
      </c>
      <c r="J204" s="4"/>
      <c r="K204" s="4">
        <f t="shared" si="13"/>
      </c>
    </row>
    <row r="205" spans="1:11">
      <c r="A205" s="2"/>
      <c r="F205">
        <f>VLOOKUP(TablaPegaso[[#This Row],[Equipo]],Catalogos!$I$4:$J$34,2,FALSE)</f>
      </c>
      <c r="G205" s="3"/>
      <c r="H205" s="3"/>
      <c r="I205" s="3">
        <f t="shared" si="12"/>
      </c>
      <c r="J205" s="4"/>
      <c r="K205" s="4">
        <f t="shared" si="13"/>
      </c>
    </row>
    <row r="206" spans="1:11">
      <c r="A206" s="2"/>
      <c r="F206">
        <f>VLOOKUP(TablaPegaso[[#This Row],[Equipo]],Catalogos!$I$4:$J$34,2,FALSE)</f>
      </c>
      <c r="G206" s="3"/>
      <c r="H206" s="3"/>
      <c r="I206" s="3">
        <f t="shared" si="12"/>
      </c>
      <c r="J206" s="4"/>
      <c r="K206" s="4">
        <f t="shared" si="13"/>
      </c>
    </row>
  </sheetData>
  <mergeCells count="1">
    <mergeCell ref="A1:L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  <x14:dataValidation type="list" xr:uid="{834CDBCF-34BD-403B-97F1-16E0E13303F1}">
          <x14:formula1>
            <xm:f>Catalogos!$F$4:$F$18</xm:f>
          </x14:formula1>
          <xm:sqref>B5:B1048576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workbookViewId="0">
      <selection activeCell="C80" sqref="C80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t="s" s="404">
        <v>24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t="s">
        <v>25</v>
      </c>
      <c r="C2" t="s">
        <v>9</v>
      </c>
      <c r="E2" t="s">
        <v>10</v>
      </c>
      <c r="G2" t="s">
        <v>26</v>
      </c>
      <c r="H2" t="s">
        <v>27</v>
      </c>
      <c r="I2" t="s">
        <v>28</v>
      </c>
    </row>
    <row r="4" spans="1:12" ht="27.6">
      <c r="A4" t="s" s="1">
        <v>14</v>
      </c>
      <c r="B4" t="s" s="1">
        <v>29</v>
      </c>
      <c r="C4" t="s" s="1">
        <v>30</v>
      </c>
      <c r="D4" t="s" s="1">
        <v>31</v>
      </c>
      <c r="E4" t="s" s="1">
        <v>32</v>
      </c>
      <c r="F4" t="s" s="1">
        <v>18</v>
      </c>
      <c r="G4" t="s" s="1">
        <v>19</v>
      </c>
      <c r="H4" t="s" s="1">
        <v>20</v>
      </c>
      <c r="I4" t="s" s="1">
        <v>21</v>
      </c>
      <c r="J4" t="s" s="1">
        <v>22</v>
      </c>
      <c r="K4" t="s" s="1">
        <v>33</v>
      </c>
      <c r="L4" t="s" s="1">
        <v>23</v>
      </c>
    </row>
    <row r="5" spans="1:12">
      <c r="A5" s="2">
        <v>46181</v>
      </c>
      <c r="B5" t="s">
        <v>268</v>
      </c>
      <c r="C5" t="s">
        <v>3</v>
      </c>
      <c r="D5" t="s">
        <v>155</v>
      </c>
      <c r="E5">
        <f>VLOOKUP(TablaMarimba[[#This Row],[Equipo]],Catalogos!$I$4:$J$35,2,FALSE)</f>
      </c>
      <c r="F5" s="3">
        <v>0</v>
      </c>
      <c r="G5" s="367">
        <v>30</v>
      </c>
      <c r="H5" s="3">
        <f t="shared" ref="H5:H36" si="0">IF(ROW()=5,F5-G5,H4+F5-G5)</f>
      </c>
      <c r="I5" s="4">
        <v>28.3</v>
      </c>
      <c r="J5" s="4">
        <f t="shared" ref="J5:J36" si="1">IFERROR((F5+G5)*I5,0)</f>
      </c>
    </row>
    <row r="6" spans="1:12">
      <c r="A6" s="2">
        <v>46181</v>
      </c>
      <c r="B6" t="s">
        <v>268</v>
      </c>
      <c r="C6" t="s">
        <v>3</v>
      </c>
      <c r="D6" t="s">
        <v>72</v>
      </c>
      <c r="E6">
        <f>VLOOKUP(TablaMarimba[[#This Row],[Equipo]],Catalogos!$I$4:$J$35,2,FALSE)</f>
      </c>
      <c r="F6" s="3"/>
      <c r="G6" s="367">
        <v>32</v>
      </c>
      <c r="H6" s="3">
        <f t="shared" si="0"/>
      </c>
      <c r="I6" s="4">
        <v>28.3</v>
      </c>
      <c r="J6" s="4">
        <f t="shared" si="1"/>
      </c>
    </row>
    <row r="7" spans="1:12">
      <c r="A7" s="2">
        <v>46181</v>
      </c>
      <c r="B7" t="s">
        <v>268</v>
      </c>
      <c r="C7" t="s">
        <v>3</v>
      </c>
      <c r="D7" t="s">
        <v>138</v>
      </c>
      <c r="E7">
        <f>VLOOKUP(TablaMarimba[[#This Row],[Equipo]],Catalogos!$I$4:$J$35,2,FALSE)</f>
      </c>
      <c r="F7" s="3"/>
      <c r="G7" s="367">
        <v>277</v>
      </c>
      <c r="H7" s="3">
        <f t="shared" si="0"/>
      </c>
      <c r="I7" s="4">
        <v>28.3</v>
      </c>
      <c r="J7" s="4">
        <f t="shared" si="1"/>
      </c>
    </row>
    <row r="8" spans="1:12">
      <c r="A8" s="2">
        <v>46181</v>
      </c>
      <c r="B8" t="s">
        <v>268</v>
      </c>
      <c r="C8" t="s">
        <v>3</v>
      </c>
      <c r="D8" t="s">
        <v>81</v>
      </c>
      <c r="E8">
        <f>VLOOKUP(TablaMarimba[[#This Row],[Equipo]],Catalogos!$I$4:$J$35,2,FALSE)</f>
      </c>
      <c r="F8" s="3"/>
      <c r="G8" s="367">
        <v>30</v>
      </c>
      <c r="H8" s="3">
        <f t="shared" si="0"/>
      </c>
      <c r="I8" s="4">
        <v>28.3</v>
      </c>
      <c r="J8" s="4">
        <f t="shared" si="1"/>
      </c>
    </row>
    <row r="9" spans="1:12">
      <c r="A9" s="2">
        <v>46181</v>
      </c>
      <c r="B9" t="s">
        <v>268</v>
      </c>
      <c r="C9" t="s">
        <v>4</v>
      </c>
      <c r="D9" t="s">
        <v>134</v>
      </c>
      <c r="E9">
        <f>VLOOKUP(TablaMarimba[[#This Row],[Equipo]],Catalogos!$I$4:$J$35,2,FALSE)</f>
      </c>
      <c r="F9" s="3"/>
      <c r="G9" s="367">
        <v>97</v>
      </c>
      <c r="H9" s="3">
        <f t="shared" si="0"/>
      </c>
      <c r="I9" s="4">
        <v>28.3</v>
      </c>
      <c r="J9" s="4">
        <f t="shared" si="1"/>
      </c>
    </row>
    <row r="10" spans="1:12">
      <c r="A10" s="2">
        <v>46181</v>
      </c>
      <c r="B10" t="s">
        <v>268</v>
      </c>
      <c r="C10" t="s">
        <v>5</v>
      </c>
      <c r="D10" t="s">
        <v>145</v>
      </c>
      <c r="E10">
        <f>VLOOKUP(TablaMarimba[[#This Row],[Equipo]],Catalogos!$I$4:$J$35,2,FALSE)</f>
      </c>
      <c r="F10" s="3"/>
      <c r="G10" s="367">
        <v>198</v>
      </c>
      <c r="H10" s="3">
        <f t="shared" si="0"/>
      </c>
      <c r="I10" s="4">
        <v>28.3</v>
      </c>
      <c r="J10" s="4">
        <f t="shared" si="1"/>
      </c>
    </row>
    <row r="11" spans="1:12">
      <c r="A11" s="2">
        <v>46181</v>
      </c>
      <c r="B11" t="s">
        <v>268</v>
      </c>
      <c r="C11" t="s">
        <v>5</v>
      </c>
      <c r="D11" t="s">
        <v>166</v>
      </c>
      <c r="E11">
        <f>VLOOKUP(TablaMarimba[[#This Row],[Equipo]],Catalogos!$I$4:$J$35,2,FALSE)</f>
      </c>
      <c r="F11" s="3"/>
      <c r="G11" s="367">
        <v>10</v>
      </c>
      <c r="H11" s="3">
        <f t="shared" si="0"/>
      </c>
      <c r="I11" s="4">
        <v>28.3</v>
      </c>
      <c r="J11" s="4">
        <f t="shared" si="1"/>
      </c>
    </row>
    <row r="12" spans="1:12">
      <c r="A12" s="2">
        <v>46181</v>
      </c>
      <c r="B12" t="s">
        <v>268</v>
      </c>
      <c r="C12" t="s">
        <v>5</v>
      </c>
      <c r="D12" t="s">
        <v>160</v>
      </c>
      <c r="E12">
        <f>VLOOKUP(TablaMarimba[[#This Row],[Equipo]],Catalogos!$I$4:$J$35,2,FALSE)</f>
      </c>
      <c r="F12" s="3"/>
      <c r="G12" s="367">
        <v>27</v>
      </c>
      <c r="H12" s="3">
        <f t="shared" si="0"/>
      </c>
      <c r="I12" s="4">
        <v>28.3</v>
      </c>
      <c r="J12" s="4">
        <f t="shared" si="1"/>
      </c>
    </row>
    <row r="13" spans="1:12">
      <c r="A13" s="2">
        <v>46181</v>
      </c>
      <c r="B13" t="s">
        <v>268</v>
      </c>
      <c r="C13" t="s">
        <v>5</v>
      </c>
      <c r="D13" t="s">
        <v>168</v>
      </c>
      <c r="E13">
        <f>VLOOKUP(TablaMarimba[[#This Row],[Equipo]],Catalogos!$I$4:$J$35,2,FALSE)</f>
      </c>
      <c r="F13" s="3"/>
      <c r="G13" s="367">
        <v>30</v>
      </c>
      <c r="H13" s="3">
        <f t="shared" si="0"/>
      </c>
      <c r="I13" s="4">
        <v>28.3</v>
      </c>
      <c r="J13" s="4">
        <f t="shared" si="1"/>
      </c>
    </row>
    <row r="14" spans="1:12">
      <c r="A14" s="2">
        <v>46181</v>
      </c>
      <c r="B14" t="s">
        <v>268</v>
      </c>
      <c r="C14" t="s">
        <v>5</v>
      </c>
      <c r="D14" t="s">
        <v>151</v>
      </c>
      <c r="E14">
        <f>VLOOKUP(TablaMarimba[[#This Row],[Equipo]],Catalogos!$I$4:$J$35,2,FALSE)</f>
      </c>
      <c r="F14" s="3"/>
      <c r="G14" s="367">
        <v>40</v>
      </c>
      <c r="H14" s="3">
        <f t="shared" si="0"/>
      </c>
      <c r="I14" s="4">
        <v>28.3</v>
      </c>
      <c r="J14" s="4">
        <f t="shared" si="1"/>
      </c>
    </row>
    <row r="15" spans="1:12">
      <c r="A15" s="2">
        <v>46181</v>
      </c>
      <c r="B15" t="s">
        <v>268</v>
      </c>
      <c r="C15" t="s">
        <v>5</v>
      </c>
      <c r="D15" t="s">
        <v>156</v>
      </c>
      <c r="E15">
        <f>VLOOKUP(TablaMarimba[[#This Row],[Equipo]],Catalogos!$I$4:$J$35,2,FALSE)</f>
      </c>
      <c r="F15" s="3"/>
      <c r="G15" s="367">
        <v>120</v>
      </c>
      <c r="H15" s="3">
        <f t="shared" si="0"/>
      </c>
      <c r="I15" s="4">
        <v>28.3</v>
      </c>
      <c r="J15" s="4">
        <f t="shared" si="1"/>
      </c>
    </row>
    <row r="16" spans="1:12">
      <c r="A16" s="2">
        <v>46181</v>
      </c>
      <c r="B16" t="s">
        <v>268</v>
      </c>
      <c r="C16" t="s">
        <v>5</v>
      </c>
      <c r="D16" t="s">
        <v>162</v>
      </c>
      <c r="E16">
        <f>VLOOKUP(TablaMarimba[[#This Row],[Equipo]],Catalogos!$I$4:$J$35,2,FALSE)</f>
      </c>
      <c r="F16" s="3"/>
      <c r="G16" s="367">
        <v>30</v>
      </c>
      <c r="H16" s="3">
        <f t="shared" si="0"/>
      </c>
      <c r="I16" s="4">
        <v>28.3</v>
      </c>
      <c r="J16" s="4">
        <f t="shared" si="1"/>
      </c>
    </row>
    <row r="17" spans="1:10">
      <c r="A17" s="2">
        <v>46182</v>
      </c>
      <c r="B17" t="s">
        <v>268</v>
      </c>
      <c r="C17" t="s">
        <v>5</v>
      </c>
      <c r="D17" t="s">
        <v>149</v>
      </c>
      <c r="E17">
        <f>VLOOKUP(TablaMarimba[[#This Row],[Equipo]],Catalogos!$I$4:$J$35,2,FALSE)</f>
      </c>
      <c r="F17" s="3"/>
      <c r="G17" s="367">
        <v>30</v>
      </c>
      <c r="H17" s="3">
        <f t="shared" si="0"/>
      </c>
      <c r="I17" s="4">
        <v>28.3</v>
      </c>
      <c r="J17" s="4">
        <f t="shared" si="1"/>
      </c>
    </row>
    <row r="18" spans="1:10">
      <c r="A18" s="2">
        <v>46182</v>
      </c>
      <c r="B18" t="s">
        <v>268</v>
      </c>
      <c r="C18" t="s">
        <v>5</v>
      </c>
      <c r="D18" t="s">
        <v>153</v>
      </c>
      <c r="E18">
        <f>VLOOKUP(TablaMarimba[[#This Row],[Equipo]],Catalogos!$I$4:$J$35,2,FALSE)</f>
      </c>
      <c r="F18" s="3"/>
      <c r="G18" s="367">
        <v>100</v>
      </c>
      <c r="H18" s="3">
        <f t="shared" si="0"/>
      </c>
      <c r="I18" s="4">
        <v>28.3</v>
      </c>
      <c r="J18" s="4">
        <f t="shared" si="1"/>
      </c>
    </row>
    <row r="19" spans="1:10">
      <c r="A19" s="2">
        <v>46182</v>
      </c>
      <c r="B19" t="s">
        <v>268</v>
      </c>
      <c r="C19" t="s">
        <v>5</v>
      </c>
      <c r="D19" t="s">
        <v>158</v>
      </c>
      <c r="E19">
        <f>VLOOKUP(TablaMarimba[[#This Row],[Equipo]],Catalogos!$I$4:$J$35,2,FALSE)</f>
      </c>
      <c r="F19" s="3"/>
      <c r="G19" s="367">
        <v>30</v>
      </c>
      <c r="H19" s="3">
        <f t="shared" si="0"/>
      </c>
      <c r="I19" s="4">
        <v>28.3</v>
      </c>
      <c r="J19" s="4">
        <f t="shared" si="1"/>
      </c>
    </row>
    <row r="20" spans="1:10">
      <c r="A20" s="2">
        <v>46182</v>
      </c>
      <c r="B20" t="s">
        <v>268</v>
      </c>
      <c r="C20" t="s">
        <v>5</v>
      </c>
      <c r="D20" t="s">
        <v>145</v>
      </c>
      <c r="E20">
        <f>VLOOKUP(TablaMarimba[[#This Row],[Equipo]],Catalogos!$I$4:$J$35,2,FALSE)</f>
      </c>
      <c r="F20" s="3"/>
      <c r="G20" s="367">
        <v>150</v>
      </c>
      <c r="H20" s="3">
        <f t="shared" si="0"/>
      </c>
      <c r="I20" s="4">
        <v>28.3</v>
      </c>
      <c r="J20" s="4">
        <f t="shared" si="1"/>
      </c>
    </row>
    <row r="21" spans="1:10">
      <c r="A21" s="2">
        <v>46182</v>
      </c>
      <c r="B21" t="s">
        <v>268</v>
      </c>
      <c r="C21" t="s">
        <v>5</v>
      </c>
      <c r="D21" t="s">
        <v>162</v>
      </c>
      <c r="E21">
        <f>VLOOKUP(TablaMarimba[[#This Row],[Equipo]],Catalogos!$I$4:$J$35,2,FALSE)</f>
      </c>
      <c r="F21" s="3"/>
      <c r="G21" s="367">
        <v>50</v>
      </c>
      <c r="H21" s="3">
        <f t="shared" si="0"/>
      </c>
      <c r="I21" s="4">
        <v>28.3</v>
      </c>
      <c r="J21" s="4">
        <f t="shared" si="1"/>
      </c>
    </row>
    <row r="22" spans="1:10">
      <c r="A22" s="2">
        <v>46182</v>
      </c>
      <c r="B22" t="s">
        <v>268</v>
      </c>
      <c r="C22" t="s">
        <v>5</v>
      </c>
      <c r="D22" t="s">
        <v>156</v>
      </c>
      <c r="E22">
        <f>VLOOKUP(TablaMarimba[[#This Row],[Equipo]],Catalogos!$I$4:$J$35,2,FALSE)</f>
      </c>
      <c r="F22" s="3"/>
      <c r="G22" s="367">
        <v>136</v>
      </c>
      <c r="H22" s="3">
        <f t="shared" si="0"/>
      </c>
      <c r="I22" s="4">
        <v>28.3</v>
      </c>
      <c r="J22" s="4">
        <f t="shared" si="1"/>
      </c>
    </row>
    <row r="23" spans="1:10">
      <c r="A23" s="2">
        <v>46182</v>
      </c>
      <c r="B23" t="s">
        <v>268</v>
      </c>
      <c r="C23" t="s">
        <v>5</v>
      </c>
      <c r="D23" t="s">
        <v>158</v>
      </c>
      <c r="E23">
        <f>VLOOKUP(TablaMarimba[[#This Row],[Equipo]],Catalogos!$I$4:$J$35,2,FALSE)</f>
      </c>
      <c r="F23" s="3"/>
      <c r="G23" s="367">
        <v>30</v>
      </c>
      <c r="H23" s="3">
        <f t="shared" si="0"/>
      </c>
      <c r="I23" s="4">
        <v>28.3</v>
      </c>
      <c r="J23" s="4">
        <f t="shared" si="1"/>
      </c>
    </row>
    <row r="24" spans="1:10">
      <c r="A24" s="2">
        <v>46182</v>
      </c>
      <c r="B24" t="s">
        <v>268</v>
      </c>
      <c r="C24" t="s">
        <v>5</v>
      </c>
      <c r="D24" t="s">
        <v>155</v>
      </c>
      <c r="E24">
        <f>VLOOKUP(TablaMarimba[[#This Row],[Equipo]],Catalogos!$I$4:$J$35,2,FALSE)</f>
      </c>
      <c r="F24" s="3"/>
      <c r="G24" s="367">
        <v>30</v>
      </c>
      <c r="H24" s="3">
        <f t="shared" si="0"/>
      </c>
      <c r="I24" s="4">
        <v>28.3</v>
      </c>
      <c r="J24" s="4">
        <f t="shared" si="1"/>
      </c>
    </row>
    <row r="25" spans="1:10">
      <c r="A25" s="2">
        <v>46182</v>
      </c>
      <c r="B25" t="s">
        <v>268</v>
      </c>
      <c r="C25" t="s">
        <v>5</v>
      </c>
      <c r="D25" t="s">
        <v>153</v>
      </c>
      <c r="E25">
        <f>VLOOKUP(TablaMarimba[[#This Row],[Equipo]],Catalogos!$I$4:$J$35,2,FALSE)</f>
      </c>
      <c r="F25" s="3"/>
      <c r="G25" s="367">
        <v>100</v>
      </c>
      <c r="H25" s="3">
        <f t="shared" si="0"/>
      </c>
      <c r="I25" s="4">
        <v>28.3</v>
      </c>
      <c r="J25" s="4">
        <f t="shared" si="1"/>
      </c>
    </row>
    <row r="26" spans="1:10">
      <c r="A26" s="2">
        <v>46182</v>
      </c>
      <c r="B26" t="s">
        <v>268</v>
      </c>
      <c r="C26" t="s">
        <v>5</v>
      </c>
      <c r="D26" t="s">
        <v>151</v>
      </c>
      <c r="E26">
        <f>VLOOKUP(TablaMarimba[[#This Row],[Equipo]],Catalogos!$I$4:$J$35,2,FALSE)</f>
      </c>
      <c r="F26" s="3"/>
      <c r="G26" s="367">
        <v>60</v>
      </c>
      <c r="H26" s="3">
        <f t="shared" si="0"/>
      </c>
      <c r="I26" s="4">
        <v>28.3</v>
      </c>
      <c r="J26" s="4">
        <f t="shared" si="1"/>
      </c>
    </row>
    <row r="27" spans="1:10">
      <c r="A27" s="2">
        <v>46182</v>
      </c>
      <c r="B27" t="s">
        <v>268</v>
      </c>
      <c r="C27" t="s">
        <v>5</v>
      </c>
      <c r="D27" t="s">
        <v>168</v>
      </c>
      <c r="E27">
        <f>VLOOKUP(TablaMarimba[[#This Row],[Equipo]],Catalogos!$I$4:$J$35,2,FALSE)</f>
      </c>
      <c r="F27" s="3"/>
      <c r="G27" s="367">
        <v>20</v>
      </c>
      <c r="H27" s="3">
        <f t="shared" si="0"/>
      </c>
      <c r="I27" s="4">
        <v>28.3</v>
      </c>
      <c r="J27" s="4">
        <f t="shared" si="1"/>
      </c>
    </row>
    <row r="28" spans="1:10">
      <c r="A28" s="2">
        <v>46183</v>
      </c>
      <c r="B28" t="s">
        <v>268</v>
      </c>
      <c r="C28" t="s">
        <v>3</v>
      </c>
      <c r="D28" t="s">
        <v>139</v>
      </c>
      <c r="E28">
        <f>VLOOKUP(TablaMarimba[[#This Row],[Equipo]],Catalogos!$I$4:$J$35,2,FALSE)</f>
      </c>
      <c r="F28" s="3"/>
      <c r="G28" s="367">
        <v>20</v>
      </c>
      <c r="H28" s="3">
        <f t="shared" si="0"/>
      </c>
      <c r="I28" s="4">
        <v>28.3</v>
      </c>
      <c r="J28" s="4">
        <f t="shared" si="1"/>
      </c>
    </row>
    <row r="29" spans="1:10">
      <c r="A29" s="2">
        <v>46183</v>
      </c>
      <c r="B29" t="s">
        <v>268</v>
      </c>
      <c r="C29" t="s">
        <v>3</v>
      </c>
      <c r="D29" t="s">
        <v>138</v>
      </c>
      <c r="E29">
        <f>VLOOKUP(TablaMarimba[[#This Row],[Equipo]],Catalogos!$I$4:$J$35,2,FALSE)</f>
      </c>
      <c r="F29" s="3"/>
      <c r="G29" s="367">
        <v>250</v>
      </c>
      <c r="H29" s="3">
        <f t="shared" si="0"/>
      </c>
      <c r="I29" s="4">
        <v>28.3</v>
      </c>
      <c r="J29" s="4">
        <f t="shared" si="1"/>
      </c>
    </row>
    <row r="30" spans="1:10">
      <c r="A30" s="2">
        <v>46183</v>
      </c>
      <c r="B30" t="s">
        <v>268</v>
      </c>
      <c r="C30" t="s">
        <v>3</v>
      </c>
      <c r="D30" t="s">
        <v>81</v>
      </c>
      <c r="E30">
        <f>VLOOKUP(TablaMarimba[[#This Row],[Equipo]],Catalogos!$I$4:$J$35,2,FALSE)</f>
      </c>
      <c r="F30" s="3"/>
      <c r="G30" s="367">
        <v>30</v>
      </c>
      <c r="H30" s="3">
        <f t="shared" si="0"/>
      </c>
      <c r="I30" s="4">
        <v>28.3</v>
      </c>
      <c r="J30" s="4">
        <f t="shared" si="1"/>
      </c>
    </row>
    <row r="31" spans="1:10">
      <c r="A31" s="2">
        <v>46184</v>
      </c>
      <c r="B31" t="s">
        <v>268</v>
      </c>
      <c r="C31" t="s">
        <v>3</v>
      </c>
      <c r="D31" t="s">
        <v>72</v>
      </c>
      <c r="E31">
        <f>VLOOKUP(TablaMarimba[[#This Row],[Equipo]],Catalogos!$I$4:$J$35,2,FALSE)</f>
      </c>
      <c r="F31" s="3"/>
      <c r="G31" s="367">
        <v>30</v>
      </c>
      <c r="H31" s="3">
        <f t="shared" si="0"/>
      </c>
      <c r="I31" s="4">
        <v>28.3</v>
      </c>
      <c r="J31" s="4">
        <f t="shared" si="1"/>
      </c>
    </row>
    <row r="32" spans="1:10">
      <c r="A32" s="2">
        <v>46184</v>
      </c>
      <c r="B32" t="s">
        <v>268</v>
      </c>
      <c r="C32" t="s">
        <v>3</v>
      </c>
      <c r="D32" t="s">
        <v>155</v>
      </c>
      <c r="E32">
        <f>VLOOKUP(TablaMarimba[[#This Row],[Equipo]],Catalogos!$I$4:$J$35,2,FALSE)</f>
      </c>
      <c r="F32" s="3"/>
      <c r="G32" s="367">
        <v>30</v>
      </c>
      <c r="H32" s="3">
        <f t="shared" si="0"/>
      </c>
      <c r="I32" s="4">
        <v>28.3</v>
      </c>
      <c r="J32" s="4">
        <f t="shared" si="1"/>
      </c>
    </row>
    <row r="33" spans="1:14">
      <c r="A33" s="2">
        <v>46184</v>
      </c>
      <c r="B33" t="s">
        <v>268</v>
      </c>
      <c r="C33" t="s">
        <v>3</v>
      </c>
      <c r="D33" t="s">
        <v>134</v>
      </c>
      <c r="E33">
        <f>VLOOKUP(TablaMarimba[[#This Row],[Equipo]],Catalogos!$I$4:$J$35,2,FALSE)</f>
      </c>
      <c r="F33" s="3"/>
      <c r="G33" s="367">
        <v>136</v>
      </c>
      <c r="H33" s="3">
        <f t="shared" si="0"/>
      </c>
      <c r="I33" s="4">
        <v>28.3</v>
      </c>
      <c r="J33" s="4">
        <f t="shared" si="1"/>
      </c>
    </row>
    <row r="34" spans="1:14">
      <c r="A34" s="2">
        <v>46184</v>
      </c>
      <c r="B34" t="s">
        <v>268</v>
      </c>
      <c r="C34" t="s">
        <v>3</v>
      </c>
      <c r="D34" t="s">
        <v>139</v>
      </c>
      <c r="E34">
        <f>VLOOKUP(TablaMarimba[[#This Row],[Equipo]],Catalogos!$I$4:$J$35,2,FALSE)</f>
      </c>
      <c r="F34" s="3"/>
      <c r="G34" s="367">
        <v>20</v>
      </c>
      <c r="H34" s="3">
        <f t="shared" si="0"/>
      </c>
      <c r="I34" s="4">
        <v>28.3</v>
      </c>
      <c r="J34" s="4">
        <f t="shared" si="1"/>
      </c>
    </row>
    <row r="35" spans="1:14">
      <c r="A35" s="2">
        <v>46184</v>
      </c>
      <c r="B35" t="s">
        <v>268</v>
      </c>
      <c r="C35" t="s">
        <v>3</v>
      </c>
      <c r="D35" t="s">
        <v>81</v>
      </c>
      <c r="E35">
        <f>VLOOKUP(TablaMarimba[[#This Row],[Equipo]],Catalogos!$I$4:$J$35,2,FALSE)</f>
      </c>
      <c r="F35" s="3"/>
      <c r="G35" s="367">
        <v>20</v>
      </c>
      <c r="H35" s="3">
        <f t="shared" si="0"/>
      </c>
      <c r="I35" s="4">
        <v>28.3</v>
      </c>
      <c r="J35" s="4">
        <f t="shared" si="1"/>
      </c>
    </row>
    <row r="36" spans="1:14">
      <c r="A36" s="2">
        <v>46184</v>
      </c>
      <c r="B36" t="s">
        <v>268</v>
      </c>
      <c r="C36" t="s">
        <v>3</v>
      </c>
      <c r="D36" t="s">
        <v>166</v>
      </c>
      <c r="E36">
        <f>VLOOKUP(TablaMarimba[[#This Row],[Equipo]],Catalogos!$I$4:$J$35,2,FALSE)</f>
      </c>
      <c r="F36" s="3"/>
      <c r="G36" s="367">
        <v>20</v>
      </c>
      <c r="H36" s="3">
        <f t="shared" si="0"/>
      </c>
      <c r="I36" s="4">
        <v>28.3</v>
      </c>
      <c r="J36" s="4">
        <f t="shared" si="1"/>
      </c>
    </row>
    <row r="37" spans="1:14">
      <c r="A37" s="2">
        <v>46185</v>
      </c>
      <c r="B37" t="s">
        <v>268</v>
      </c>
      <c r="C37" t="s">
        <v>5</v>
      </c>
      <c r="D37" t="s">
        <v>158</v>
      </c>
      <c r="E37">
        <f>VLOOKUP(TablaMarimba[[#This Row],[Equipo]],Catalogos!$I$4:$J$35,2,FALSE)</f>
      </c>
      <c r="F37" s="3"/>
      <c r="G37" s="367">
        <v>32</v>
      </c>
      <c r="H37" s="3">
        <f t="shared" ref="H37:H63" si="2">IF(ROW()=5,F37-G37,H36+F37-G37)</f>
      </c>
      <c r="I37" s="4">
        <v>28.3</v>
      </c>
      <c r="J37" s="4">
        <f t="shared" ref="J37:J70" si="3">IFERROR((F37+G37)*I37,0)</f>
      </c>
    </row>
    <row r="38" spans="1:14">
      <c r="A38" s="2">
        <v>46185</v>
      </c>
      <c r="B38" t="s">
        <v>268</v>
      </c>
      <c r="C38" t="s">
        <v>5</v>
      </c>
      <c r="D38" t="s">
        <v>160</v>
      </c>
      <c r="E38">
        <f>VLOOKUP(TablaMarimba[[#This Row],[Equipo]],Catalogos!$I$4:$J$35,2,FALSE)</f>
      </c>
      <c r="F38" s="3"/>
      <c r="G38" s="367">
        <v>30</v>
      </c>
      <c r="H38" s="3">
        <f t="shared" si="2"/>
      </c>
      <c r="I38" s="4">
        <v>28.3</v>
      </c>
      <c r="J38" s="4">
        <f t="shared" si="3"/>
      </c>
    </row>
    <row r="39" spans="1:14">
      <c r="A39" s="2">
        <v>46185</v>
      </c>
      <c r="B39" t="s">
        <v>268</v>
      </c>
      <c r="C39" t="s">
        <v>5</v>
      </c>
      <c r="D39" t="s">
        <v>149</v>
      </c>
      <c r="E39">
        <f>VLOOKUP(TablaMarimba[[#This Row],[Equipo]],Catalogos!$I$4:$J$35,2,FALSE)</f>
      </c>
      <c r="F39" s="3"/>
      <c r="G39" s="367">
        <v>30</v>
      </c>
      <c r="H39" s="3">
        <f t="shared" si="2"/>
      </c>
      <c r="I39" s="4">
        <v>28.3</v>
      </c>
      <c r="J39" s="4">
        <f t="shared" si="3"/>
      </c>
    </row>
    <row r="40" spans="1:14">
      <c r="A40" s="2">
        <v>46185</v>
      </c>
      <c r="B40" t="s">
        <v>268</v>
      </c>
      <c r="C40" t="s">
        <v>5</v>
      </c>
      <c r="D40" t="s">
        <v>151</v>
      </c>
      <c r="E40">
        <f>VLOOKUP(TablaMarimba[[#This Row],[Equipo]],Catalogos!$I$4:$J$35,2,FALSE)</f>
      </c>
      <c r="F40" s="3"/>
      <c r="G40" s="367">
        <v>50</v>
      </c>
      <c r="H40" s="3">
        <f t="shared" si="2"/>
      </c>
      <c r="I40" s="4">
        <v>28.3</v>
      </c>
      <c r="J40" s="4">
        <f t="shared" si="3"/>
      </c>
    </row>
    <row r="41" spans="1:14">
      <c r="A41" s="2">
        <v>46185</v>
      </c>
      <c r="B41" t="s">
        <v>268</v>
      </c>
      <c r="C41" t="s">
        <v>5</v>
      </c>
      <c r="D41" t="s">
        <v>156</v>
      </c>
      <c r="E41">
        <f>VLOOKUP(TablaMarimba[[#This Row],[Equipo]],Catalogos!$I$4:$J$35,2,FALSE)</f>
      </c>
      <c r="F41" s="3"/>
      <c r="G41" s="367">
        <v>120</v>
      </c>
      <c r="H41" s="3">
        <f t="shared" si="2"/>
      </c>
      <c r="I41" s="4">
        <v>28.3</v>
      </c>
      <c r="J41" s="4">
        <f t="shared" si="3"/>
      </c>
    </row>
    <row r="42" spans="1:14">
      <c r="A42" s="2">
        <v>46185</v>
      </c>
      <c r="B42" t="s">
        <v>268</v>
      </c>
      <c r="C42" t="s">
        <v>5</v>
      </c>
      <c r="D42" t="s">
        <v>162</v>
      </c>
      <c r="E42">
        <f>VLOOKUP(TablaMarimba[[#This Row],[Equipo]],Catalogos!$I$4:$J$35,2,FALSE)</f>
      </c>
      <c r="F42" s="3"/>
      <c r="G42" s="367">
        <v>40</v>
      </c>
      <c r="H42" s="3">
        <f t="shared" si="2"/>
      </c>
      <c r="I42" s="4">
        <v>28.3</v>
      </c>
      <c r="J42" s="4">
        <f t="shared" si="3"/>
      </c>
    </row>
    <row r="43" spans="1:14">
      <c r="A43" s="2">
        <v>46185</v>
      </c>
      <c r="B43" t="s">
        <v>268</v>
      </c>
      <c r="C43" t="s">
        <v>5</v>
      </c>
      <c r="D43" t="s">
        <v>145</v>
      </c>
      <c r="E43">
        <f>VLOOKUP(TablaMarimba[[#This Row],[Equipo]],Catalogos!$I$4:$J$35,2,FALSE)</f>
      </c>
      <c r="F43" s="3"/>
      <c r="G43" s="367">
        <v>200</v>
      </c>
      <c r="H43" s="3">
        <f t="shared" si="2"/>
      </c>
      <c r="I43" s="4">
        <v>28.3</v>
      </c>
      <c r="J43" s="4">
        <f t="shared" si="3"/>
      </c>
      <c r="N43" s="3">
        <f>SUM(G5:G48)</f>
      </c>
    </row>
    <row r="44" spans="1:14">
      <c r="A44" s="2">
        <v>46185</v>
      </c>
      <c r="B44" t="s">
        <v>268</v>
      </c>
      <c r="C44" t="s">
        <v>3</v>
      </c>
      <c r="D44" t="s">
        <v>139</v>
      </c>
      <c r="E44">
        <f>VLOOKUP(TablaMarimba[[#This Row],[Equipo]],Catalogos!$I$4:$J$35,2,FALSE)</f>
      </c>
      <c r="F44" s="3"/>
      <c r="G44" s="367">
        <v>20</v>
      </c>
      <c r="H44" s="3">
        <f t="shared" si="2"/>
      </c>
      <c r="I44" s="4">
        <v>28.3</v>
      </c>
      <c r="J44" s="4">
        <f t="shared" si="3"/>
      </c>
    </row>
    <row r="45" spans="1:14">
      <c r="A45" s="2">
        <v>46185</v>
      </c>
      <c r="B45" t="s">
        <v>268</v>
      </c>
      <c r="C45" t="s">
        <v>3</v>
      </c>
      <c r="D45" t="s">
        <v>155</v>
      </c>
      <c r="E45">
        <f>VLOOKUP(TablaMarimba[[#This Row],[Equipo]],Catalogos!$I$4:$J$35,2,FALSE)</f>
      </c>
      <c r="F45" s="3"/>
      <c r="G45" s="367">
        <v>30</v>
      </c>
      <c r="H45" s="3">
        <f t="shared" si="2"/>
      </c>
      <c r="I45" s="4">
        <v>28.3</v>
      </c>
      <c r="J45" s="4">
        <f t="shared" si="3"/>
      </c>
    </row>
    <row r="46" spans="1:14">
      <c r="A46" s="2">
        <v>46185</v>
      </c>
      <c r="B46" t="s">
        <v>268</v>
      </c>
      <c r="C46" t="s">
        <v>3</v>
      </c>
      <c r="D46" t="s">
        <v>166</v>
      </c>
      <c r="E46">
        <f>VLOOKUP(TablaMarimba[[#This Row],[Equipo]],Catalogos!$I$4:$J$35,2,FALSE)</f>
      </c>
      <c r="F46" s="3"/>
      <c r="G46" s="367">
        <v>20</v>
      </c>
      <c r="H46" s="3">
        <f t="shared" si="2"/>
      </c>
      <c r="I46" s="4">
        <v>28.3</v>
      </c>
      <c r="J46" s="4">
        <f t="shared" si="3"/>
      </c>
    </row>
    <row r="47" spans="1:14">
      <c r="A47" s="2">
        <v>46185</v>
      </c>
      <c r="B47" t="s">
        <v>268</v>
      </c>
      <c r="C47" t="s">
        <v>3</v>
      </c>
      <c r="D47" t="s">
        <v>72</v>
      </c>
      <c r="E47">
        <f>VLOOKUP(TablaMarimba[[#This Row],[Equipo]],Catalogos!$I$4:$J$35,2,FALSE)</f>
      </c>
      <c r="F47" s="3"/>
      <c r="G47" s="367">
        <v>40</v>
      </c>
      <c r="H47" s="3">
        <f t="shared" si="2"/>
      </c>
      <c r="I47" s="4">
        <v>28.3</v>
      </c>
      <c r="J47" s="4">
        <f t="shared" si="3"/>
      </c>
    </row>
    <row r="48" spans="1:14">
      <c r="A48" s="2">
        <v>46185</v>
      </c>
      <c r="B48" t="s">
        <v>268</v>
      </c>
      <c r="C48" t="s">
        <v>3</v>
      </c>
      <c r="D48" t="s">
        <v>138</v>
      </c>
      <c r="E48">
        <f>VLOOKUP(TablaMarimba[[#This Row],[Equipo]],Catalogos!$I$4:$J$35,2,FALSE)</f>
      </c>
      <c r="F48" s="3"/>
      <c r="G48" s="367">
        <v>250</v>
      </c>
      <c r="H48" s="3">
        <v>0</v>
      </c>
      <c r="I48" s="4">
        <v>28.3</v>
      </c>
      <c r="J48" s="4">
        <f t="shared" si="3"/>
      </c>
    </row>
    <row r="49" spans="1:10">
      <c r="A49" s="2">
        <v>46188</v>
      </c>
      <c r="B49" t="s">
        <v>197</v>
      </c>
      <c r="C49" t="s">
        <v>186</v>
      </c>
      <c r="D49" t="s">
        <v>253</v>
      </c>
      <c r="E49">
        <f>VLOOKUP(TablaMarimba[[#This Row],[Equipo]],Catalogos!$I$4:$J$35,2,FALSE)</f>
      </c>
      <c r="F49" s="3">
        <v>500</v>
      </c>
      <c r="G49" s="367"/>
      <c r="H49" s="3">
        <f t="shared" si="2"/>
      </c>
      <c r="I49" s="4"/>
      <c r="J49" s="4"/>
    </row>
    <row r="50" spans="1:10">
      <c r="A50" s="2">
        <v>46188</v>
      </c>
      <c r="B50" t="s">
        <v>268</v>
      </c>
      <c r="C50" t="s">
        <v>3</v>
      </c>
      <c r="D50" t="s">
        <v>145</v>
      </c>
      <c r="E50">
        <f>VLOOKUP(TablaMarimba[[#This Row],[Equipo]],Catalogos!$I$4:$J$35,2,FALSE)</f>
      </c>
      <c r="F50" s="3"/>
      <c r="G50" s="367">
        <v>200</v>
      </c>
      <c r="H50" s="3">
        <f t="shared" si="2"/>
      </c>
      <c r="I50" s="4">
        <v>28.3</v>
      </c>
      <c r="J50" s="4">
        <f t="shared" si="3"/>
      </c>
    </row>
    <row r="51" spans="1:10">
      <c r="A51" s="2">
        <v>46188</v>
      </c>
      <c r="B51" t="s">
        <v>268</v>
      </c>
      <c r="C51" t="s">
        <v>3</v>
      </c>
      <c r="D51" t="s">
        <v>81</v>
      </c>
      <c r="E51">
        <f>VLOOKUP(TablaMarimba[[#This Row],[Equipo]],Catalogos!$I$4:$J$35,2,FALSE)</f>
      </c>
      <c r="F51" s="3"/>
      <c r="G51" s="367">
        <v>40</v>
      </c>
      <c r="H51" s="3">
        <f t="shared" si="2"/>
      </c>
      <c r="I51" s="4">
        <v>28.3</v>
      </c>
      <c r="J51" s="4">
        <f t="shared" si="3"/>
      </c>
    </row>
    <row r="52" spans="1:10">
      <c r="A52" s="2">
        <v>46188</v>
      </c>
      <c r="B52" t="s">
        <v>268</v>
      </c>
      <c r="C52" t="s">
        <v>3</v>
      </c>
      <c r="D52" t="s">
        <v>158</v>
      </c>
      <c r="E52">
        <f>VLOOKUP(TablaMarimba[[#This Row],[Equipo]],Catalogos!$I$4:$J$35,2,FALSE)</f>
      </c>
      <c r="F52" s="3"/>
      <c r="G52" s="367">
        <v>30</v>
      </c>
      <c r="H52" s="3">
        <f t="shared" si="2"/>
      </c>
      <c r="I52" s="4">
        <v>28.3</v>
      </c>
      <c r="J52" s="4">
        <f t="shared" si="3"/>
      </c>
    </row>
    <row r="53" spans="1:10">
      <c r="A53" s="2">
        <v>46188</v>
      </c>
      <c r="B53" t="s">
        <v>268</v>
      </c>
      <c r="C53" t="s">
        <v>3</v>
      </c>
      <c r="D53" t="s">
        <v>155</v>
      </c>
      <c r="E53">
        <f>VLOOKUP(TablaMarimba[[#This Row],[Equipo]],Catalogos!$I$4:$J$35,2,FALSE)</f>
      </c>
      <c r="F53" s="3"/>
      <c r="G53" s="367">
        <v>50</v>
      </c>
      <c r="H53" s="3">
        <f t="shared" si="2"/>
      </c>
      <c r="I53" s="4">
        <v>28.3</v>
      </c>
      <c r="J53" s="4">
        <f t="shared" si="3"/>
      </c>
    </row>
    <row r="54" spans="1:10">
      <c r="A54" s="2">
        <v>46188</v>
      </c>
      <c r="B54" t="s">
        <v>268</v>
      </c>
      <c r="C54" t="s">
        <v>4</v>
      </c>
      <c r="D54" t="s">
        <v>134</v>
      </c>
      <c r="E54">
        <f>VLOOKUP(TablaMarimba[[#This Row],[Equipo]],Catalogos!$I$4:$J$35,2,FALSE)</f>
      </c>
      <c r="F54" s="3"/>
      <c r="G54" s="367">
        <v>99</v>
      </c>
      <c r="H54" s="3">
        <f t="shared" si="2"/>
      </c>
      <c r="I54" s="4">
        <v>28.3</v>
      </c>
      <c r="J54" s="4">
        <f t="shared" si="3"/>
      </c>
    </row>
    <row r="55" spans="1:10">
      <c r="A55" s="2">
        <v>46188</v>
      </c>
      <c r="B55" t="s">
        <v>268</v>
      </c>
      <c r="C55" t="s">
        <v>3</v>
      </c>
      <c r="D55" t="s">
        <v>86</v>
      </c>
      <c r="E55">
        <f>VLOOKUP(TablaMarimba[[#This Row],[Equipo]],Catalogos!$I$4:$J$35,2,FALSE)</f>
      </c>
      <c r="F55" s="3"/>
      <c r="G55" s="367">
        <v>50</v>
      </c>
      <c r="H55" s="3">
        <f t="shared" si="2"/>
      </c>
      <c r="I55" s="4">
        <v>28.3</v>
      </c>
      <c r="J55" s="4">
        <f t="shared" si="3"/>
      </c>
    </row>
    <row r="56" spans="1:10">
      <c r="A56" s="2">
        <v>46189</v>
      </c>
      <c r="B56" t="s">
        <v>197</v>
      </c>
      <c r="C56" t="s">
        <v>186</v>
      </c>
      <c r="D56" t="s">
        <v>67</v>
      </c>
      <c r="E56">
        <f>VLOOKUP(TablaMarimba[[#This Row],[Equipo]],Catalogos!$I$4:$J$35,2,FALSE)</f>
      </c>
      <c r="F56" s="3">
        <f>TablaMarimba[[#This Row],[Existencia Teórica]]-H55</f>
      </c>
      <c r="G56" s="367"/>
      <c r="H56" s="3">
        <v>500</v>
      </c>
      <c r="I56" s="4"/>
      <c r="J56" s="4"/>
    </row>
    <row r="57" spans="1:10">
      <c r="A57" s="2">
        <v>46189</v>
      </c>
      <c r="B57" t="s">
        <v>268</v>
      </c>
      <c r="C57" t="s">
        <v>3</v>
      </c>
      <c r="D57" t="s">
        <v>145</v>
      </c>
      <c r="E57">
        <f>VLOOKUP(TablaMarimba[[#This Row],[Equipo]],Catalogos!$I$4:$J$35,2,FALSE)</f>
      </c>
      <c r="F57" s="3"/>
      <c r="G57" s="367">
        <v>200</v>
      </c>
      <c r="H57" s="3">
        <f t="shared" si="2"/>
      </c>
      <c r="I57" s="4">
        <v>28.3</v>
      </c>
      <c r="J57" s="4">
        <f t="shared" si="3"/>
      </c>
    </row>
    <row r="58" spans="1:10">
      <c r="A58" s="2">
        <v>46189</v>
      </c>
      <c r="B58" t="s">
        <v>268</v>
      </c>
      <c r="C58" t="s">
        <v>3</v>
      </c>
      <c r="D58" t="s">
        <v>158</v>
      </c>
      <c r="E58">
        <f>VLOOKUP(TablaMarimba[[#This Row],[Equipo]],Catalogos!$I$4:$J$35,2,FALSE)</f>
      </c>
      <c r="F58" s="3"/>
      <c r="G58" s="367">
        <v>32</v>
      </c>
      <c r="H58" s="3">
        <f t="shared" si="2"/>
      </c>
      <c r="I58" s="4">
        <v>28.3</v>
      </c>
      <c r="J58" s="4">
        <f t="shared" si="3"/>
      </c>
    </row>
    <row r="59" spans="1:10">
      <c r="A59" s="2">
        <v>46189</v>
      </c>
      <c r="B59" t="s">
        <v>268</v>
      </c>
      <c r="C59" t="s">
        <v>3</v>
      </c>
      <c r="D59" t="s">
        <v>155</v>
      </c>
      <c r="E59">
        <f>VLOOKUP(TablaMarimba[[#This Row],[Equipo]],Catalogos!$I$4:$J$35,2,FALSE)</f>
      </c>
      <c r="F59" s="3"/>
      <c r="G59" s="367">
        <v>30</v>
      </c>
      <c r="H59" s="3">
        <f t="shared" si="2"/>
      </c>
      <c r="I59" s="4">
        <v>28.3</v>
      </c>
      <c r="J59" s="4">
        <f t="shared" si="3"/>
      </c>
    </row>
    <row r="60" spans="1:10">
      <c r="A60" s="2">
        <v>46189</v>
      </c>
      <c r="B60" t="s">
        <v>268</v>
      </c>
      <c r="C60" t="s">
        <v>3</v>
      </c>
      <c r="D60" t="s">
        <v>139</v>
      </c>
      <c r="E60">
        <f>VLOOKUP(TablaMarimba[[#This Row],[Equipo]],Catalogos!$I$4:$J$35,2,FALSE)</f>
      </c>
      <c r="F60" s="3"/>
      <c r="G60" s="367">
        <v>30</v>
      </c>
      <c r="H60" s="3">
        <f t="shared" si="2"/>
      </c>
      <c r="I60" s="4">
        <v>28.3</v>
      </c>
      <c r="J60" s="4">
        <f t="shared" si="3"/>
      </c>
    </row>
    <row r="61" spans="1:10">
      <c r="A61" s="2">
        <v>46189</v>
      </c>
      <c r="B61" t="s">
        <v>268</v>
      </c>
      <c r="C61" t="s">
        <v>3</v>
      </c>
      <c r="D61" t="s">
        <v>134</v>
      </c>
      <c r="E61">
        <f>VLOOKUP(TablaMarimba[[#This Row],[Equipo]],Catalogos!$I$4:$J$35,2,FALSE)</f>
      </c>
      <c r="F61" s="3"/>
      <c r="G61" s="367">
        <v>107</v>
      </c>
      <c r="H61" s="3">
        <f t="shared" si="2"/>
      </c>
      <c r="I61" s="4">
        <v>28.3</v>
      </c>
      <c r="J61" s="4">
        <f t="shared" si="3"/>
      </c>
    </row>
    <row r="62" spans="1:10">
      <c r="A62" s="2">
        <v>46189</v>
      </c>
      <c r="B62" t="s">
        <v>268</v>
      </c>
      <c r="C62" t="s">
        <v>3</v>
      </c>
      <c r="D62" t="s">
        <v>81</v>
      </c>
      <c r="E62">
        <f>VLOOKUP(TablaMarimba[[#This Row],[Equipo]],Catalogos!$I$4:$J$35,2,FALSE)</f>
      </c>
      <c r="F62" s="3"/>
      <c r="G62" s="367">
        <v>40</v>
      </c>
      <c r="H62" s="3">
        <f t="shared" si="2"/>
      </c>
      <c r="I62" s="4">
        <v>28.3</v>
      </c>
      <c r="J62" s="4">
        <f t="shared" si="3"/>
      </c>
    </row>
    <row r="63" spans="1:10">
      <c r="A63" s="2">
        <v>46189</v>
      </c>
      <c r="B63" t="s">
        <v>268</v>
      </c>
      <c r="C63" t="s">
        <v>3</v>
      </c>
      <c r="D63" t="s">
        <v>86</v>
      </c>
      <c r="E63">
        <f>VLOOKUP(TablaMarimba[[#This Row],[Equipo]],Catalogos!$I$4:$J$35,2,FALSE)</f>
      </c>
      <c r="F63" s="3"/>
      <c r="G63" s="367">
        <v>50</v>
      </c>
      <c r="H63" s="3">
        <f t="shared" si="2"/>
      </c>
      <c r="I63" s="4">
        <v>28.3</v>
      </c>
      <c r="J63" s="4">
        <f t="shared" si="3"/>
      </c>
    </row>
    <row r="64" spans="1:10">
      <c r="A64" s="2">
        <v>46190</v>
      </c>
      <c r="B64" t="s">
        <v>197</v>
      </c>
      <c r="C64" t="s">
        <v>186</v>
      </c>
      <c r="D64" t="s">
        <v>253</v>
      </c>
      <c r="E64">
        <f>VLOOKUP(TablaMarimba[[#This Row],[Equipo]],Catalogos!$I$4:$J$35,2,FALSE)</f>
      </c>
      <c r="F64" s="3">
        <f>TablaMarimba[[#This Row],[Existencia Teórica]]-H63</f>
      </c>
      <c r="G64" s="367"/>
      <c r="H64" s="3">
        <v>520</v>
      </c>
      <c r="I64" s="4"/>
      <c r="J64" s="4"/>
    </row>
    <row r="65" spans="1:10">
      <c r="A65" s="2">
        <v>46190</v>
      </c>
      <c r="B65" t="s">
        <v>268</v>
      </c>
      <c r="C65" t="s">
        <v>3</v>
      </c>
      <c r="D65" t="s">
        <v>145</v>
      </c>
      <c r="E65">
        <f>VLOOKUP(TablaMarimba[[#This Row],[Equipo]],Catalogos!$I$4:$J$35,2,FALSE)</f>
      </c>
      <c r="F65" s="3"/>
      <c r="G65" s="367">
        <v>200</v>
      </c>
      <c r="H65" s="3">
        <f>IF(ROW()=5,F65-G65,H64+F65-G65)</f>
      </c>
      <c r="I65" s="4">
        <v>28.3</v>
      </c>
      <c r="J65" s="4">
        <f t="shared" si="3"/>
      </c>
    </row>
    <row r="66" spans="1:10">
      <c r="A66" s="2">
        <v>46190</v>
      </c>
      <c r="B66" t="s">
        <v>268</v>
      </c>
      <c r="C66" t="s">
        <v>3</v>
      </c>
      <c r="D66" t="s">
        <v>156</v>
      </c>
      <c r="E66">
        <f>VLOOKUP(TablaMarimba[[#This Row],[Equipo]],Catalogos!$I$4:$J$35,2,FALSE)</f>
      </c>
      <c r="F66" s="3"/>
      <c r="G66" s="367">
        <v>120</v>
      </c>
      <c r="H66" s="3">
        <f t="shared" ref="H66:H129" si="4">IF(ROW()=5,F66-G66,H65+F66-G66)</f>
      </c>
      <c r="I66" s="4">
        <v>28.3</v>
      </c>
      <c r="J66" s="4">
        <f t="shared" si="3"/>
      </c>
    </row>
    <row r="67" spans="1:10">
      <c r="A67" s="2">
        <v>46190</v>
      </c>
      <c r="B67" t="s">
        <v>268</v>
      </c>
      <c r="C67" t="s">
        <v>3</v>
      </c>
      <c r="D67" t="s">
        <v>158</v>
      </c>
      <c r="E67">
        <f>VLOOKUP(TablaMarimba[[#This Row],[Equipo]],Catalogos!$I$4:$J$35,2,FALSE)</f>
      </c>
      <c r="F67" s="3"/>
      <c r="G67" s="367">
        <v>32</v>
      </c>
      <c r="H67" s="3">
        <f t="shared" si="4"/>
      </c>
      <c r="I67" s="4">
        <v>28.3</v>
      </c>
      <c r="J67" s="4">
        <f t="shared" si="3"/>
      </c>
    </row>
    <row r="68" spans="1:10">
      <c r="A68" s="2">
        <v>46190</v>
      </c>
      <c r="B68" t="s">
        <v>268</v>
      </c>
      <c r="C68" t="s">
        <v>3</v>
      </c>
      <c r="D68" t="s">
        <v>155</v>
      </c>
      <c r="E68">
        <f>VLOOKUP(TablaMarimba[[#This Row],[Equipo]],Catalogos!$I$4:$J$35,2,FALSE)</f>
      </c>
      <c r="F68" s="3"/>
      <c r="G68" s="367">
        <v>30</v>
      </c>
      <c r="H68" s="3">
        <f t="shared" si="4"/>
      </c>
      <c r="I68" s="4">
        <v>28.3</v>
      </c>
      <c r="J68" s="4">
        <f t="shared" si="3"/>
      </c>
    </row>
    <row r="69" spans="1:10">
      <c r="A69" s="2">
        <v>46190</v>
      </c>
      <c r="B69" t="s">
        <v>268</v>
      </c>
      <c r="C69" t="s">
        <v>3</v>
      </c>
      <c r="D69" t="s">
        <v>139</v>
      </c>
      <c r="E69">
        <f>VLOOKUP(TablaMarimba[[#This Row],[Equipo]],Catalogos!$I$4:$J$35,2,FALSE)</f>
      </c>
      <c r="F69" s="3"/>
      <c r="G69" s="367">
        <v>28</v>
      </c>
      <c r="H69" s="3">
        <f t="shared" si="4"/>
      </c>
      <c r="I69" s="4">
        <v>28.3</v>
      </c>
      <c r="J69" s="4">
        <f t="shared" si="3"/>
      </c>
    </row>
    <row r="70" spans="1:10">
      <c r="A70" s="2">
        <v>46190</v>
      </c>
      <c r="B70" t="s">
        <v>268</v>
      </c>
      <c r="C70" t="s">
        <v>3</v>
      </c>
      <c r="D70" t="s">
        <v>81</v>
      </c>
      <c r="E70">
        <f>VLOOKUP(TablaMarimba[[#This Row],[Equipo]],Catalogos!$I$4:$J$35,2,FALSE)</f>
      </c>
      <c r="F70" s="3"/>
      <c r="G70" s="367">
        <v>60</v>
      </c>
      <c r="H70" s="3">
        <f t="shared" si="4"/>
      </c>
      <c r="I70" s="4">
        <v>28.3</v>
      </c>
      <c r="J70" s="4">
        <f t="shared" si="3"/>
      </c>
    </row>
    <row r="71" spans="1:10">
      <c r="A71" s="2">
        <v>46190</v>
      </c>
      <c r="B71" t="s">
        <v>268</v>
      </c>
      <c r="C71" t="s">
        <v>3</v>
      </c>
      <c r="D71" t="s">
        <v>86</v>
      </c>
      <c r="E71">
        <f>VLOOKUP(TablaMarimba[[#This Row],[Equipo]],Catalogos!$I$4:$J$35,2,FALSE)</f>
      </c>
      <c r="G71" s="367">
        <v>50</v>
      </c>
      <c r="H71" s="3">
        <f t="shared" si="4"/>
      </c>
      <c r="I71" s="4">
        <v>28.3</v>
      </c>
      <c r="J71" s="4">
        <f>IFERROR((F72+G72)*I71,0)</f>
      </c>
    </row>
    <row r="72" spans="1:10">
      <c r="A72" s="2">
        <v>46191</v>
      </c>
      <c r="B72" t="s">
        <v>268</v>
      </c>
      <c r="C72" t="s">
        <v>3</v>
      </c>
      <c r="D72" t="s">
        <v>145</v>
      </c>
      <c r="E72">
        <f>VLOOKUP(TablaMarimba[[#This Row],[Equipo]],Catalogos!$I$4:$J$35,2,FALSE)</f>
      </c>
      <c r="F72" s="3"/>
      <c r="G72" s="367">
        <v>200</v>
      </c>
      <c r="H72" s="3">
        <f t="shared" si="4"/>
      </c>
      <c r="I72" s="4">
        <v>28.3</v>
      </c>
      <c r="J72" s="4">
        <f>IFERROR((F73+G73)*I72,0)</f>
      </c>
    </row>
    <row r="73" spans="1:10">
      <c r="A73" s="2">
        <v>46191</v>
      </c>
      <c r="B73" t="s">
        <v>268</v>
      </c>
      <c r="C73" t="s">
        <v>3</v>
      </c>
      <c r="D73" t="s">
        <v>134</v>
      </c>
      <c r="E73">
        <f>VLOOKUP(TablaMarimba[[#This Row],[Equipo]],Catalogos!$I$4:$J$35,2,FALSE)</f>
      </c>
      <c r="F73" s="3"/>
      <c r="G73" s="367">
        <v>115</v>
      </c>
      <c r="H73" s="3">
        <f t="shared" si="4"/>
      </c>
      <c r="I73" s="4">
        <v>28.3</v>
      </c>
      <c r="J73" s="4">
        <f>IFERROR((F74+G74)*I73,0)</f>
      </c>
    </row>
    <row r="74" spans="1:10">
      <c r="A74" s="2">
        <v>46191</v>
      </c>
      <c r="B74" t="s">
        <v>268</v>
      </c>
      <c r="C74" t="s">
        <v>3</v>
      </c>
      <c r="D74" t="s">
        <v>155</v>
      </c>
      <c r="E74">
        <f>VLOOKUP(TablaMarimba[[#This Row],[Equipo]],Catalogos!$I$4:$J$35,2,FALSE)</f>
      </c>
      <c r="F74" s="3"/>
      <c r="G74" s="367">
        <v>30</v>
      </c>
      <c r="H74" s="3">
        <f t="shared" si="4"/>
      </c>
      <c r="I74" s="4">
        <v>28.3</v>
      </c>
      <c r="J74" s="4">
        <f>IFERROR((F75+G75)*I74,0)</f>
      </c>
    </row>
    <row r="75" spans="1:10">
      <c r="A75" s="2">
        <v>46191</v>
      </c>
      <c r="B75" t="s">
        <v>268</v>
      </c>
      <c r="C75" t="s">
        <v>3</v>
      </c>
      <c r="D75" t="s">
        <v>158</v>
      </c>
      <c r="E75">
        <f>VLOOKUP(TablaMarimba[[#This Row],[Equipo]],Catalogos!$I$4:$J$35,2,FALSE)</f>
      </c>
      <c r="F75" s="3"/>
      <c r="G75" s="367">
        <v>30</v>
      </c>
      <c r="H75" s="3">
        <f t="shared" si="4"/>
      </c>
      <c r="I75" s="4">
        <v>28.3</v>
      </c>
      <c r="J75" s="4">
        <f>IFERROR((#REF!+#REF!)*I75,0)</f>
      </c>
    </row>
    <row r="76" spans="1:10">
      <c r="A76" s="2"/>
      <c r="E76">
        <f>VLOOKUP(TablaMarimba[[#This Row],[Equipo]],Catalogos!$I$4:$J$35,2,FALSE)</f>
      </c>
      <c r="F76" s="3"/>
      <c r="G76" s="367"/>
      <c r="H76" s="3">
        <f t="shared" si="4"/>
      </c>
      <c r="I76" s="4">
        <v>28.3</v>
      </c>
      <c r="J76" s="4">
        <f t="shared" ref="J76:J102" si="5">IFERROR((F76+G76)*I76,0)</f>
      </c>
    </row>
    <row r="77" spans="1:10">
      <c r="A77" s="2"/>
      <c r="E77">
        <f>VLOOKUP(TablaMarimba[[#This Row],[Equipo]],Catalogos!$I$4:$J$35,2,FALSE)</f>
      </c>
      <c r="F77" s="3"/>
      <c r="G77" s="367"/>
      <c r="H77" s="3">
        <f t="shared" si="4"/>
      </c>
      <c r="I77" s="4">
        <v>28.3</v>
      </c>
      <c r="J77" s="4">
        <f t="shared" si="5"/>
      </c>
    </row>
    <row r="78" spans="1:10">
      <c r="A78" s="2"/>
      <c r="E78">
        <f>VLOOKUP(TablaMarimba[[#This Row],[Equipo]],Catalogos!$I$4:$J$35,2,FALSE)</f>
      </c>
      <c r="F78" s="3"/>
      <c r="G78" s="367"/>
      <c r="H78" s="3">
        <f t="shared" si="4"/>
      </c>
      <c r="I78" s="4">
        <v>28.3</v>
      </c>
      <c r="J78" s="4">
        <f t="shared" si="5"/>
      </c>
    </row>
    <row r="79" spans="1:10">
      <c r="A79" s="2"/>
      <c r="E79">
        <f>VLOOKUP(TablaMarimba[[#This Row],[Equipo]],Catalogos!$I$4:$J$35,2,FALSE)</f>
      </c>
      <c r="F79" s="3"/>
      <c r="G79" s="367"/>
      <c r="H79" s="3">
        <f t="shared" si="4"/>
      </c>
      <c r="I79" s="4">
        <v>28.3</v>
      </c>
      <c r="J79" s="4">
        <f t="shared" si="5"/>
      </c>
    </row>
    <row r="80" spans="1:10">
      <c r="A80" s="2"/>
      <c r="E80">
        <f>VLOOKUP(TablaMarimba[[#This Row],[Equipo]],Catalogos!$I$4:$J$35,2,FALSE)</f>
      </c>
      <c r="F80" s="3"/>
      <c r="G80" s="367"/>
      <c r="H80" s="3">
        <f t="shared" si="4"/>
      </c>
      <c r="I80" s="4">
        <v>28.3</v>
      </c>
      <c r="J80" s="4">
        <f t="shared" si="5"/>
      </c>
    </row>
    <row r="81" spans="1:10">
      <c r="A81" s="2"/>
      <c r="E81">
        <f>VLOOKUP(TablaMarimba[[#This Row],[Equipo]],Catalogos!$I$4:$J$35,2,FALSE)</f>
      </c>
      <c r="F81" s="3"/>
      <c r="G81" s="367"/>
      <c r="H81" s="3">
        <f t="shared" si="4"/>
      </c>
      <c r="I81" s="4">
        <v>28.3</v>
      </c>
      <c r="J81" s="4">
        <f t="shared" si="5"/>
      </c>
    </row>
    <row r="82" spans="1:10">
      <c r="A82" s="2"/>
      <c r="E82">
        <f>VLOOKUP(TablaMarimba[[#This Row],[Equipo]],Catalogos!$I$4:$J$35,2,FALSE)</f>
      </c>
      <c r="F82" s="3"/>
      <c r="G82" s="367"/>
      <c r="H82" s="3">
        <f t="shared" si="4"/>
      </c>
      <c r="I82" s="4">
        <v>28.3</v>
      </c>
      <c r="J82" s="4">
        <f t="shared" si="5"/>
      </c>
    </row>
    <row r="83" spans="1:10">
      <c r="A83" s="2"/>
      <c r="E83">
        <f>VLOOKUP(TablaMarimba[[#This Row],[Equipo]],Catalogos!$I$4:$J$35,2,FALSE)</f>
      </c>
      <c r="F83" s="3"/>
      <c r="G83" s="367"/>
      <c r="H83" s="3">
        <f t="shared" si="4"/>
      </c>
      <c r="I83" s="4">
        <v>28.3</v>
      </c>
      <c r="J83" s="4">
        <f t="shared" si="5"/>
      </c>
    </row>
    <row r="84" spans="1:10">
      <c r="A84" s="2"/>
      <c r="E84">
        <f>VLOOKUP(TablaMarimba[[#This Row],[Equipo]],Catalogos!$I$4:$J$35,2,FALSE)</f>
      </c>
      <c r="F84" s="3"/>
      <c r="G84" s="367"/>
      <c r="H84" s="3">
        <f t="shared" si="4"/>
      </c>
      <c r="I84" s="4">
        <v>28.3</v>
      </c>
      <c r="J84" s="4">
        <f t="shared" si="5"/>
      </c>
    </row>
    <row r="85" spans="1:10">
      <c r="A85" s="2"/>
      <c r="E85">
        <f>VLOOKUP(TablaMarimba[[#This Row],[Equipo]],Catalogos!$I$4:$J$35,2,FALSE)</f>
      </c>
      <c r="F85" s="3"/>
      <c r="G85" s="367"/>
      <c r="H85" s="3">
        <f t="shared" si="4"/>
      </c>
      <c r="I85" s="4">
        <v>28.3</v>
      </c>
      <c r="J85" s="4">
        <f t="shared" si="5"/>
      </c>
    </row>
    <row r="86" spans="1:10">
      <c r="A86" s="2"/>
      <c r="E86">
        <f>VLOOKUP(TablaMarimba[[#This Row],[Equipo]],Catalogos!$I$4:$J$35,2,FALSE)</f>
      </c>
      <c r="F86" s="3"/>
      <c r="G86" s="367"/>
      <c r="H86" s="3">
        <f t="shared" si="4"/>
      </c>
      <c r="I86" s="4">
        <v>28.3</v>
      </c>
      <c r="J86" s="4">
        <f t="shared" si="5"/>
      </c>
    </row>
    <row r="87" spans="1:10">
      <c r="A87" s="2"/>
      <c r="E87">
        <f>VLOOKUP(TablaMarimba[[#This Row],[Equipo]],Catalogos!$I$4:$J$35,2,FALSE)</f>
      </c>
      <c r="F87" s="3"/>
      <c r="G87" s="367"/>
      <c r="H87" s="3">
        <f t="shared" si="4"/>
      </c>
      <c r="I87" s="4">
        <v>28.3</v>
      </c>
      <c r="J87" s="4">
        <f t="shared" si="5"/>
      </c>
    </row>
    <row r="88" spans="1:10">
      <c r="A88" s="2"/>
      <c r="E88">
        <f>VLOOKUP(TablaMarimba[[#This Row],[Equipo]],Catalogos!$I$4:$J$35,2,FALSE)</f>
      </c>
      <c r="F88" s="3"/>
      <c r="G88" s="367"/>
      <c r="H88" s="3">
        <f t="shared" si="4"/>
      </c>
      <c r="I88" s="4">
        <v>28.3</v>
      </c>
      <c r="J88" s="4">
        <f t="shared" si="5"/>
      </c>
    </row>
    <row r="89" spans="1:10">
      <c r="A89" s="2"/>
      <c r="E89">
        <f>VLOOKUP(TablaMarimba[[#This Row],[Equipo]],Catalogos!$I$4:$J$35,2,FALSE)</f>
      </c>
      <c r="F89" s="3"/>
      <c r="G89" s="367"/>
      <c r="H89" s="3">
        <f t="shared" si="4"/>
      </c>
      <c r="I89" s="4">
        <v>28.3</v>
      </c>
      <c r="J89" s="4">
        <f t="shared" si="5"/>
      </c>
    </row>
    <row r="90" spans="1:10">
      <c r="A90" s="2"/>
      <c r="E90">
        <f>VLOOKUP(TablaMarimba[[#This Row],[Equipo]],Catalogos!$I$4:$J$35,2,FALSE)</f>
      </c>
      <c r="F90" s="3"/>
      <c r="G90" s="367"/>
      <c r="H90" s="3">
        <f t="shared" si="4"/>
      </c>
      <c r="I90" s="4">
        <v>28.3</v>
      </c>
      <c r="J90" s="4">
        <f t="shared" si="5"/>
      </c>
    </row>
    <row r="91" spans="1:10">
      <c r="A91" s="2"/>
      <c r="E91">
        <f>VLOOKUP(TablaMarimba[[#This Row],[Equipo]],Catalogos!$I$4:$J$35,2,FALSE)</f>
      </c>
      <c r="F91" s="3"/>
      <c r="G91" s="367"/>
      <c r="H91" s="3">
        <f t="shared" si="4"/>
      </c>
      <c r="I91" s="4">
        <v>28.3</v>
      </c>
      <c r="J91" s="4">
        <f t="shared" si="5"/>
      </c>
    </row>
    <row r="92" spans="1:10">
      <c r="A92" s="2"/>
      <c r="E92">
        <f>VLOOKUP(TablaMarimba[[#This Row],[Equipo]],Catalogos!$I$4:$J$35,2,FALSE)</f>
      </c>
      <c r="F92" s="3"/>
      <c r="G92" s="367"/>
      <c r="H92" s="3">
        <f t="shared" si="4"/>
      </c>
      <c r="I92" s="4">
        <v>28.3</v>
      </c>
      <c r="J92" s="4">
        <f t="shared" si="5"/>
      </c>
    </row>
    <row r="93" spans="1:10">
      <c r="A93" s="2"/>
      <c r="E93">
        <f>VLOOKUP(TablaMarimba[[#This Row],[Equipo]],Catalogos!$I$4:$J$35,2,FALSE)</f>
      </c>
      <c r="F93" s="3"/>
      <c r="G93" s="367"/>
      <c r="H93" s="3">
        <f t="shared" si="4"/>
      </c>
      <c r="I93" s="4">
        <v>28.3</v>
      </c>
      <c r="J93" s="4">
        <f t="shared" si="5"/>
      </c>
    </row>
    <row r="94" spans="1:10">
      <c r="A94" s="2"/>
      <c r="E94">
        <f>VLOOKUP(TablaMarimba[[#This Row],[Equipo]],Catalogos!$I$4:$J$35,2,FALSE)</f>
      </c>
      <c r="F94" s="3"/>
      <c r="G94" s="367"/>
      <c r="H94" s="3">
        <f t="shared" si="4"/>
      </c>
      <c r="I94" s="4">
        <v>28.3</v>
      </c>
      <c r="J94" s="4">
        <f t="shared" si="5"/>
      </c>
    </row>
    <row r="95" spans="1:10">
      <c r="A95" s="2"/>
      <c r="E95">
        <f>VLOOKUP(TablaMarimba[[#This Row],[Equipo]],Catalogos!$I$4:$J$35,2,FALSE)</f>
      </c>
      <c r="F95" s="3"/>
      <c r="G95" s="367"/>
      <c r="H95" s="3">
        <f t="shared" si="4"/>
      </c>
      <c r="I95" s="4">
        <v>28.3</v>
      </c>
      <c r="J95" s="4">
        <f t="shared" si="5"/>
      </c>
    </row>
    <row r="96" spans="1:10">
      <c r="A96" s="2"/>
      <c r="E96">
        <f>VLOOKUP(TablaMarimba[[#This Row],[Equipo]],Catalogos!$I$4:$J$35,2,FALSE)</f>
      </c>
      <c r="F96" s="3"/>
      <c r="G96" s="367"/>
      <c r="H96" s="3">
        <f t="shared" si="4"/>
      </c>
      <c r="I96" s="4">
        <v>28.3</v>
      </c>
      <c r="J96" s="4">
        <f t="shared" si="5"/>
      </c>
    </row>
    <row r="97" spans="1:10">
      <c r="A97" s="2"/>
      <c r="E97">
        <f>VLOOKUP(TablaMarimba[[#This Row],[Equipo]],Catalogos!$I$4:$J$35,2,FALSE)</f>
      </c>
      <c r="F97" s="3"/>
      <c r="G97" s="367"/>
      <c r="H97" s="3">
        <f t="shared" si="4"/>
      </c>
      <c r="I97" s="4">
        <v>28.3</v>
      </c>
      <c r="J97" s="4">
        <f t="shared" si="5"/>
      </c>
    </row>
    <row r="98" spans="1:10">
      <c r="A98" s="2"/>
      <c r="E98">
        <f>VLOOKUP(TablaMarimba[[#This Row],[Equipo]],Catalogos!$I$4:$J$35,2,FALSE)</f>
      </c>
      <c r="F98" s="3"/>
      <c r="G98" s="367"/>
      <c r="H98" s="3">
        <f t="shared" si="4"/>
      </c>
      <c r="I98" s="4">
        <v>28.3</v>
      </c>
      <c r="J98" s="4">
        <f t="shared" si="5"/>
      </c>
    </row>
    <row r="99" spans="1:10">
      <c r="A99" s="2"/>
      <c r="E99">
        <f>VLOOKUP(TablaMarimba[[#This Row],[Equipo]],Catalogos!$I$4:$J$35,2,FALSE)</f>
      </c>
      <c r="F99" s="3"/>
      <c r="G99" s="367"/>
      <c r="H99" s="3">
        <f t="shared" si="4"/>
      </c>
      <c r="I99" s="4">
        <v>28.3</v>
      </c>
      <c r="J99" s="4">
        <f t="shared" si="5"/>
      </c>
    </row>
    <row r="100" spans="1:10">
      <c r="A100" s="2"/>
      <c r="E100">
        <f>VLOOKUP(TablaMarimba[[#This Row],[Equipo]],Catalogos!$I$4:$J$35,2,FALSE)</f>
      </c>
      <c r="F100" s="3"/>
      <c r="G100" s="367"/>
      <c r="H100" s="3">
        <f t="shared" si="4"/>
      </c>
      <c r="I100" s="4">
        <v>28.3</v>
      </c>
      <c r="J100" s="4">
        <f t="shared" si="5"/>
      </c>
    </row>
    <row r="101" spans="1:10">
      <c r="A101" s="2"/>
      <c r="E101">
        <f>VLOOKUP(TablaMarimba[[#This Row],[Equipo]],Catalogos!$I$4:$J$35,2,FALSE)</f>
      </c>
      <c r="F101" s="3"/>
      <c r="G101" s="367"/>
      <c r="H101" s="3">
        <f t="shared" si="4"/>
      </c>
      <c r="I101" s="4">
        <v>28.3</v>
      </c>
      <c r="J101" s="4">
        <f t="shared" si="5"/>
      </c>
    </row>
    <row r="102" spans="1:10">
      <c r="A102" s="2"/>
      <c r="E102">
        <f>VLOOKUP(TablaMarimba[[#This Row],[Equipo]],Catalogos!$I$4:$J$35,2,FALSE)</f>
      </c>
      <c r="F102" s="3"/>
      <c r="G102" s="367"/>
      <c r="H102" s="3">
        <f t="shared" si="4"/>
      </c>
      <c r="I102" s="4">
        <v>28.3</v>
      </c>
      <c r="J102" s="4">
        <f t="shared" si="5"/>
      </c>
    </row>
    <row r="103" spans="1:10">
      <c r="A103" s="2"/>
      <c r="E103">
        <f>VLOOKUP(TablaMarimba[[#This Row],[Equipo]],Catalogos!$I$4:$J$35,2,FALSE)</f>
      </c>
      <c r="F103" s="3"/>
      <c r="G103" s="367"/>
      <c r="H103" s="3">
        <f t="shared" si="4"/>
      </c>
      <c r="I103" s="4">
        <v>28.3</v>
      </c>
      <c r="J103" s="4">
        <f t="shared" ref="J103:J134" si="6">IFERROR((F103+G103)*I103,0)</f>
      </c>
    </row>
    <row r="104" spans="1:10">
      <c r="A104" s="2"/>
      <c r="E104">
        <f>VLOOKUP(TablaMarimba[[#This Row],[Equipo]],Catalogos!$I$4:$J$35,2,FALSE)</f>
      </c>
      <c r="F104" s="3"/>
      <c r="G104" s="367"/>
      <c r="H104" s="3">
        <f t="shared" si="4"/>
      </c>
      <c r="I104" s="4">
        <v>28.3</v>
      </c>
      <c r="J104" s="4">
        <f t="shared" si="6"/>
      </c>
    </row>
    <row r="105" spans="1:10">
      <c r="A105" s="2"/>
      <c r="E105">
        <f>VLOOKUP(TablaMarimba[[#This Row],[Equipo]],Catalogos!$I$4:$J$35,2,FALSE)</f>
      </c>
      <c r="F105" s="3"/>
      <c r="G105" s="367"/>
      <c r="H105" s="3">
        <f t="shared" si="4"/>
      </c>
      <c r="I105" s="4">
        <v>28.3</v>
      </c>
      <c r="J105" s="4">
        <f t="shared" si="6"/>
      </c>
    </row>
    <row r="106" spans="1:10">
      <c r="A106" s="2"/>
      <c r="E106">
        <f>VLOOKUP(TablaMarimba[[#This Row],[Equipo]],Catalogos!$I$4:$J$35,2,FALSE)</f>
      </c>
      <c r="F106" s="3"/>
      <c r="G106" s="367"/>
      <c r="H106" s="3">
        <f t="shared" si="4"/>
      </c>
      <c r="I106" s="4">
        <v>28.3</v>
      </c>
      <c r="J106" s="4">
        <f t="shared" si="6"/>
      </c>
    </row>
    <row r="107" spans="1:10">
      <c r="A107" s="2"/>
      <c r="E107">
        <f>VLOOKUP(TablaMarimba[[#This Row],[Equipo]],Catalogos!$I$4:$J$35,2,FALSE)</f>
      </c>
      <c r="F107" s="3"/>
      <c r="G107" s="367"/>
      <c r="H107" s="3">
        <f t="shared" si="4"/>
      </c>
      <c r="I107" s="4">
        <v>28.3</v>
      </c>
      <c r="J107" s="4">
        <f t="shared" si="6"/>
      </c>
    </row>
    <row r="108" spans="1:10">
      <c r="A108" s="2"/>
      <c r="E108">
        <f>VLOOKUP(TablaMarimba[[#This Row],[Equipo]],Catalogos!$I$4:$J$35,2,FALSE)</f>
      </c>
      <c r="F108" s="3"/>
      <c r="G108" s="367"/>
      <c r="H108" s="3">
        <f t="shared" si="4"/>
      </c>
      <c r="I108" s="4">
        <v>28.3</v>
      </c>
      <c r="J108" s="4">
        <f t="shared" si="6"/>
      </c>
    </row>
    <row r="109" spans="1:10">
      <c r="A109" s="2"/>
      <c r="E109">
        <f>VLOOKUP(TablaMarimba[[#This Row],[Equipo]],Catalogos!$I$4:$J$35,2,FALSE)</f>
      </c>
      <c r="F109" s="3"/>
      <c r="G109" s="367"/>
      <c r="H109" s="3">
        <f t="shared" si="4"/>
      </c>
      <c r="I109" s="4">
        <v>28.3</v>
      </c>
      <c r="J109" s="4">
        <f t="shared" si="6"/>
      </c>
    </row>
    <row r="110" spans="1:10">
      <c r="A110" s="2"/>
      <c r="E110">
        <f>VLOOKUP(TablaMarimba[[#This Row],[Equipo]],Catalogos!$I$4:$J$35,2,FALSE)</f>
      </c>
      <c r="F110" s="3"/>
      <c r="G110" s="367"/>
      <c r="H110" s="3">
        <f t="shared" si="4"/>
      </c>
      <c r="I110" s="4">
        <v>28.3</v>
      </c>
      <c r="J110" s="4">
        <f t="shared" si="6"/>
      </c>
    </row>
    <row r="111" spans="1:10">
      <c r="A111" s="2"/>
      <c r="E111">
        <f>VLOOKUP(TablaMarimba[[#This Row],[Equipo]],Catalogos!$I$4:$J$35,2,FALSE)</f>
      </c>
      <c r="F111" s="3"/>
      <c r="G111" s="367"/>
      <c r="H111" s="3">
        <f t="shared" si="4"/>
      </c>
      <c r="I111" s="4">
        <v>28.3</v>
      </c>
      <c r="J111" s="4">
        <f t="shared" si="6"/>
      </c>
    </row>
    <row r="112" spans="1:10">
      <c r="A112" s="2"/>
      <c r="E112">
        <f>VLOOKUP(TablaMarimba[[#This Row],[Equipo]],Catalogos!$I$4:$J$35,2,FALSE)</f>
      </c>
      <c r="F112" s="3"/>
      <c r="G112" s="367"/>
      <c r="H112" s="3">
        <f t="shared" si="4"/>
      </c>
      <c r="I112" s="4">
        <v>28.3</v>
      </c>
      <c r="J112" s="4">
        <f t="shared" si="6"/>
      </c>
    </row>
    <row r="113" spans="1:10">
      <c r="A113" s="2"/>
      <c r="E113">
        <f>VLOOKUP(TablaMarimba[[#This Row],[Equipo]],Catalogos!$I$4:$J$35,2,FALSE)</f>
      </c>
      <c r="F113" s="3"/>
      <c r="G113" s="367"/>
      <c r="H113" s="3">
        <f t="shared" si="4"/>
      </c>
      <c r="I113" s="4">
        <v>28.3</v>
      </c>
      <c r="J113" s="4">
        <f t="shared" si="6"/>
      </c>
    </row>
    <row r="114" spans="1:10">
      <c r="A114" s="2"/>
      <c r="E114">
        <f>VLOOKUP(TablaMarimba[[#This Row],[Equipo]],Catalogos!$I$4:$J$35,2,FALSE)</f>
      </c>
      <c r="F114" s="3"/>
      <c r="G114" s="367"/>
      <c r="H114" s="3">
        <f t="shared" si="4"/>
      </c>
      <c r="I114" s="4">
        <v>28.3</v>
      </c>
      <c r="J114" s="4">
        <f t="shared" si="6"/>
      </c>
    </row>
    <row r="115" spans="1:10">
      <c r="A115" s="2"/>
      <c r="E115">
        <f>VLOOKUP(TablaMarimba[[#This Row],[Equipo]],Catalogos!$I$4:$J$35,2,FALSE)</f>
      </c>
      <c r="F115" s="3"/>
      <c r="G115" s="367"/>
      <c r="H115" s="3">
        <f t="shared" si="4"/>
      </c>
      <c r="I115" s="4">
        <v>28.3</v>
      </c>
      <c r="J115" s="4">
        <f t="shared" si="6"/>
      </c>
    </row>
    <row r="116" spans="1:10">
      <c r="A116" s="2"/>
      <c r="E116">
        <f>VLOOKUP(TablaMarimba[[#This Row],[Equipo]],Catalogos!$I$4:$J$35,2,FALSE)</f>
      </c>
      <c r="F116" s="3"/>
      <c r="G116" s="367"/>
      <c r="H116" s="3">
        <f t="shared" si="4"/>
      </c>
      <c r="I116" s="4">
        <v>28.3</v>
      </c>
      <c r="J116" s="4">
        <f t="shared" si="6"/>
      </c>
    </row>
    <row r="117" spans="1:10">
      <c r="A117" s="2"/>
      <c r="E117">
        <f>VLOOKUP(TablaMarimba[[#This Row],[Equipo]],Catalogos!$I$4:$J$35,2,FALSE)</f>
      </c>
      <c r="F117" s="3"/>
      <c r="G117" s="367"/>
      <c r="H117" s="3">
        <f t="shared" si="4"/>
      </c>
      <c r="I117" s="4">
        <v>28.3</v>
      </c>
      <c r="J117" s="4">
        <f t="shared" si="6"/>
      </c>
    </row>
    <row r="118" spans="1:10">
      <c r="A118" s="2"/>
      <c r="E118">
        <f>VLOOKUP(TablaMarimba[[#This Row],[Equipo]],Catalogos!$I$4:$J$35,2,FALSE)</f>
      </c>
      <c r="F118" s="3"/>
      <c r="G118" s="367"/>
      <c r="H118" s="3">
        <f t="shared" si="4"/>
      </c>
      <c r="I118" s="4">
        <v>28.3</v>
      </c>
      <c r="J118" s="4">
        <f t="shared" si="6"/>
      </c>
    </row>
    <row r="119" spans="1:10">
      <c r="A119" s="2"/>
      <c r="E119">
        <f>VLOOKUP(TablaMarimba[[#This Row],[Equipo]],Catalogos!$I$4:$J$35,2,FALSE)</f>
      </c>
      <c r="F119" s="3"/>
      <c r="G119" s="367"/>
      <c r="H119" s="3">
        <f t="shared" si="4"/>
      </c>
      <c r="I119" s="4">
        <v>28.3</v>
      </c>
      <c r="J119" s="4">
        <f t="shared" si="6"/>
      </c>
    </row>
    <row r="120" spans="1:10">
      <c r="A120" s="2"/>
      <c r="E120">
        <f>VLOOKUP(TablaMarimba[[#This Row],[Equipo]],Catalogos!$I$4:$J$35,2,FALSE)</f>
      </c>
      <c r="F120" s="3"/>
      <c r="G120" s="367"/>
      <c r="H120" s="3">
        <f t="shared" si="4"/>
      </c>
      <c r="I120" s="4">
        <v>28.3</v>
      </c>
      <c r="J120" s="4">
        <f t="shared" si="6"/>
      </c>
    </row>
    <row r="121" spans="1:10">
      <c r="A121" s="2"/>
      <c r="E121">
        <f>VLOOKUP(TablaMarimba[[#This Row],[Equipo]],Catalogos!$I$4:$J$35,2,FALSE)</f>
      </c>
      <c r="F121" s="3"/>
      <c r="G121" s="367"/>
      <c r="H121" s="3">
        <f t="shared" si="4"/>
      </c>
      <c r="I121" s="4">
        <v>28.3</v>
      </c>
      <c r="J121" s="4">
        <f t="shared" si="6"/>
      </c>
    </row>
    <row r="122" spans="1:10">
      <c r="A122" s="2"/>
      <c r="E122">
        <f>VLOOKUP(TablaMarimba[[#This Row],[Equipo]],Catalogos!$I$4:$J$35,2,FALSE)</f>
      </c>
      <c r="F122" s="3"/>
      <c r="G122" s="367"/>
      <c r="H122" s="3">
        <f t="shared" si="4"/>
      </c>
      <c r="I122" s="4">
        <v>28.3</v>
      </c>
      <c r="J122" s="4">
        <f t="shared" si="6"/>
      </c>
    </row>
    <row r="123" spans="1:10">
      <c r="A123" s="2"/>
      <c r="E123">
        <f>VLOOKUP(TablaMarimba[[#This Row],[Equipo]],Catalogos!$I$4:$J$35,2,FALSE)</f>
      </c>
      <c r="F123" s="3"/>
      <c r="G123" s="367"/>
      <c r="H123" s="3">
        <f t="shared" si="4"/>
      </c>
      <c r="I123" s="4">
        <v>28.3</v>
      </c>
      <c r="J123" s="4">
        <f t="shared" si="6"/>
      </c>
    </row>
    <row r="124" spans="1:10">
      <c r="A124" s="2"/>
      <c r="E124">
        <f>VLOOKUP(TablaMarimba[[#This Row],[Equipo]],Catalogos!$I$4:$J$35,2,FALSE)</f>
      </c>
      <c r="F124" s="3"/>
      <c r="G124" s="367"/>
      <c r="H124" s="3">
        <f t="shared" si="4"/>
      </c>
      <c r="I124" s="4">
        <v>28.3</v>
      </c>
      <c r="J124" s="4">
        <f t="shared" si="6"/>
      </c>
    </row>
    <row r="125" spans="1:10">
      <c r="A125" s="2"/>
      <c r="E125">
        <f>VLOOKUP(TablaMarimba[[#This Row],[Equipo]],Catalogos!$I$4:$J$35,2,FALSE)</f>
      </c>
      <c r="F125" s="3"/>
      <c r="G125" s="367"/>
      <c r="H125" s="3">
        <f t="shared" si="4"/>
      </c>
      <c r="I125" s="4">
        <v>28.3</v>
      </c>
      <c r="J125" s="4">
        <f t="shared" si="6"/>
      </c>
    </row>
    <row r="126" spans="1:10">
      <c r="A126" s="2"/>
      <c r="E126">
        <f>VLOOKUP(TablaMarimba[[#This Row],[Equipo]],Catalogos!$I$4:$J$35,2,FALSE)</f>
      </c>
      <c r="F126" s="3"/>
      <c r="G126" s="367"/>
      <c r="H126" s="3">
        <f t="shared" si="4"/>
      </c>
      <c r="I126" s="4">
        <v>28.3</v>
      </c>
      <c r="J126" s="4">
        <f t="shared" si="6"/>
      </c>
    </row>
    <row r="127" spans="1:10">
      <c r="A127" s="2"/>
      <c r="E127">
        <f>VLOOKUP(TablaMarimba[[#This Row],[Equipo]],Catalogos!$I$4:$J$35,2,FALSE)</f>
      </c>
      <c r="F127" s="3"/>
      <c r="G127" s="367"/>
      <c r="H127" s="3">
        <f t="shared" si="4"/>
      </c>
      <c r="I127" s="4">
        <v>28.3</v>
      </c>
      <c r="J127" s="4">
        <f t="shared" si="6"/>
      </c>
    </row>
    <row r="128" spans="1:10">
      <c r="A128" s="2"/>
      <c r="E128">
        <f>VLOOKUP(TablaMarimba[[#This Row],[Equipo]],Catalogos!$I$4:$J$35,2,FALSE)</f>
      </c>
      <c r="F128" s="3"/>
      <c r="G128" s="367"/>
      <c r="H128" s="3">
        <f t="shared" si="4"/>
      </c>
      <c r="I128" s="4">
        <v>28.3</v>
      </c>
      <c r="J128" s="4">
        <f t="shared" si="6"/>
      </c>
    </row>
    <row r="129" spans="1:10">
      <c r="A129" s="2"/>
      <c r="E129">
        <f>VLOOKUP(TablaMarimba[[#This Row],[Equipo]],Catalogos!$I$4:$J$35,2,FALSE)</f>
      </c>
      <c r="F129" s="3"/>
      <c r="G129" s="367"/>
      <c r="H129" s="3">
        <f t="shared" si="4"/>
      </c>
      <c r="I129" s="4">
        <v>28.3</v>
      </c>
      <c r="J129" s="4">
        <f t="shared" si="6"/>
      </c>
    </row>
    <row r="130" spans="1:10">
      <c r="A130" s="2"/>
      <c r="E130">
        <f>VLOOKUP(TablaMarimba[[#This Row],[Equipo]],Catalogos!$I$4:$J$35,2,FALSE)</f>
      </c>
      <c r="F130" s="3"/>
      <c r="G130" s="367"/>
      <c r="H130" s="3">
        <f t="shared" ref="H130:H193" si="7">IF(ROW()=5,F130-G130,H129+F130-G130)</f>
      </c>
      <c r="I130" s="4">
        <v>28.3</v>
      </c>
      <c r="J130" s="4">
        <f t="shared" si="6"/>
      </c>
    </row>
    <row r="131" spans="1:10">
      <c r="A131" s="2"/>
      <c r="E131">
        <f>VLOOKUP(TablaMarimba[[#This Row],[Equipo]],Catalogos!$I$4:$J$35,2,FALSE)</f>
      </c>
      <c r="F131" s="3"/>
      <c r="G131" s="367"/>
      <c r="H131" s="3">
        <f t="shared" si="7"/>
      </c>
      <c r="I131" s="4">
        <v>28.3</v>
      </c>
      <c r="J131" s="4">
        <f t="shared" si="6"/>
      </c>
    </row>
    <row r="132" spans="1:10">
      <c r="A132" s="2"/>
      <c r="E132">
        <f>VLOOKUP(TablaMarimba[[#This Row],[Equipo]],Catalogos!$I$4:$J$35,2,FALSE)</f>
      </c>
      <c r="F132" s="3"/>
      <c r="G132" s="367"/>
      <c r="H132" s="3">
        <f t="shared" si="7"/>
      </c>
      <c r="I132" s="4">
        <v>28.3</v>
      </c>
      <c r="J132" s="4">
        <f t="shared" si="6"/>
      </c>
    </row>
    <row r="133" spans="1:10">
      <c r="A133" s="2"/>
      <c r="E133">
        <f>VLOOKUP(TablaMarimba[[#This Row],[Equipo]],Catalogos!$I$4:$J$35,2,FALSE)</f>
      </c>
      <c r="F133" s="3"/>
      <c r="G133" s="367"/>
      <c r="H133" s="3">
        <f t="shared" si="7"/>
      </c>
      <c r="I133" s="4">
        <v>28.3</v>
      </c>
      <c r="J133" s="4">
        <f t="shared" si="6"/>
      </c>
    </row>
    <row r="134" spans="1:10">
      <c r="A134" s="2"/>
      <c r="E134">
        <f>VLOOKUP(TablaMarimba[[#This Row],[Equipo]],Catalogos!$I$4:$J$35,2,FALSE)</f>
      </c>
      <c r="F134" s="3"/>
      <c r="G134" s="367"/>
      <c r="H134" s="3">
        <f t="shared" si="7"/>
      </c>
      <c r="I134" s="4">
        <v>28.3</v>
      </c>
      <c r="J134" s="4">
        <f t="shared" si="6"/>
      </c>
    </row>
    <row r="135" spans="1:10">
      <c r="A135" s="2"/>
      <c r="E135">
        <f>VLOOKUP(TablaMarimba[[#This Row],[Equipo]],Catalogos!$I$4:$J$35,2,FALSE)</f>
      </c>
      <c r="F135" s="3"/>
      <c r="G135" s="367"/>
      <c r="H135" s="3">
        <f t="shared" si="7"/>
      </c>
      <c r="I135" s="4">
        <v>28.3</v>
      </c>
      <c r="J135" s="4">
        <f t="shared" ref="J135:J166" si="8">IFERROR((F135+G135)*I135,0)</f>
      </c>
    </row>
    <row r="136" spans="1:10">
      <c r="A136" s="2"/>
      <c r="E136">
        <f>VLOOKUP(TablaMarimba[[#This Row],[Equipo]],Catalogos!$I$4:$J$35,2,FALSE)</f>
      </c>
      <c r="F136" s="3"/>
      <c r="G136" s="367"/>
      <c r="H136" s="3">
        <f t="shared" si="7"/>
      </c>
      <c r="I136" s="4">
        <v>28.3</v>
      </c>
      <c r="J136" s="4">
        <f t="shared" si="8"/>
      </c>
    </row>
    <row r="137" spans="1:10">
      <c r="A137" s="2"/>
      <c r="E137">
        <f>VLOOKUP(TablaMarimba[[#This Row],[Equipo]],Catalogos!$I$4:$J$35,2,FALSE)</f>
      </c>
      <c r="F137" s="3"/>
      <c r="G137" s="367"/>
      <c r="H137" s="3">
        <f t="shared" si="7"/>
      </c>
      <c r="I137" s="4">
        <v>28.3</v>
      </c>
      <c r="J137" s="4">
        <f t="shared" si="8"/>
      </c>
    </row>
    <row r="138" spans="1:10">
      <c r="A138" s="2"/>
      <c r="E138">
        <f>VLOOKUP(TablaMarimba[[#This Row],[Equipo]],Catalogos!$I$4:$J$35,2,FALSE)</f>
      </c>
      <c r="F138" s="3"/>
      <c r="G138" s="367"/>
      <c r="H138" s="3">
        <f t="shared" si="7"/>
      </c>
      <c r="I138" s="4">
        <v>28.3</v>
      </c>
      <c r="J138" s="4">
        <f t="shared" si="8"/>
      </c>
    </row>
    <row r="139" spans="1:10">
      <c r="A139" s="2"/>
      <c r="E139">
        <f>VLOOKUP(TablaMarimba[[#This Row],[Equipo]],Catalogos!$I$4:$J$35,2,FALSE)</f>
      </c>
      <c r="F139" s="3"/>
      <c r="G139" s="367"/>
      <c r="H139" s="3">
        <f t="shared" si="7"/>
      </c>
      <c r="I139" s="4">
        <v>28.3</v>
      </c>
      <c r="J139" s="4">
        <f t="shared" si="8"/>
      </c>
    </row>
    <row r="140" spans="1:10">
      <c r="A140" s="2"/>
      <c r="E140">
        <f>VLOOKUP(TablaMarimba[[#This Row],[Equipo]],Catalogos!$I$4:$J$35,2,FALSE)</f>
      </c>
      <c r="F140" s="3"/>
      <c r="G140" s="367"/>
      <c r="H140" s="3">
        <f t="shared" si="7"/>
      </c>
      <c r="I140" s="4">
        <v>28.3</v>
      </c>
      <c r="J140" s="4">
        <f t="shared" si="8"/>
      </c>
    </row>
    <row r="141" spans="1:10">
      <c r="A141" s="2"/>
      <c r="E141">
        <f>VLOOKUP(TablaMarimba[[#This Row],[Equipo]],Catalogos!$I$4:$J$35,2,FALSE)</f>
      </c>
      <c r="F141" s="3"/>
      <c r="G141" s="367"/>
      <c r="H141" s="3">
        <f t="shared" si="7"/>
      </c>
      <c r="I141" s="4">
        <v>28.3</v>
      </c>
      <c r="J141" s="4">
        <f t="shared" si="8"/>
      </c>
    </row>
    <row r="142" spans="1:10">
      <c r="A142" s="2"/>
      <c r="E142">
        <f>VLOOKUP(TablaMarimba[[#This Row],[Equipo]],Catalogos!$I$4:$J$35,2,FALSE)</f>
      </c>
      <c r="F142" s="3"/>
      <c r="G142" s="367"/>
      <c r="H142" s="3">
        <f t="shared" si="7"/>
      </c>
      <c r="I142" s="4">
        <v>28.3</v>
      </c>
      <c r="J142" s="4">
        <f t="shared" si="8"/>
      </c>
    </row>
    <row r="143" spans="1:10">
      <c r="A143" s="2"/>
      <c r="E143">
        <f>VLOOKUP(TablaMarimba[[#This Row],[Equipo]],Catalogos!$I$4:$J$35,2,FALSE)</f>
      </c>
      <c r="F143" s="3"/>
      <c r="G143" s="367"/>
      <c r="H143" s="3">
        <f t="shared" si="7"/>
      </c>
      <c r="I143" s="4">
        <v>28.3</v>
      </c>
      <c r="J143" s="4">
        <f t="shared" si="8"/>
      </c>
    </row>
    <row r="144" spans="1:10">
      <c r="A144" s="2"/>
      <c r="E144">
        <f>VLOOKUP(TablaMarimba[[#This Row],[Equipo]],Catalogos!$I$4:$J$35,2,FALSE)</f>
      </c>
      <c r="F144" s="3"/>
      <c r="G144" s="367"/>
      <c r="H144" s="3">
        <f t="shared" si="7"/>
      </c>
      <c r="I144" s="4">
        <v>28.3</v>
      </c>
      <c r="J144" s="4">
        <f t="shared" si="8"/>
      </c>
    </row>
    <row r="145" spans="1:10">
      <c r="A145" s="2"/>
      <c r="E145">
        <f>VLOOKUP(TablaMarimba[[#This Row],[Equipo]],Catalogos!$I$4:$J$35,2,FALSE)</f>
      </c>
      <c r="F145" s="3"/>
      <c r="G145" s="367"/>
      <c r="H145" s="3">
        <f t="shared" si="7"/>
      </c>
      <c r="I145" s="4">
        <v>28.3</v>
      </c>
      <c r="J145" s="4">
        <f t="shared" si="8"/>
      </c>
    </row>
    <row r="146" spans="1:10">
      <c r="A146" s="2"/>
      <c r="E146">
        <f>VLOOKUP(TablaMarimba[[#This Row],[Equipo]],Catalogos!$I$4:$J$35,2,FALSE)</f>
      </c>
      <c r="F146" s="3"/>
      <c r="G146" s="367"/>
      <c r="H146" s="3">
        <f t="shared" si="7"/>
      </c>
      <c r="I146" s="4">
        <v>28.3</v>
      </c>
      <c r="J146" s="4">
        <f t="shared" si="8"/>
      </c>
    </row>
    <row r="147" spans="1:10">
      <c r="A147" s="2"/>
      <c r="E147">
        <f>VLOOKUP(TablaMarimba[[#This Row],[Equipo]],Catalogos!$I$4:$J$35,2,FALSE)</f>
      </c>
      <c r="F147" s="3"/>
      <c r="G147" s="367"/>
      <c r="H147" s="3">
        <f t="shared" si="7"/>
      </c>
      <c r="I147" s="4">
        <v>28.3</v>
      </c>
      <c r="J147" s="4">
        <f t="shared" si="8"/>
      </c>
    </row>
    <row r="148" spans="1:10">
      <c r="A148" s="2"/>
      <c r="E148">
        <f>VLOOKUP(TablaMarimba[[#This Row],[Equipo]],Catalogos!$I$4:$J$35,2,FALSE)</f>
      </c>
      <c r="F148" s="3"/>
      <c r="G148" s="367"/>
      <c r="H148" s="3">
        <f t="shared" si="7"/>
      </c>
      <c r="I148" s="4">
        <v>28.3</v>
      </c>
      <c r="J148" s="4">
        <f t="shared" si="8"/>
      </c>
    </row>
    <row r="149" spans="1:10">
      <c r="A149" s="2"/>
      <c r="E149">
        <f>VLOOKUP(TablaMarimba[[#This Row],[Equipo]],Catalogos!$I$4:$J$35,2,FALSE)</f>
      </c>
      <c r="F149" s="3"/>
      <c r="G149" s="367"/>
      <c r="H149" s="3">
        <f t="shared" si="7"/>
      </c>
      <c r="I149" s="4">
        <v>28.3</v>
      </c>
      <c r="J149" s="4">
        <f t="shared" si="8"/>
      </c>
    </row>
    <row r="150" spans="1:10">
      <c r="A150" s="2"/>
      <c r="E150">
        <f>VLOOKUP(TablaMarimba[[#This Row],[Equipo]],Catalogos!$I$4:$J$35,2,FALSE)</f>
      </c>
      <c r="F150" s="3"/>
      <c r="G150" s="367"/>
      <c r="H150" s="3">
        <f t="shared" si="7"/>
      </c>
      <c r="I150" s="4">
        <v>28.3</v>
      </c>
      <c r="J150" s="4">
        <f t="shared" si="8"/>
      </c>
    </row>
    <row r="151" spans="1:10">
      <c r="A151" s="2"/>
      <c r="E151">
        <f>VLOOKUP(TablaMarimba[[#This Row],[Equipo]],Catalogos!$I$4:$J$35,2,FALSE)</f>
      </c>
      <c r="F151" s="3"/>
      <c r="G151" s="367"/>
      <c r="H151" s="3">
        <f t="shared" si="7"/>
      </c>
      <c r="I151" s="4">
        <v>28.3</v>
      </c>
      <c r="J151" s="4">
        <f t="shared" si="8"/>
      </c>
    </row>
    <row r="152" spans="1:10">
      <c r="A152" s="2"/>
      <c r="E152">
        <f>VLOOKUP(TablaMarimba[[#This Row],[Equipo]],Catalogos!$I$4:$J$35,2,FALSE)</f>
      </c>
      <c r="F152" s="3"/>
      <c r="G152" s="367"/>
      <c r="H152" s="3">
        <f t="shared" si="7"/>
      </c>
      <c r="I152" s="4">
        <v>28.3</v>
      </c>
      <c r="J152" s="4">
        <f t="shared" si="8"/>
      </c>
    </row>
    <row r="153" spans="1:10">
      <c r="A153" s="2"/>
      <c r="E153">
        <f>VLOOKUP(TablaMarimba[[#This Row],[Equipo]],Catalogos!$I$4:$J$35,2,FALSE)</f>
      </c>
      <c r="F153" s="3"/>
      <c r="G153" s="367"/>
      <c r="H153" s="3">
        <f t="shared" si="7"/>
      </c>
      <c r="I153" s="4">
        <v>28.3</v>
      </c>
      <c r="J153" s="4">
        <f t="shared" si="8"/>
      </c>
    </row>
    <row r="154" spans="1:10">
      <c r="A154" s="2"/>
      <c r="E154">
        <f>VLOOKUP(TablaMarimba[[#This Row],[Equipo]],Catalogos!$I$4:$J$35,2,FALSE)</f>
      </c>
      <c r="F154" s="3"/>
      <c r="G154" s="367"/>
      <c r="H154" s="3">
        <f t="shared" si="7"/>
      </c>
      <c r="I154" s="4">
        <v>28.3</v>
      </c>
      <c r="J154" s="4">
        <f t="shared" si="8"/>
      </c>
    </row>
    <row r="155" spans="1:10">
      <c r="A155" s="2"/>
      <c r="E155">
        <f>VLOOKUP(TablaMarimba[[#This Row],[Equipo]],Catalogos!$I$4:$J$35,2,FALSE)</f>
      </c>
      <c r="F155" s="3"/>
      <c r="G155" s="367"/>
      <c r="H155" s="3">
        <f t="shared" si="7"/>
      </c>
      <c r="I155" s="4">
        <v>28.3</v>
      </c>
      <c r="J155" s="4">
        <f t="shared" si="8"/>
      </c>
    </row>
    <row r="156" spans="1:10">
      <c r="A156" s="2"/>
      <c r="E156">
        <f>VLOOKUP(TablaMarimba[[#This Row],[Equipo]],Catalogos!$I$4:$J$35,2,FALSE)</f>
      </c>
      <c r="F156" s="3"/>
      <c r="G156" s="367"/>
      <c r="H156" s="3">
        <f t="shared" si="7"/>
      </c>
      <c r="I156" s="4">
        <v>28.3</v>
      </c>
      <c r="J156" s="4">
        <f t="shared" si="8"/>
      </c>
    </row>
    <row r="157" spans="1:10">
      <c r="A157" s="2"/>
      <c r="E157">
        <f>VLOOKUP(TablaMarimba[[#This Row],[Equipo]],Catalogos!$I$4:$J$35,2,FALSE)</f>
      </c>
      <c r="F157" s="3"/>
      <c r="G157" s="367"/>
      <c r="H157" s="3">
        <f t="shared" si="7"/>
      </c>
      <c r="I157" s="4">
        <v>28.3</v>
      </c>
      <c r="J157" s="4">
        <f t="shared" si="8"/>
      </c>
    </row>
    <row r="158" spans="1:10">
      <c r="A158" s="2"/>
      <c r="E158">
        <f>VLOOKUP(TablaMarimba[[#This Row],[Equipo]],Catalogos!$I$4:$J$35,2,FALSE)</f>
      </c>
      <c r="F158" s="3"/>
      <c r="G158" s="367"/>
      <c r="H158" s="3">
        <f t="shared" si="7"/>
      </c>
      <c r="I158" s="4">
        <v>28.3</v>
      </c>
      <c r="J158" s="4">
        <f t="shared" si="8"/>
      </c>
    </row>
    <row r="159" spans="1:10">
      <c r="A159" s="2"/>
      <c r="E159">
        <f>VLOOKUP(TablaMarimba[[#This Row],[Equipo]],Catalogos!$I$4:$J$35,2,FALSE)</f>
      </c>
      <c r="F159" s="3"/>
      <c r="G159" s="367"/>
      <c r="H159" s="3">
        <f t="shared" si="7"/>
      </c>
      <c r="I159" s="4">
        <v>28.3</v>
      </c>
      <c r="J159" s="4">
        <f t="shared" si="8"/>
      </c>
    </row>
    <row r="160" spans="1:10">
      <c r="A160" s="2"/>
      <c r="E160">
        <f>VLOOKUP(TablaMarimba[[#This Row],[Equipo]],Catalogos!$I$4:$J$35,2,FALSE)</f>
      </c>
      <c r="F160" s="3"/>
      <c r="G160" s="367"/>
      <c r="H160" s="3">
        <f t="shared" si="7"/>
      </c>
      <c r="I160" s="4">
        <v>28.3</v>
      </c>
      <c r="J160" s="4">
        <f t="shared" si="8"/>
      </c>
    </row>
    <row r="161" spans="1:10">
      <c r="A161" s="2"/>
      <c r="E161">
        <f>VLOOKUP(TablaMarimba[[#This Row],[Equipo]],Catalogos!$I$4:$J$35,2,FALSE)</f>
      </c>
      <c r="F161" s="3"/>
      <c r="G161" s="367"/>
      <c r="H161" s="3">
        <f t="shared" si="7"/>
      </c>
      <c r="I161" s="4">
        <v>28.3</v>
      </c>
      <c r="J161" s="4">
        <f t="shared" si="8"/>
      </c>
    </row>
    <row r="162" spans="1:10">
      <c r="A162" s="2"/>
      <c r="E162">
        <f>VLOOKUP(TablaMarimba[[#This Row],[Equipo]],Catalogos!$I$4:$J$35,2,FALSE)</f>
      </c>
      <c r="F162" s="3"/>
      <c r="G162" s="367"/>
      <c r="H162" s="3">
        <f t="shared" si="7"/>
      </c>
      <c r="I162" s="4">
        <v>28.3</v>
      </c>
      <c r="J162" s="4">
        <f t="shared" si="8"/>
      </c>
    </row>
    <row r="163" spans="1:10">
      <c r="A163" s="2"/>
      <c r="E163">
        <f>VLOOKUP(TablaMarimba[[#This Row],[Equipo]],Catalogos!$I$4:$J$35,2,FALSE)</f>
      </c>
      <c r="F163" s="3"/>
      <c r="G163" s="367"/>
      <c r="H163" s="3">
        <f t="shared" si="7"/>
      </c>
      <c r="I163" s="4">
        <v>28.3</v>
      </c>
      <c r="J163" s="4">
        <f t="shared" si="8"/>
      </c>
    </row>
    <row r="164" spans="1:10">
      <c r="A164" s="2"/>
      <c r="E164">
        <f>VLOOKUP(TablaMarimba[[#This Row],[Equipo]],Catalogos!$I$4:$J$35,2,FALSE)</f>
      </c>
      <c r="F164" s="3"/>
      <c r="G164" s="367"/>
      <c r="H164" s="3">
        <f t="shared" si="7"/>
      </c>
      <c r="I164" s="4">
        <v>28.3</v>
      </c>
      <c r="J164" s="4">
        <f t="shared" si="8"/>
      </c>
    </row>
    <row r="165" spans="1:10">
      <c r="A165" s="2"/>
      <c r="E165">
        <f>VLOOKUP(TablaMarimba[[#This Row],[Equipo]],Catalogos!$I$4:$J$35,2,FALSE)</f>
      </c>
      <c r="F165" s="3"/>
      <c r="G165" s="367"/>
      <c r="H165" s="3">
        <f t="shared" si="7"/>
      </c>
      <c r="I165" s="4">
        <v>28.3</v>
      </c>
      <c r="J165" s="4">
        <f t="shared" si="8"/>
      </c>
    </row>
    <row r="166" spans="1:10">
      <c r="A166" s="2"/>
      <c r="E166">
        <f>VLOOKUP(TablaMarimba[[#This Row],[Equipo]],Catalogos!$I$4:$J$35,2,FALSE)</f>
      </c>
      <c r="F166" s="3"/>
      <c r="G166" s="367"/>
      <c r="H166" s="3">
        <f t="shared" si="7"/>
      </c>
      <c r="I166" s="4">
        <v>28.3</v>
      </c>
      <c r="J166" s="4">
        <f t="shared" si="8"/>
      </c>
    </row>
    <row r="167" spans="1:10">
      <c r="A167" s="2"/>
      <c r="E167">
        <f>VLOOKUP(TablaMarimba[[#This Row],[Equipo]],Catalogos!$I$4:$J$35,2,FALSE)</f>
      </c>
      <c r="F167" s="3"/>
      <c r="G167" s="367"/>
      <c r="H167" s="3">
        <f t="shared" si="7"/>
      </c>
      <c r="I167" s="4">
        <v>28.3</v>
      </c>
      <c r="J167" s="4">
        <f t="shared" ref="J167:J198" si="9">IFERROR((F167+G167)*I167,0)</f>
      </c>
    </row>
    <row r="168" spans="1:10">
      <c r="A168" s="2"/>
      <c r="E168">
        <f>VLOOKUP(TablaMarimba[[#This Row],[Equipo]],Catalogos!$I$4:$J$35,2,FALSE)</f>
      </c>
      <c r="F168" s="3"/>
      <c r="G168" s="367"/>
      <c r="H168" s="3">
        <f t="shared" si="7"/>
      </c>
      <c r="I168" s="4">
        <v>28.3</v>
      </c>
      <c r="J168" s="4">
        <f t="shared" si="9"/>
      </c>
    </row>
    <row r="169" spans="1:10">
      <c r="A169" s="2"/>
      <c r="E169">
        <f>VLOOKUP(TablaMarimba[[#This Row],[Equipo]],Catalogos!$I$4:$J$35,2,FALSE)</f>
      </c>
      <c r="F169" s="3"/>
      <c r="G169" s="367"/>
      <c r="H169" s="3">
        <f t="shared" si="7"/>
      </c>
      <c r="I169" s="4">
        <v>28.3</v>
      </c>
      <c r="J169" s="4">
        <f t="shared" si="9"/>
      </c>
    </row>
    <row r="170" spans="1:10">
      <c r="A170" s="2"/>
      <c r="E170">
        <f>VLOOKUP(TablaMarimba[[#This Row],[Equipo]],Catalogos!$I$4:$J$35,2,FALSE)</f>
      </c>
      <c r="F170" s="3"/>
      <c r="G170" s="367"/>
      <c r="H170" s="3">
        <f t="shared" si="7"/>
      </c>
      <c r="I170" s="4">
        <v>28.3</v>
      </c>
      <c r="J170" s="4">
        <f t="shared" si="9"/>
      </c>
    </row>
    <row r="171" spans="1:10">
      <c r="A171" s="2"/>
      <c r="E171">
        <f>VLOOKUP(TablaMarimba[[#This Row],[Equipo]],Catalogos!$I$4:$J$35,2,FALSE)</f>
      </c>
      <c r="F171" s="3"/>
      <c r="G171" s="367"/>
      <c r="H171" s="3">
        <f t="shared" si="7"/>
      </c>
      <c r="I171" s="4">
        <v>28.3</v>
      </c>
      <c r="J171" s="4">
        <f t="shared" si="9"/>
      </c>
    </row>
    <row r="172" spans="1:10">
      <c r="A172" s="2"/>
      <c r="E172">
        <f>VLOOKUP(TablaMarimba[[#This Row],[Equipo]],Catalogos!$I$4:$J$35,2,FALSE)</f>
      </c>
      <c r="F172" s="3"/>
      <c r="G172" s="367"/>
      <c r="H172" s="3">
        <f t="shared" si="7"/>
      </c>
      <c r="I172" s="4">
        <v>28.3</v>
      </c>
      <c r="J172" s="4">
        <f t="shared" si="9"/>
      </c>
    </row>
    <row r="173" spans="1:10">
      <c r="A173" s="2"/>
      <c r="E173">
        <f>VLOOKUP(TablaMarimba[[#This Row],[Equipo]],Catalogos!$I$4:$J$35,2,FALSE)</f>
      </c>
      <c r="F173" s="3"/>
      <c r="G173" s="367"/>
      <c r="H173" s="3">
        <f t="shared" si="7"/>
      </c>
      <c r="I173" s="4">
        <v>28.3</v>
      </c>
      <c r="J173" s="4">
        <f t="shared" si="9"/>
      </c>
    </row>
    <row r="174" spans="1:10">
      <c r="A174" s="2"/>
      <c r="E174">
        <f>VLOOKUP(TablaMarimba[[#This Row],[Equipo]],Catalogos!$I$4:$J$35,2,FALSE)</f>
      </c>
      <c r="F174" s="3"/>
      <c r="G174" s="367"/>
      <c r="H174" s="3">
        <f t="shared" si="7"/>
      </c>
      <c r="I174" s="4">
        <v>28.3</v>
      </c>
      <c r="J174" s="4">
        <f t="shared" si="9"/>
      </c>
    </row>
    <row r="175" spans="1:10">
      <c r="A175" s="2"/>
      <c r="E175">
        <f>VLOOKUP(TablaMarimba[[#This Row],[Equipo]],Catalogos!$I$4:$J$35,2,FALSE)</f>
      </c>
      <c r="F175" s="3"/>
      <c r="G175" s="367"/>
      <c r="H175" s="3">
        <f t="shared" si="7"/>
      </c>
      <c r="I175" s="4">
        <v>28.3</v>
      </c>
      <c r="J175" s="4">
        <f t="shared" si="9"/>
      </c>
    </row>
    <row r="176" spans="1:10">
      <c r="A176" s="2"/>
      <c r="E176">
        <f>VLOOKUP(TablaMarimba[[#This Row],[Equipo]],Catalogos!$I$4:$J$35,2,FALSE)</f>
      </c>
      <c r="F176" s="3"/>
      <c r="G176" s="367"/>
      <c r="H176" s="3">
        <f t="shared" si="7"/>
      </c>
      <c r="I176" s="4">
        <v>28.3</v>
      </c>
      <c r="J176" s="4">
        <f t="shared" si="9"/>
      </c>
    </row>
    <row r="177" spans="1:10">
      <c r="A177" s="2"/>
      <c r="E177">
        <f>VLOOKUP(TablaMarimba[[#This Row],[Equipo]],Catalogos!$I$4:$J$35,2,FALSE)</f>
      </c>
      <c r="F177" s="3"/>
      <c r="G177" s="367"/>
      <c r="H177" s="3">
        <f t="shared" si="7"/>
      </c>
      <c r="I177" s="4">
        <v>28.3</v>
      </c>
      <c r="J177" s="4">
        <f t="shared" si="9"/>
      </c>
    </row>
    <row r="178" spans="1:10">
      <c r="A178" s="2"/>
      <c r="E178">
        <f>VLOOKUP(TablaMarimba[[#This Row],[Equipo]],Catalogos!$I$4:$J$35,2,FALSE)</f>
      </c>
      <c r="F178" s="3"/>
      <c r="G178" s="367"/>
      <c r="H178" s="3">
        <f t="shared" si="7"/>
      </c>
      <c r="I178" s="4">
        <v>28.3</v>
      </c>
      <c r="J178" s="4">
        <f t="shared" si="9"/>
      </c>
    </row>
    <row r="179" spans="1:10">
      <c r="A179" s="2"/>
      <c r="E179">
        <f>VLOOKUP(TablaMarimba[[#This Row],[Equipo]],Catalogos!$I$4:$J$35,2,FALSE)</f>
      </c>
      <c r="F179" s="3"/>
      <c r="G179" s="367"/>
      <c r="H179" s="3">
        <f t="shared" si="7"/>
      </c>
      <c r="I179" s="4">
        <v>28.3</v>
      </c>
      <c r="J179" s="4">
        <f t="shared" si="9"/>
      </c>
    </row>
    <row r="180" spans="1:10">
      <c r="A180" s="2"/>
      <c r="E180">
        <f>VLOOKUP(TablaMarimba[[#This Row],[Equipo]],Catalogos!$I$4:$J$35,2,FALSE)</f>
      </c>
      <c r="F180" s="3"/>
      <c r="G180" s="367"/>
      <c r="H180" s="3">
        <f t="shared" si="7"/>
      </c>
      <c r="I180" s="4">
        <v>28.3</v>
      </c>
      <c r="J180" s="4">
        <f t="shared" si="9"/>
      </c>
    </row>
    <row r="181" spans="1:10">
      <c r="A181" s="2"/>
      <c r="E181">
        <f>VLOOKUP(TablaMarimba[[#This Row],[Equipo]],Catalogos!$I$4:$J$35,2,FALSE)</f>
      </c>
      <c r="F181" s="3"/>
      <c r="G181" s="367"/>
      <c r="H181" s="3">
        <f t="shared" si="7"/>
      </c>
      <c r="I181" s="4">
        <v>28.3</v>
      </c>
      <c r="J181" s="4">
        <f t="shared" si="9"/>
      </c>
    </row>
    <row r="182" spans="1:10">
      <c r="A182" s="2"/>
      <c r="E182">
        <f>VLOOKUP(TablaMarimba[[#This Row],[Equipo]],Catalogos!$I$4:$J$35,2,FALSE)</f>
      </c>
      <c r="F182" s="3"/>
      <c r="G182" s="367"/>
      <c r="H182" s="3">
        <f t="shared" si="7"/>
      </c>
      <c r="I182" s="4">
        <v>28.3</v>
      </c>
      <c r="J182" s="4">
        <f t="shared" si="9"/>
      </c>
    </row>
    <row r="183" spans="1:10">
      <c r="A183" s="2"/>
      <c r="E183">
        <f>VLOOKUP(TablaMarimba[[#This Row],[Equipo]],Catalogos!$I$4:$J$35,2,FALSE)</f>
      </c>
      <c r="F183" s="3"/>
      <c r="G183" s="367"/>
      <c r="H183" s="3">
        <f t="shared" si="7"/>
      </c>
      <c r="I183" s="4">
        <v>28.3</v>
      </c>
      <c r="J183" s="4">
        <f t="shared" si="9"/>
      </c>
    </row>
    <row r="184" spans="1:10">
      <c r="A184" s="2"/>
      <c r="E184">
        <f>VLOOKUP(TablaMarimba[[#This Row],[Equipo]],Catalogos!$I$4:$J$35,2,FALSE)</f>
      </c>
      <c r="F184" s="3"/>
      <c r="G184" s="367"/>
      <c r="H184" s="3">
        <f t="shared" si="7"/>
      </c>
      <c r="I184" s="4">
        <v>28.3</v>
      </c>
      <c r="J184" s="4">
        <f t="shared" si="9"/>
      </c>
    </row>
    <row r="185" spans="1:10">
      <c r="A185" s="2"/>
      <c r="E185">
        <f>VLOOKUP(TablaMarimba[[#This Row],[Equipo]],Catalogos!$I$4:$J$35,2,FALSE)</f>
      </c>
      <c r="F185" s="3"/>
      <c r="G185" s="367"/>
      <c r="H185" s="3">
        <f t="shared" si="7"/>
      </c>
      <c r="I185" s="4">
        <v>28.3</v>
      </c>
      <c r="J185" s="4">
        <f t="shared" si="9"/>
      </c>
    </row>
    <row r="186" spans="1:10">
      <c r="A186" s="2"/>
      <c r="E186">
        <f>VLOOKUP(TablaMarimba[[#This Row],[Equipo]],Catalogos!$I$4:$J$35,2,FALSE)</f>
      </c>
      <c r="F186" s="3"/>
      <c r="G186" s="367"/>
      <c r="H186" s="3">
        <f t="shared" si="7"/>
      </c>
      <c r="I186" s="4">
        <v>28.3</v>
      </c>
      <c r="J186" s="4">
        <f t="shared" si="9"/>
      </c>
    </row>
    <row r="187" spans="1:10">
      <c r="A187" s="2"/>
      <c r="E187">
        <f>VLOOKUP(TablaMarimba[[#This Row],[Equipo]],Catalogos!$I$4:$J$35,2,FALSE)</f>
      </c>
      <c r="F187" s="3"/>
      <c r="G187" s="367"/>
      <c r="H187" s="3">
        <f t="shared" si="7"/>
      </c>
      <c r="I187" s="4">
        <v>28.3</v>
      </c>
      <c r="J187" s="4">
        <f t="shared" si="9"/>
      </c>
    </row>
    <row r="188" spans="1:10">
      <c r="A188" s="2"/>
      <c r="E188">
        <f>VLOOKUP(TablaMarimba[[#This Row],[Equipo]],Catalogos!$I$4:$J$35,2,FALSE)</f>
      </c>
      <c r="F188" s="3"/>
      <c r="G188" s="367"/>
      <c r="H188" s="3">
        <f t="shared" si="7"/>
      </c>
      <c r="I188" s="4">
        <v>28.3</v>
      </c>
      <c r="J188" s="4">
        <f t="shared" si="9"/>
      </c>
    </row>
    <row r="189" spans="1:10">
      <c r="A189" s="2"/>
      <c r="E189">
        <f>VLOOKUP(TablaMarimba[[#This Row],[Equipo]],Catalogos!$I$4:$J$35,2,FALSE)</f>
      </c>
      <c r="F189" s="3"/>
      <c r="G189" s="367"/>
      <c r="H189" s="3">
        <f t="shared" si="7"/>
      </c>
      <c r="I189" s="4">
        <v>28.3</v>
      </c>
      <c r="J189" s="4">
        <f t="shared" si="9"/>
      </c>
    </row>
    <row r="190" spans="1:10">
      <c r="A190" s="2"/>
      <c r="E190">
        <f>VLOOKUP(TablaMarimba[[#This Row],[Equipo]],Catalogos!$I$4:$J$35,2,FALSE)</f>
      </c>
      <c r="F190" s="3"/>
      <c r="G190" s="367"/>
      <c r="H190" s="3">
        <f t="shared" si="7"/>
      </c>
      <c r="I190" s="4">
        <v>28.3</v>
      </c>
      <c r="J190" s="4">
        <f t="shared" si="9"/>
      </c>
    </row>
    <row r="191" spans="1:10">
      <c r="A191" s="2"/>
      <c r="E191">
        <f>VLOOKUP(TablaMarimba[[#This Row],[Equipo]],Catalogos!$I$4:$J$35,2,FALSE)</f>
      </c>
      <c r="F191" s="3"/>
      <c r="G191" s="367"/>
      <c r="H191" s="3">
        <f t="shared" si="7"/>
      </c>
      <c r="I191" s="4">
        <v>28.3</v>
      </c>
      <c r="J191" s="4">
        <f t="shared" si="9"/>
      </c>
    </row>
    <row r="192" spans="1:10">
      <c r="A192" s="2"/>
      <c r="E192">
        <f>VLOOKUP(TablaMarimba[[#This Row],[Equipo]],Catalogos!$I$4:$J$35,2,FALSE)</f>
      </c>
      <c r="F192" s="3"/>
      <c r="G192" s="367"/>
      <c r="H192" s="3">
        <f t="shared" si="7"/>
      </c>
      <c r="I192" s="4">
        <v>28.3</v>
      </c>
      <c r="J192" s="4">
        <f t="shared" si="9"/>
      </c>
    </row>
    <row r="193" spans="1:10">
      <c r="A193" s="2"/>
      <c r="E193">
        <f>VLOOKUP(TablaMarimba[[#This Row],[Equipo]],Catalogos!$I$4:$J$35,2,FALSE)</f>
      </c>
      <c r="F193" s="3"/>
      <c r="G193" s="367"/>
      <c r="H193" s="3">
        <f t="shared" si="7"/>
      </c>
      <c r="I193" s="4">
        <v>28.3</v>
      </c>
      <c r="J193" s="4">
        <f t="shared" si="9"/>
      </c>
    </row>
    <row r="194" spans="1:10">
      <c r="A194" s="2"/>
      <c r="E194">
        <f>VLOOKUP(TablaMarimba[[#This Row],[Equipo]],Catalogos!$I$4:$J$35,2,FALSE)</f>
      </c>
      <c r="F194" s="3"/>
      <c r="G194" s="367"/>
      <c r="H194" s="3">
        <f t="shared" ref="H194:H206" si="10">IF(ROW()=5,F194-G194,H193+F194-G194)</f>
      </c>
      <c r="I194" s="4">
        <v>28.3</v>
      </c>
      <c r="J194" s="4">
        <f t="shared" si="9"/>
      </c>
    </row>
    <row r="195" spans="1:10">
      <c r="A195" s="2"/>
      <c r="E195">
        <f>VLOOKUP(TablaMarimba[[#This Row],[Equipo]],Catalogos!$I$4:$J$35,2,FALSE)</f>
      </c>
      <c r="F195" s="3"/>
      <c r="G195" s="367"/>
      <c r="H195" s="3">
        <f t="shared" si="10"/>
      </c>
      <c r="I195" s="4">
        <v>28.3</v>
      </c>
      <c r="J195" s="4">
        <f t="shared" si="9"/>
      </c>
    </row>
    <row r="196" spans="1:10">
      <c r="A196" s="2"/>
      <c r="E196">
        <f>VLOOKUP(TablaMarimba[[#This Row],[Equipo]],Catalogos!$I$4:$J$35,2,FALSE)</f>
      </c>
      <c r="F196" s="3"/>
      <c r="G196" s="367"/>
      <c r="H196" s="3">
        <f t="shared" si="10"/>
      </c>
      <c r="I196" s="4">
        <v>28.3</v>
      </c>
      <c r="J196" s="4">
        <f t="shared" si="9"/>
      </c>
    </row>
    <row r="197" spans="1:10">
      <c r="A197" s="2"/>
      <c r="E197">
        <f>VLOOKUP(TablaMarimba[[#This Row],[Equipo]],Catalogos!$I$4:$J$35,2,FALSE)</f>
      </c>
      <c r="F197" s="3"/>
      <c r="G197" s="367"/>
      <c r="H197" s="3">
        <f t="shared" si="10"/>
      </c>
      <c r="I197" s="4">
        <v>28.3</v>
      </c>
      <c r="J197" s="4">
        <f t="shared" si="9"/>
      </c>
    </row>
    <row r="198" spans="1:10">
      <c r="A198" s="2"/>
      <c r="E198">
        <f>VLOOKUP(TablaMarimba[[#This Row],[Equipo]],Catalogos!$I$4:$J$35,2,FALSE)</f>
      </c>
      <c r="F198" s="3"/>
      <c r="G198" s="367"/>
      <c r="H198" s="3">
        <f t="shared" si="10"/>
      </c>
      <c r="I198" s="4">
        <v>28.3</v>
      </c>
      <c r="J198" s="4">
        <f t="shared" si="9"/>
      </c>
    </row>
    <row r="199" spans="1:10">
      <c r="A199" s="2"/>
      <c r="E199">
        <f>VLOOKUP(TablaMarimba[[#This Row],[Equipo]],Catalogos!$I$4:$J$35,2,FALSE)</f>
      </c>
      <c r="F199" s="3"/>
      <c r="G199" s="367"/>
      <c r="H199" s="3">
        <f t="shared" si="10"/>
      </c>
      <c r="I199" s="4">
        <v>28.3</v>
      </c>
      <c r="J199" s="4">
        <f t="shared" ref="J199:J206" si="11">IFERROR((F199+G199)*I199,0)</f>
      </c>
    </row>
    <row r="200" spans="1:10">
      <c r="A200" s="2"/>
      <c r="E200">
        <f>VLOOKUP(TablaMarimba[[#This Row],[Equipo]],Catalogos!$I$4:$J$35,2,FALSE)</f>
      </c>
      <c r="F200" s="3"/>
      <c r="G200" s="367"/>
      <c r="H200" s="3">
        <f t="shared" si="10"/>
      </c>
      <c r="I200" s="4">
        <v>28.3</v>
      </c>
      <c r="J200" s="4">
        <f t="shared" si="11"/>
      </c>
    </row>
    <row r="201" spans="1:10">
      <c r="A201" s="2"/>
      <c r="E201">
        <f>VLOOKUP(TablaMarimba[[#This Row],[Equipo]],Catalogos!$I$4:$J$35,2,FALSE)</f>
      </c>
      <c r="F201" s="3"/>
      <c r="G201" s="367"/>
      <c r="H201" s="3">
        <f t="shared" si="10"/>
      </c>
      <c r="I201" s="4">
        <v>28.3</v>
      </c>
      <c r="J201" s="4">
        <f t="shared" si="11"/>
      </c>
    </row>
    <row r="202" spans="1:10">
      <c r="A202" s="2"/>
      <c r="E202">
        <f>VLOOKUP(TablaMarimba[[#This Row],[Equipo]],Catalogos!$I$4:$J$35,2,FALSE)</f>
      </c>
      <c r="F202" s="3"/>
      <c r="G202" s="367"/>
      <c r="H202" s="3">
        <f t="shared" si="10"/>
      </c>
      <c r="I202" s="4">
        <v>28.3</v>
      </c>
      <c r="J202" s="4">
        <f t="shared" si="11"/>
      </c>
    </row>
    <row r="203" spans="1:10">
      <c r="A203" s="2"/>
      <c r="E203">
        <f>VLOOKUP(TablaMarimba[[#This Row],[Equipo]],Catalogos!$I$4:$J$35,2,FALSE)</f>
      </c>
      <c r="F203" s="3"/>
      <c r="G203" s="367"/>
      <c r="H203" s="3">
        <f t="shared" si="10"/>
      </c>
      <c r="I203" s="4">
        <v>28.3</v>
      </c>
      <c r="J203" s="4">
        <f t="shared" si="11"/>
      </c>
    </row>
    <row r="204" spans="1:10">
      <c r="A204" s="2"/>
      <c r="E204">
        <f>VLOOKUP(TablaMarimba[[#This Row],[Equipo]],Catalogos!$I$4:$J$35,2,FALSE)</f>
      </c>
      <c r="F204" s="3"/>
      <c r="G204" s="367"/>
      <c r="H204" s="3">
        <f t="shared" si="10"/>
      </c>
      <c r="I204" s="4">
        <v>28.3</v>
      </c>
      <c r="J204" s="4">
        <f t="shared" si="11"/>
      </c>
    </row>
    <row r="205" spans="1:10">
      <c r="A205" s="2"/>
      <c r="E205">
        <f>VLOOKUP(TablaMarimba[[#This Row],[Equipo]],Catalogos!$I$4:$J$35,2,FALSE)</f>
      </c>
      <c r="F205" s="3"/>
      <c r="G205" s="367"/>
      <c r="H205" s="3">
        <f t="shared" si="10"/>
      </c>
      <c r="I205" s="4">
        <v>28.3</v>
      </c>
      <c r="J205" s="4">
        <f t="shared" si="11"/>
      </c>
    </row>
    <row r="206" spans="1:10">
      <c r="A206" s="2"/>
      <c r="E206">
        <f>VLOOKUP(TablaMarimba[[#This Row],[Equipo]],Catalogos!$I$4:$J$35,2,FALSE)</f>
      </c>
      <c r="F206" s="3"/>
      <c r="G206" s="367"/>
      <c r="H206" s="3">
        <f t="shared" si="10"/>
      </c>
      <c r="I206" s="4">
        <v>28.3</v>
      </c>
      <c r="J206" s="4">
        <f t="shared" si="11"/>
      </c>
    </row>
  </sheetData>
  <mergeCells count="1">
    <mergeCell ref="A1:L1"/>
  </mergeCells>
  <dataValidations count="1">
    <dataValidation sqref="E5:E206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Catalogos!$B$4:$B$7</xm:f>
          </x14:formula1>
          <xm:sqref>C5:C49 C76:C206</xm:sqref>
        </x14:dataValidation>
        <x14:dataValidation type="list" allowBlank="1" showInputMessage="1" showErrorMessage="1" xr:uid="{3E6D9B6D-EF91-479C-AFA6-53D2BE2844F1}">
          <x14:formula1>
            <xm:f>Catalogos!$I$4:$I$43</xm:f>
          </x14:formula1>
          <xm:sqref>D5:D206</xm:sqref>
        </x14:dataValidation>
        <x14:dataValidation type="list" xr:uid="{AB1258C1-C8B9-41B2-995B-2C88F7526C4E}">
          <x14:formula1>
            <xm:f>Catalogos!$F$4:$F$15</xm:f>
          </x14:formula1>
          <xm:sqref>B5:B1048576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A1CC-637D-4707-AF71-E2568B1AE51D}">
  <sheetPr/>
  <sheetViews>
    <sheetView tabSelected="1" workbookViewId="0">
      <selection activeCell="K33" sqref="K33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t="s" s="404">
        <v>261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t="s">
        <v>25</v>
      </c>
      <c r="C2" t="s">
        <v>9</v>
      </c>
      <c r="E2" t="s">
        <v>10</v>
      </c>
      <c r="G2" t="s">
        <v>26</v>
      </c>
      <c r="H2" t="s">
        <v>27</v>
      </c>
      <c r="I2" t="s">
        <v>28</v>
      </c>
    </row>
    <row r="4" spans="1:12" ht="27.6">
      <c r="A4" t="s" s="1">
        <v>14</v>
      </c>
      <c r="B4" t="s" s="1">
        <v>29</v>
      </c>
      <c r="C4" t="s" s="1">
        <v>30</v>
      </c>
      <c r="D4" t="s" s="1">
        <v>31</v>
      </c>
      <c r="E4" t="s" s="1">
        <v>32</v>
      </c>
      <c r="F4" t="s" s="1">
        <v>18</v>
      </c>
      <c r="G4" t="s" s="1">
        <v>19</v>
      </c>
      <c r="H4" t="s" s="1">
        <v>20</v>
      </c>
      <c r="I4" t="s" s="1">
        <v>21</v>
      </c>
      <c r="J4" t="s" s="1">
        <v>22</v>
      </c>
      <c r="K4" t="s" s="1">
        <v>33</v>
      </c>
      <c r="L4" t="s" s="1">
        <v>23</v>
      </c>
    </row>
    <row r="5" spans="1:12">
      <c r="A5" s="2">
        <v>46168</v>
      </c>
      <c r="B5" t="s">
        <v>268</v>
      </c>
      <c r="C5" t="s">
        <v>263</v>
      </c>
      <c r="D5" t="s">
        <v>264</v>
      </c>
      <c r="E5">
        <f>VLOOKUP(TablaMarimba6[[#This Row],[Equipo]],Catalogos!$I$4:$J$54,2,FALSE)</f>
      </c>
      <c r="F5" s="3"/>
      <c r="G5" s="367">
        <v>89</v>
      </c>
      <c r="H5" s="3">
        <v>0</v>
      </c>
      <c r="I5" s="4">
        <v>27</v>
      </c>
      <c r="J5" s="4">
        <f>(TablaMarimba6[[#This Row],[Salida (L)]]*TablaMarimba6[[#This Row],[Costo/L]])</f>
      </c>
    </row>
    <row r="6" spans="1:12">
      <c r="A6" s="2">
        <v>46169</v>
      </c>
      <c r="B6" t="s">
        <v>268</v>
      </c>
      <c r="C6" t="s">
        <v>263</v>
      </c>
      <c r="D6" t="s">
        <v>264</v>
      </c>
      <c r="E6" s="407">
        <f>VLOOKUP(TablaMarimba6[[#This Row],[Equipo]],Catalogos!$I$4:$J$54,2,FALSE)</f>
      </c>
      <c r="F6" s="3"/>
      <c r="G6" s="367">
        <v>89</v>
      </c>
      <c r="H6" s="3">
        <f>IF(ROW()=5,F5-G5,H5+F5-G5)</f>
      </c>
      <c r="I6" s="4">
        <v>27</v>
      </c>
      <c r="J6" s="4">
        <f>(TablaMarimba6[[#This Row],[Salida (L)]]*TablaMarimba6[[#This Row],[Costo/L]])</f>
      </c>
    </row>
    <row r="7" spans="1:12">
      <c r="A7" s="2">
        <v>46171</v>
      </c>
      <c r="B7" t="s">
        <v>268</v>
      </c>
      <c r="C7" t="s">
        <v>263</v>
      </c>
      <c r="D7" t="s">
        <v>264</v>
      </c>
      <c r="E7" s="407">
        <f>VLOOKUP(TablaMarimba6[[#This Row],[Equipo]],Catalogos!$I$4:$J$54,2,FALSE)</f>
      </c>
      <c r="F7" s="3"/>
      <c r="G7" s="367">
        <v>99</v>
      </c>
      <c r="H7" s="3">
        <f>IF(ROW()=5,F6-G6,H6+F6-G6)</f>
      </c>
      <c r="I7" s="4">
        <v>27</v>
      </c>
      <c r="J7" s="4">
        <f>(TablaMarimba6[[#This Row],[Salida (L)]]*TablaMarimba6[[#This Row],[Costo/L]])</f>
      </c>
    </row>
    <row r="8" spans="1:12">
      <c r="A8" s="2">
        <v>46171</v>
      </c>
      <c r="B8" t="s">
        <v>268</v>
      </c>
      <c r="C8" t="s">
        <v>263</v>
      </c>
      <c r="D8" t="s">
        <v>84</v>
      </c>
      <c r="E8" s="407">
        <f>VLOOKUP(TablaMarimba6[[#This Row],[Equipo]],Catalogos!$I$4:$J$54,2,FALSE)</f>
      </c>
      <c r="F8" s="3"/>
      <c r="G8" s="367">
        <v>99</v>
      </c>
      <c r="H8" s="3">
        <f>IF(ROW()=5,F7-G7,H7+F7-G7)</f>
      </c>
      <c r="I8" s="4">
        <v>27</v>
      </c>
      <c r="J8" s="4">
        <f>(TablaMarimba6[[#This Row],[Salida (L)]]*TablaMarimba6[[#This Row],[Costo/L]])</f>
      </c>
    </row>
    <row r="9" spans="1:12">
      <c r="A9" s="2">
        <v>46172</v>
      </c>
      <c r="B9" t="s">
        <v>268</v>
      </c>
      <c r="C9" t="s">
        <v>263</v>
      </c>
      <c r="D9" t="s">
        <v>264</v>
      </c>
      <c r="E9" s="407">
        <f>VLOOKUP(TablaMarimba6[[#This Row],[Equipo]],Catalogos!$I$4:$J$54,2,FALSE)</f>
      </c>
      <c r="F9" s="3"/>
      <c r="G9" s="367">
        <v>90</v>
      </c>
      <c r="H9" s="3">
        <f>IF(ROW()=5,F8-G8,H8+F8-G8)</f>
      </c>
      <c r="I9" s="4">
        <v>27</v>
      </c>
      <c r="J9" s="4">
        <f>(TablaMarimba6[[#This Row],[Salida (L)]]*TablaMarimba6[[#This Row],[Costo/L]])</f>
      </c>
    </row>
    <row r="10" spans="1:12">
      <c r="A10" s="2">
        <v>46172</v>
      </c>
      <c r="B10" t="s">
        <v>268</v>
      </c>
      <c r="C10" t="s">
        <v>263</v>
      </c>
      <c r="D10" t="s">
        <v>84</v>
      </c>
      <c r="E10" s="407">
        <f>VLOOKUP(TablaMarimba6[[#This Row],[Equipo]],Catalogos!$I$4:$J$54,2,FALSE)</f>
      </c>
      <c r="F10" s="3"/>
      <c r="G10" s="367">
        <v>90</v>
      </c>
      <c r="H10" s="3">
        <f>IF(ROW()=5,F9-G9,H9+F9-G9)</f>
      </c>
      <c r="I10" s="4">
        <v>27</v>
      </c>
      <c r="J10" s="4">
        <f>(TablaMarimba6[[#This Row],[Salida (L)]]*TablaMarimba6[[#This Row],[Costo/L]])</f>
      </c>
    </row>
    <row r="11" spans="1:12">
      <c r="A11" s="2">
        <v>46174</v>
      </c>
      <c r="B11" t="s">
        <v>268</v>
      </c>
      <c r="C11" t="s">
        <v>263</v>
      </c>
      <c r="D11" t="s">
        <v>81</v>
      </c>
      <c r="E11" s="407">
        <f>VLOOKUP(TablaMarimba6[[#This Row],[Equipo]],Catalogos!$I$4:$J$54,2,FALSE)</f>
      </c>
      <c r="F11" s="3"/>
      <c r="G11" s="367">
        <v>50</v>
      </c>
      <c r="H11" s="3">
        <f>IF(ROW()=5,F10-G10,H10+F10-G10)</f>
      </c>
      <c r="I11" s="4">
        <v>27</v>
      </c>
      <c r="J11" s="4">
        <f>(TablaMarimba6[[#This Row],[Salida (L)]]*TablaMarimba6[[#This Row],[Costo/L]])</f>
      </c>
    </row>
    <row r="12" spans="1:12">
      <c r="A12" s="2">
        <v>46175</v>
      </c>
      <c r="B12" t="s">
        <v>268</v>
      </c>
      <c r="C12" t="s">
        <v>263</v>
      </c>
      <c r="D12" t="s">
        <v>264</v>
      </c>
      <c r="E12" s="407">
        <f>VLOOKUP(TablaMarimba6[[#This Row],[Equipo]],Catalogos!$I$4:$J$54,2,FALSE)</f>
      </c>
      <c r="F12" s="3"/>
      <c r="G12" s="367">
        <v>74</v>
      </c>
      <c r="H12" s="3">
        <f>IF(ROW()=5,F11-G11,H11+F11-G11)</f>
      </c>
      <c r="I12" s="4">
        <v>27</v>
      </c>
      <c r="J12" s="4">
        <f>(TablaMarimba6[[#This Row],[Salida (L)]]*TablaMarimba6[[#This Row],[Costo/L]])</f>
      </c>
    </row>
    <row r="13" spans="1:12">
      <c r="A13" s="2">
        <v>46175</v>
      </c>
      <c r="B13" t="s">
        <v>268</v>
      </c>
      <c r="C13" t="s">
        <v>263</v>
      </c>
      <c r="D13" t="s">
        <v>84</v>
      </c>
      <c r="E13" s="407">
        <f>VLOOKUP(TablaMarimba6[[#This Row],[Equipo]],Catalogos!$I$4:$J$54,2,FALSE)</f>
      </c>
      <c r="F13" s="3"/>
      <c r="G13" s="367">
        <v>80</v>
      </c>
      <c r="H13" s="3">
        <f>IF(ROW()=5,F12-G12,H12+F12-G12)</f>
      </c>
      <c r="I13" s="4">
        <v>27</v>
      </c>
      <c r="J13" s="4">
        <f>(TablaMarimba6[[#This Row],[Salida (L)]]*TablaMarimba6[[#This Row],[Costo/L]])</f>
      </c>
    </row>
    <row r="14" spans="1:12">
      <c r="A14" s="2">
        <v>46175</v>
      </c>
      <c r="B14" t="s">
        <v>268</v>
      </c>
      <c r="C14" t="s">
        <v>263</v>
      </c>
      <c r="D14" t="s">
        <v>266</v>
      </c>
      <c r="E14" s="407">
        <f>VLOOKUP(TablaMarimba6[[#This Row],[Equipo]],Catalogos!$I$4:$J$54,2,FALSE)</f>
      </c>
      <c r="F14" s="3"/>
      <c r="G14" s="367">
        <v>40</v>
      </c>
      <c r="H14" s="3">
        <f>IF(ROW()=5,F13-G13,H13+F13-G13)</f>
      </c>
      <c r="I14" s="4">
        <v>27</v>
      </c>
      <c r="J14" s="4">
        <f>(TablaMarimba6[[#This Row],[Salida (L)]]*TablaMarimba6[[#This Row],[Costo/L]])</f>
      </c>
    </row>
    <row r="15" spans="1:12">
      <c r="A15" s="2">
        <v>46177</v>
      </c>
      <c r="B15" t="s">
        <v>268</v>
      </c>
      <c r="C15" t="s">
        <v>263</v>
      </c>
      <c r="D15" t="s">
        <v>264</v>
      </c>
      <c r="E15" s="407">
        <f>VLOOKUP(TablaMarimba6[[#This Row],[Equipo]],Catalogos!$I$4:$J$54,2,FALSE)</f>
      </c>
      <c r="F15" s="3"/>
      <c r="G15" s="367">
        <v>70</v>
      </c>
      <c r="H15" s="3">
        <f>IF(ROW()=5,F14-G14,H14+F14-G14)</f>
      </c>
      <c r="I15" s="4">
        <v>27</v>
      </c>
      <c r="J15" s="4">
        <f>(TablaMarimba6[[#This Row],[Salida (L)]]*TablaMarimba6[[#This Row],[Costo/L]])</f>
      </c>
    </row>
    <row r="16" spans="1:12">
      <c r="A16" s="2">
        <v>46177</v>
      </c>
      <c r="B16" t="s">
        <v>268</v>
      </c>
      <c r="C16" t="s">
        <v>263</v>
      </c>
      <c r="D16" t="s">
        <v>88</v>
      </c>
      <c r="E16" s="407">
        <f>VLOOKUP(TablaMarimba6[[#This Row],[Equipo]],Catalogos!$I$4:$J$54,2,FALSE)</f>
      </c>
      <c r="F16" s="3"/>
      <c r="G16" s="367">
        <v>100</v>
      </c>
      <c r="H16" s="3">
        <f>IF(ROW()=5,F15-G15,H15+F15-G15)</f>
      </c>
      <c r="I16" s="4">
        <v>27</v>
      </c>
      <c r="J16" s="4">
        <f>(TablaMarimba6[[#This Row],[Salida (L)]]*TablaMarimba6[[#This Row],[Costo/L]])</f>
      </c>
    </row>
    <row r="17" spans="1:10">
      <c r="A17" s="2">
        <v>46178</v>
      </c>
      <c r="B17" t="s">
        <v>268</v>
      </c>
      <c r="C17" t="s">
        <v>263</v>
      </c>
      <c r="D17" t="s">
        <v>264</v>
      </c>
      <c r="E17" s="407">
        <f>VLOOKUP(TablaMarimba6[[#This Row],[Equipo]],Catalogos!$I$4:$J$54,2,FALSE)</f>
      </c>
      <c r="F17" s="3"/>
      <c r="G17" s="367">
        <v>60</v>
      </c>
      <c r="H17" s="3">
        <f>IF(ROW()=5,F16-G16,H16+F16-G16)</f>
      </c>
      <c r="I17" s="4">
        <v>27</v>
      </c>
      <c r="J17" s="4">
        <f>(TablaMarimba6[[#This Row],[Salida (L)]]*TablaMarimba6[[#This Row],[Costo/L]])</f>
      </c>
    </row>
    <row r="18" spans="1:10">
      <c r="A18" s="2">
        <v>46178</v>
      </c>
      <c r="B18" t="s">
        <v>268</v>
      </c>
      <c r="C18" t="s">
        <v>263</v>
      </c>
      <c r="D18" t="s">
        <v>84</v>
      </c>
      <c r="E18" s="407">
        <f>VLOOKUP(TablaMarimba6[[#This Row],[Equipo]],Catalogos!$I$4:$J$54,2,FALSE)</f>
      </c>
      <c r="F18" s="3"/>
      <c r="G18" s="367">
        <v>70</v>
      </c>
      <c r="H18" s="3">
        <f>IF(ROW()=5,F17-G17,H17+F17-G17)</f>
      </c>
      <c r="I18" s="4">
        <v>27</v>
      </c>
      <c r="J18" s="4">
        <f>(TablaMarimba6[[#This Row],[Salida (L)]]*TablaMarimba6[[#This Row],[Costo/L]])</f>
      </c>
    </row>
    <row r="19" spans="1:10">
      <c r="A19" s="2">
        <v>46178</v>
      </c>
      <c r="B19" t="s">
        <v>268</v>
      </c>
      <c r="C19" t="s">
        <v>263</v>
      </c>
      <c r="D19" t="s">
        <v>266</v>
      </c>
      <c r="E19" s="407">
        <f>VLOOKUP(TablaMarimba6[[#This Row],[Equipo]],Catalogos!$I$4:$J$54,2,FALSE)</f>
      </c>
      <c r="F19" s="3"/>
      <c r="G19" s="367">
        <v>40</v>
      </c>
      <c r="H19" s="3">
        <f>IF(ROW()=5,F18-G18,H18+F18-G18)</f>
      </c>
      <c r="I19" s="4">
        <v>27</v>
      </c>
      <c r="J19" s="4">
        <f>(TablaMarimba6[[#This Row],[Salida (L)]]*TablaMarimba6[[#This Row],[Costo/L]])</f>
      </c>
    </row>
    <row r="20" spans="1:10">
      <c r="A20" s="2">
        <v>46179</v>
      </c>
      <c r="B20" t="s">
        <v>268</v>
      </c>
      <c r="C20" t="s">
        <v>263</v>
      </c>
      <c r="D20" t="s">
        <v>264</v>
      </c>
      <c r="E20" s="407">
        <f>VLOOKUP(TablaMarimba6[[#This Row],[Equipo]],Catalogos!$I$4:$J$54,2,FALSE)</f>
      </c>
      <c r="F20" s="3"/>
      <c r="G20" s="367">
        <v>100</v>
      </c>
      <c r="H20" s="3">
        <f>IF(ROW()=5,F19-G19,H19+F19-G19)</f>
      </c>
      <c r="I20" s="4">
        <v>27</v>
      </c>
      <c r="J20" s="4">
        <f>(TablaMarimba6[[#This Row],[Salida (L)]]*TablaMarimba6[[#This Row],[Costo/L]])</f>
      </c>
    </row>
    <row r="21" spans="1:10">
      <c r="A21" s="2">
        <v>46179</v>
      </c>
      <c r="B21" t="s">
        <v>268</v>
      </c>
      <c r="C21" t="s">
        <v>263</v>
      </c>
      <c r="D21" t="s">
        <v>84</v>
      </c>
      <c r="E21" s="407">
        <f>VLOOKUP(TablaMarimba6[[#This Row],[Equipo]],Catalogos!$I$4:$J$54,2,FALSE)</f>
      </c>
      <c r="F21" s="3"/>
      <c r="G21" s="367">
        <v>100</v>
      </c>
      <c r="H21" s="3">
        <f>IF(ROW()=5,F20-G20,H20+F20-G20)</f>
      </c>
      <c r="I21" s="4">
        <v>27</v>
      </c>
      <c r="J21" s="4">
        <f>(TablaMarimba6[[#This Row],[Salida (L)]]*TablaMarimba6[[#This Row],[Costo/L]])</f>
      </c>
    </row>
    <row r="22" spans="1:10">
      <c r="A22" s="2">
        <v>46179</v>
      </c>
      <c r="B22" t="s">
        <v>268</v>
      </c>
      <c r="C22" t="s">
        <v>263</v>
      </c>
      <c r="D22" t="s">
        <v>81</v>
      </c>
      <c r="E22" s="407">
        <f>VLOOKUP(TablaMarimba6[[#This Row],[Equipo]],Catalogos!$I$4:$J$54,2,FALSE)</f>
      </c>
      <c r="F22" s="3"/>
      <c r="G22" s="367">
        <v>40</v>
      </c>
      <c r="H22" s="3">
        <f>IF(ROW()=5,F21-G21,H21+F21-G21)</f>
      </c>
      <c r="I22" s="4">
        <v>27</v>
      </c>
      <c r="J22" s="4">
        <f>(TablaMarimba6[[#This Row],[Salida (L)]]*TablaMarimba6[[#This Row],[Costo/L]])</f>
      </c>
    </row>
    <row r="23" spans="1:10">
      <c r="A23" s="2">
        <v>46181</v>
      </c>
      <c r="B23" t="s">
        <v>268</v>
      </c>
      <c r="C23" t="s">
        <v>263</v>
      </c>
      <c r="D23" t="s">
        <v>264</v>
      </c>
      <c r="E23" s="407">
        <f>VLOOKUP(TablaMarimba6[[#This Row],[Equipo]],Catalogos!$I$4:$J$54,2,FALSE)</f>
      </c>
      <c r="F23" s="3"/>
      <c r="G23" s="367">
        <v>70</v>
      </c>
      <c r="H23" s="3">
        <f>IF(ROW()=5,F22-G22,H22+F22-G22)</f>
      </c>
      <c r="I23" s="4">
        <v>27</v>
      </c>
      <c r="J23" s="4">
        <f>(TablaMarimba6[[#This Row],[Salida (L)]]*TablaMarimba6[[#This Row],[Costo/L]])</f>
      </c>
    </row>
    <row r="24" spans="1:10">
      <c r="A24" s="2">
        <v>46181</v>
      </c>
      <c r="B24" t="s">
        <v>268</v>
      </c>
      <c r="C24" t="s">
        <v>263</v>
      </c>
      <c r="D24" t="s">
        <v>266</v>
      </c>
      <c r="E24" s="407">
        <f>VLOOKUP(TablaMarimba6[[#This Row],[Equipo]],Catalogos!$I$4:$J$54,2,FALSE)</f>
      </c>
      <c r="F24" s="3"/>
      <c r="G24" s="367">
        <v>40</v>
      </c>
      <c r="H24" s="3">
        <f>IF(ROW()=5,F23-G23,H23+F23-G23)</f>
      </c>
      <c r="I24" s="4">
        <v>27</v>
      </c>
      <c r="J24" s="4">
        <f>(TablaMarimba6[[#This Row],[Salida (L)]]*TablaMarimba6[[#This Row],[Costo/L]])</f>
      </c>
    </row>
    <row r="25" spans="1:10">
      <c r="A25" s="2">
        <v>46184</v>
      </c>
      <c r="B25" t="s">
        <v>268</v>
      </c>
      <c r="C25" t="s">
        <v>263</v>
      </c>
      <c r="D25" t="s">
        <v>77</v>
      </c>
      <c r="E25" s="407">
        <f>VLOOKUP(TablaMarimba6[[#This Row],[Equipo]],Catalogos!$I$4:$J$54,2,FALSE)</f>
      </c>
      <c r="F25" s="3"/>
      <c r="G25" s="367">
        <v>70</v>
      </c>
      <c r="H25" s="3">
        <f>IF(ROW()=5,F24-G24,H24+F24-G24)</f>
      </c>
      <c r="I25" s="4">
        <v>27</v>
      </c>
      <c r="J25" s="4">
        <f>(TablaMarimba6[[#This Row],[Salida (L)]]*TablaMarimba6[[#This Row],[Costo/L]])</f>
      </c>
    </row>
    <row r="26" spans="1:10">
      <c r="A26" s="2">
        <v>46188</v>
      </c>
      <c r="B26" t="s">
        <v>268</v>
      </c>
      <c r="C26" t="s">
        <v>263</v>
      </c>
      <c r="D26" t="s">
        <v>77</v>
      </c>
      <c r="E26" s="407">
        <f>VLOOKUP(TablaMarimba6[[#This Row],[Equipo]],Catalogos!$I$4:$J$54,2,FALSE)</f>
      </c>
      <c r="F26" s="3"/>
      <c r="G26" s="367">
        <v>100</v>
      </c>
      <c r="H26" s="3">
        <f>IF(ROW()=5,F25-G25,H25+F25-G25)</f>
      </c>
      <c r="I26" s="4">
        <v>27</v>
      </c>
      <c r="J26" s="4">
        <f>(TablaMarimba6[[#This Row],[Salida (L)]]*TablaMarimba6[[#This Row],[Costo/L]])</f>
      </c>
    </row>
    <row r="27" spans="1:10">
      <c r="A27" s="2">
        <v>46189</v>
      </c>
      <c r="B27" t="s">
        <v>268</v>
      </c>
      <c r="C27" t="s">
        <v>263</v>
      </c>
      <c r="D27" t="s">
        <v>264</v>
      </c>
      <c r="E27" s="407">
        <f>VLOOKUP(TablaMarimba6[[#This Row],[Equipo]],Catalogos!$I$4:$J$54,2,FALSE)</f>
      </c>
      <c r="F27" s="3"/>
      <c r="G27" s="367">
        <v>40</v>
      </c>
      <c r="H27" s="3">
        <f>IF(ROW()=5,F26-G26,H26+F26-G26)</f>
      </c>
      <c r="I27" s="4">
        <v>27</v>
      </c>
      <c r="J27" s="4">
        <f>(TablaMarimba6[[#This Row],[Salida (L)]]*TablaMarimba6[[#This Row],[Costo/L]])</f>
      </c>
    </row>
    <row r="28" spans="1:10">
      <c r="A28" s="2">
        <v>46189</v>
      </c>
      <c r="B28" t="s">
        <v>268</v>
      </c>
      <c r="C28" t="s">
        <v>263</v>
      </c>
      <c r="D28" t="s">
        <v>77</v>
      </c>
      <c r="E28" s="407">
        <f>VLOOKUP(TablaMarimba6[[#This Row],[Equipo]],Catalogos!$I$4:$J$54,2,FALSE)</f>
      </c>
      <c r="F28" s="3"/>
      <c r="G28" s="367">
        <v>140</v>
      </c>
      <c r="H28" s="3">
        <f>IF(ROW()=5,F27-G27,H27+F27-G27)</f>
      </c>
      <c r="I28" s="4">
        <v>27</v>
      </c>
      <c r="J28" s="4">
        <f>(TablaMarimba6[[#This Row],[Salida (L)]]*TablaMarimba6[[#This Row],[Costo/L]])</f>
      </c>
    </row>
    <row r="29" spans="1:10">
      <c r="A29" s="2">
        <v>46190</v>
      </c>
      <c r="B29" t="s">
        <v>268</v>
      </c>
      <c r="C29" t="s">
        <v>263</v>
      </c>
      <c r="D29" t="s">
        <v>266</v>
      </c>
      <c r="E29" s="407">
        <f>VLOOKUP(TablaMarimba6[[#This Row],[Equipo]],Catalogos!$I$4:$J$54,2,FALSE)</f>
      </c>
      <c r="F29" s="3"/>
      <c r="G29" s="367">
        <v>50</v>
      </c>
      <c r="H29" s="3">
        <f>IF(ROW()=5,F28-G28,H28+F28-G28)</f>
      </c>
      <c r="I29" s="4">
        <v>27</v>
      </c>
      <c r="J29" s="4">
        <f>(TablaMarimba6[[#This Row],[Salida (L)]]*TablaMarimba6[[#This Row],[Costo/L]])</f>
      </c>
    </row>
    <row r="30" spans="1:10">
      <c r="A30" s="2">
        <v>46190</v>
      </c>
      <c r="B30" t="s">
        <v>268</v>
      </c>
      <c r="C30" t="s">
        <v>263</v>
      </c>
      <c r="D30" t="s">
        <v>77</v>
      </c>
      <c r="E30" s="407">
        <f>VLOOKUP(TablaMarimba6[[#This Row],[Equipo]],Catalogos!$I$4:$J$54,2,FALSE)</f>
      </c>
      <c r="F30" s="3"/>
      <c r="G30" s="367">
        <v>100</v>
      </c>
      <c r="H30" s="3">
        <f>IF(ROW()=5,F29-G29,H29+F29-G29)</f>
      </c>
      <c r="I30" s="4">
        <v>27</v>
      </c>
      <c r="J30" s="4">
        <f>(TablaMarimba6[[#This Row],[Salida (L)]]*TablaMarimba6[[#This Row],[Costo/L]])</f>
      </c>
    </row>
    <row r="31" spans="1:10">
      <c r="A31" s="2">
        <v>46191</v>
      </c>
      <c r="B31" t="s">
        <v>268</v>
      </c>
      <c r="C31" t="s">
        <v>263</v>
      </c>
      <c r="D31" t="s">
        <v>84</v>
      </c>
      <c r="E31" s="407">
        <f>VLOOKUP(TablaMarimba6[[#This Row],[Equipo]],Catalogos!$I$4:$J$54,2,FALSE)</f>
      </c>
      <c r="F31" s="3"/>
      <c r="G31" s="367">
        <v>70</v>
      </c>
      <c r="H31" s="3">
        <f>IF(ROW()=5,F30-G30,H30+F30-G30)</f>
      </c>
      <c r="I31" s="4">
        <v>27</v>
      </c>
      <c r="J31" s="4">
        <f>(TablaMarimba6[[#This Row],[Salida (L)]]*TablaMarimba6[[#This Row],[Costo/L]])</f>
      </c>
    </row>
    <row r="32" spans="1:10">
      <c r="A32" s="2">
        <v>46191</v>
      </c>
      <c r="B32" t="s">
        <v>268</v>
      </c>
      <c r="C32" t="s">
        <v>263</v>
      </c>
      <c r="D32" t="s">
        <v>81</v>
      </c>
      <c r="E32" s="407">
        <f>VLOOKUP(TablaMarimba6[[#This Row],[Equipo]],Catalogos!$I$4:$J$54,2,FALSE)</f>
      </c>
      <c r="F32" s="3"/>
      <c r="G32" s="367">
        <v>40</v>
      </c>
      <c r="H32" s="3">
        <f>IF(ROW()=5,F31-G31,H31+F31-G31)</f>
      </c>
      <c r="I32" s="4">
        <v>27</v>
      </c>
      <c r="J32" s="4">
        <f>(TablaMarimba6[[#This Row],[Salida (L)]]*TablaMarimba6[[#This Row],[Costo/L]])</f>
      </c>
    </row>
    <row r="33" spans="1:14">
      <c r="A33" s="2">
        <v>46191</v>
      </c>
      <c r="B33" t="s">
        <v>268</v>
      </c>
      <c r="C33" t="s">
        <v>263</v>
      </c>
      <c r="D33" t="s">
        <v>77</v>
      </c>
      <c r="E33" s="407">
        <f>VLOOKUP(TablaMarimba6[[#This Row],[Equipo]],Catalogos!$I$4:$J$54,2,FALSE)</f>
      </c>
      <c r="F33" s="3"/>
      <c r="G33" s="367">
        <v>100</v>
      </c>
      <c r="H33" s="3">
        <f>IF(ROW()=5,F32-G32,H32+F32-G32)</f>
      </c>
      <c r="I33" s="4">
        <v>27</v>
      </c>
      <c r="J33" s="4">
        <f>(TablaMarimba6[[#This Row],[Salida (L)]]*TablaMarimba6[[#This Row],[Costo/L]])</f>
      </c>
    </row>
    <row r="34" spans="1:14">
      <c r="E34" s="407"/>
      <c r="G34" s="367"/>
      <c r="H34" s="3">
        <f>IF(ROW()=5,F33-G33,H33+F33-G33)</f>
      </c>
      <c r="I34" s="4">
        <v>27</v>
      </c>
      <c r="J34" s="4">
        <f>(TablaMarimba6[[#This Row],[Salida (L)]]*TablaMarimba6[[#This Row],[Costo/L]])</f>
      </c>
    </row>
    <row r="35" spans="1:14">
      <c r="A35" s="2"/>
      <c r="E35">
        <f>VLOOKUP(TablaMarimba6[[#This Row],[Equipo]],Catalogos!$I$4:$J$54,2,FALSE)</f>
      </c>
      <c r="F35" s="3"/>
      <c r="G35" s="367"/>
      <c r="H35" s="3">
        <f t="shared" ref="H5:H63" si="0">IF(ROW()=5,F35-G35,H34+F35-G35)</f>
      </c>
      <c r="I35" s="4">
        <v>27</v>
      </c>
      <c r="J35" s="4">
        <f>(TablaMarimba6[[#This Row],[Salida (L)]]*TablaMarimba6[[#This Row],[Costo/L]])</f>
      </c>
    </row>
    <row r="36" spans="1:14">
      <c r="A36" s="2"/>
      <c r="E36">
        <f>VLOOKUP(TablaMarimba6[[#This Row],[Equipo]],Catalogos!$I$4:$J$54,2,FALSE)</f>
      </c>
      <c r="F36" s="3"/>
      <c r="G36" s="367"/>
      <c r="H36" s="3">
        <f t="shared" si="0"/>
      </c>
      <c r="I36" s="4">
        <v>27</v>
      </c>
      <c r="J36" s="4">
        <f>(TablaMarimba6[[#This Row],[Salida (L)]]*TablaMarimba6[[#This Row],[Costo/L]])</f>
      </c>
    </row>
    <row r="37" spans="1:14">
      <c r="A37" s="2"/>
      <c r="E37">
        <f>VLOOKUP(TablaMarimba6[[#This Row],[Equipo]],Catalogos!$I$4:$J$54,2,FALSE)</f>
      </c>
      <c r="F37" s="3"/>
      <c r="G37" s="367"/>
      <c r="H37" s="3">
        <f t="shared" si="0"/>
      </c>
      <c r="I37" s="4">
        <v>27</v>
      </c>
      <c r="J37" s="4">
        <f>(TablaMarimba6[[#This Row],[Salida (L)]]*TablaMarimba6[[#This Row],[Costo/L]])</f>
      </c>
    </row>
    <row r="38" spans="1:14">
      <c r="A38" s="2"/>
      <c r="E38">
        <f>VLOOKUP(TablaMarimba6[[#This Row],[Equipo]],Catalogos!$I$4:$J$54,2,FALSE)</f>
      </c>
      <c r="F38" s="3"/>
      <c r="G38" s="367"/>
      <c r="H38" s="3">
        <f t="shared" si="0"/>
      </c>
      <c r="I38" s="4">
        <v>27</v>
      </c>
      <c r="J38" s="4">
        <f>(TablaMarimba6[[#This Row],[Salida (L)]]*TablaMarimba6[[#This Row],[Costo/L]])</f>
      </c>
    </row>
    <row r="39" spans="1:14">
      <c r="A39" s="2"/>
      <c r="E39">
        <f>VLOOKUP(TablaMarimba6[[#This Row],[Equipo]],Catalogos!$I$4:$J$54,2,FALSE)</f>
      </c>
      <c r="F39" s="3"/>
      <c r="G39" s="367"/>
      <c r="H39" s="3">
        <f t="shared" si="0"/>
      </c>
      <c r="I39" s="4">
        <v>27</v>
      </c>
      <c r="J39" s="4">
        <f>(TablaMarimba6[[#This Row],[Salida (L)]]*TablaMarimba6[[#This Row],[Costo/L]])</f>
      </c>
    </row>
    <row r="40" spans="1:14">
      <c r="A40" s="2"/>
      <c r="E40">
        <f>VLOOKUP(TablaMarimba6[[#This Row],[Equipo]],Catalogos!$I$4:$J$54,2,FALSE)</f>
      </c>
      <c r="F40" s="3"/>
      <c r="G40" s="367"/>
      <c r="H40" s="3">
        <f t="shared" si="0"/>
      </c>
      <c r="I40" s="4">
        <v>27</v>
      </c>
      <c r="J40" s="4">
        <f>(TablaMarimba6[[#This Row],[Salida (L)]]*TablaMarimba6[[#This Row],[Costo/L]])</f>
      </c>
    </row>
    <row r="41" spans="1:14">
      <c r="A41" s="2"/>
      <c r="E41">
        <f>VLOOKUP(TablaMarimba6[[#This Row],[Equipo]],Catalogos!$I$4:$J$54,2,FALSE)</f>
      </c>
      <c r="F41" s="3"/>
      <c r="G41" s="367"/>
      <c r="H41" s="3">
        <f t="shared" si="0"/>
      </c>
      <c r="I41" s="4">
        <v>27</v>
      </c>
      <c r="J41" s="4">
        <f>(TablaMarimba6[[#This Row],[Salida (L)]]*TablaMarimba6[[#This Row],[Costo/L]])</f>
      </c>
    </row>
    <row r="42" spans="1:14">
      <c r="A42" s="2"/>
      <c r="E42">
        <f>VLOOKUP(TablaMarimba6[[#This Row],[Equipo]],Catalogos!$I$4:$J$54,2,FALSE)</f>
      </c>
      <c r="F42" s="3"/>
      <c r="G42" s="367"/>
      <c r="H42" s="3">
        <f t="shared" si="0"/>
      </c>
      <c r="I42" s="4">
        <v>27</v>
      </c>
      <c r="J42" s="4">
        <f>(TablaMarimba6[[#This Row],[Salida (L)]]*TablaMarimba6[[#This Row],[Costo/L]])</f>
      </c>
    </row>
    <row r="43" spans="1:14">
      <c r="A43" s="2"/>
      <c r="E43">
        <f>VLOOKUP(TablaMarimba6[[#This Row],[Equipo]],Catalogos!$I$4:$J$54,2,FALSE)</f>
      </c>
      <c r="F43" s="3"/>
      <c r="G43" s="367"/>
      <c r="H43" s="3">
        <f t="shared" si="0"/>
      </c>
      <c r="I43" s="4">
        <v>27</v>
      </c>
      <c r="J43" s="4">
        <f>(TablaMarimba6[[#This Row],[Salida (L)]]*TablaMarimba6[[#This Row],[Costo/L]])</f>
      </c>
      <c r="N43" s="3">
        <f>SUM(G5:G48)</f>
      </c>
    </row>
    <row r="44" spans="1:14">
      <c r="A44" s="2"/>
      <c r="E44">
        <f>VLOOKUP(TablaMarimba6[[#This Row],[Equipo]],Catalogos!$I$4:$J$54,2,FALSE)</f>
      </c>
      <c r="F44" s="3"/>
      <c r="G44" s="367"/>
      <c r="H44" s="3">
        <f t="shared" si="0"/>
      </c>
      <c r="I44" s="4">
        <v>27</v>
      </c>
      <c r="J44" s="4">
        <f>(TablaMarimba6[[#This Row],[Salida (L)]]*TablaMarimba6[[#This Row],[Costo/L]])</f>
      </c>
    </row>
    <row r="45" spans="1:14">
      <c r="A45" s="2"/>
      <c r="E45">
        <f>VLOOKUP(TablaMarimba6[[#This Row],[Equipo]],Catalogos!$I$4:$J$54,2,FALSE)</f>
      </c>
      <c r="F45" s="3"/>
      <c r="G45" s="367"/>
      <c r="H45" s="3">
        <f t="shared" si="0"/>
      </c>
      <c r="I45" s="4">
        <v>27</v>
      </c>
      <c r="J45" s="4">
        <f>(TablaMarimba6[[#This Row],[Salida (L)]]*TablaMarimba6[[#This Row],[Costo/L]])</f>
      </c>
    </row>
    <row r="46" spans="1:14">
      <c r="A46" s="2"/>
      <c r="E46">
        <f>VLOOKUP(TablaMarimba6[[#This Row],[Equipo]],Catalogos!$I$4:$J$54,2,FALSE)</f>
      </c>
      <c r="F46" s="3"/>
      <c r="G46" s="367"/>
      <c r="H46" s="3">
        <f t="shared" si="0"/>
      </c>
      <c r="I46" s="4">
        <v>27</v>
      </c>
      <c r="J46" s="4">
        <f>(TablaMarimba6[[#This Row],[Salida (L)]]*TablaMarimba6[[#This Row],[Costo/L]])</f>
      </c>
    </row>
    <row r="47" spans="1:14">
      <c r="A47" s="2"/>
      <c r="E47">
        <f>VLOOKUP(TablaMarimba6[[#This Row],[Equipo]],Catalogos!$I$4:$J$54,2,FALSE)</f>
      </c>
      <c r="F47" s="3"/>
      <c r="G47" s="367"/>
      <c r="H47" s="3">
        <f t="shared" si="0"/>
      </c>
      <c r="I47" s="4">
        <v>27</v>
      </c>
      <c r="J47" s="4">
        <f>(TablaMarimba6[[#This Row],[Salida (L)]]*TablaMarimba6[[#This Row],[Costo/L]])</f>
      </c>
    </row>
    <row r="48" spans="1:14">
      <c r="A48" s="2"/>
      <c r="E48">
        <f>VLOOKUP(TablaMarimba6[[#This Row],[Equipo]],Catalogos!$I$4:$J$54,2,FALSE)</f>
      </c>
      <c r="F48" s="3"/>
      <c r="G48" s="367"/>
      <c r="H48" s="3">
        <v>0</v>
      </c>
      <c r="I48" s="4">
        <v>27</v>
      </c>
      <c r="J48" s="4">
        <f>(TablaMarimba6[[#This Row],[Salida (L)]]*TablaMarimba6[[#This Row],[Costo/L]])</f>
      </c>
    </row>
    <row r="49" spans="1:10">
      <c r="A49" s="2"/>
      <c r="E49">
        <f>VLOOKUP(TablaMarimba6[[#This Row],[Equipo]],Catalogos!$I$4:$J$54,2,FALSE)</f>
      </c>
      <c r="F49" s="3"/>
      <c r="G49" s="367"/>
      <c r="H49" s="3">
        <f t="shared" si="0"/>
      </c>
      <c r="I49" s="4"/>
      <c r="J49" s="4"/>
    </row>
    <row r="50" spans="1:10">
      <c r="A50" s="2"/>
      <c r="E50">
        <f>VLOOKUP(TablaMarimba6[[#This Row],[Equipo]],Catalogos!$I$4:$J$54,2,FALSE)</f>
      </c>
      <c r="F50" s="3"/>
      <c r="G50" s="367"/>
      <c r="H50" s="3">
        <f t="shared" si="0"/>
      </c>
      <c r="I50" s="4">
        <v>28.3</v>
      </c>
      <c r="J50" s="4">
        <f t="shared" ref="J5:J68" si="1">IFERROR((F50+G50)*I50,0)</f>
      </c>
    </row>
    <row r="51" spans="1:10">
      <c r="A51" s="2"/>
      <c r="E51">
        <f>VLOOKUP(TablaMarimba6[[#This Row],[Equipo]],Catalogos!$I$4:$J$54,2,FALSE)</f>
      </c>
      <c r="F51" s="3"/>
      <c r="G51" s="367"/>
      <c r="H51" s="3">
        <f t="shared" si="0"/>
      </c>
      <c r="I51" s="4">
        <v>28.3</v>
      </c>
      <c r="J51" s="4">
        <f t="shared" si="1"/>
      </c>
    </row>
    <row r="52" spans="1:10">
      <c r="A52" s="2"/>
      <c r="E52">
        <f>VLOOKUP(TablaMarimba6[[#This Row],[Equipo]],Catalogos!$I$4:$J$54,2,FALSE)</f>
      </c>
      <c r="F52" s="3"/>
      <c r="G52" s="367"/>
      <c r="H52" s="3">
        <f t="shared" si="0"/>
      </c>
      <c r="I52" s="4">
        <v>28.3</v>
      </c>
      <c r="J52" s="4">
        <f t="shared" si="1"/>
      </c>
    </row>
    <row r="53" spans="1:10">
      <c r="A53" s="2"/>
      <c r="E53">
        <f>VLOOKUP(TablaMarimba6[[#This Row],[Equipo]],Catalogos!$I$4:$J$54,2,FALSE)</f>
      </c>
      <c r="F53" s="3"/>
      <c r="G53" s="367"/>
      <c r="H53" s="3">
        <f t="shared" si="0"/>
      </c>
      <c r="I53" s="4">
        <v>28.3</v>
      </c>
      <c r="J53" s="4">
        <f t="shared" si="1"/>
      </c>
    </row>
    <row r="54" spans="1:10">
      <c r="A54" s="2"/>
      <c r="E54">
        <f>VLOOKUP(TablaMarimba6[[#This Row],[Equipo]],Catalogos!$I$4:$J$54,2,FALSE)</f>
      </c>
      <c r="F54" s="3"/>
      <c r="G54" s="367"/>
      <c r="H54" s="3">
        <f t="shared" si="0"/>
      </c>
      <c r="I54" s="4">
        <v>28.3</v>
      </c>
      <c r="J54" s="4">
        <f t="shared" si="1"/>
      </c>
    </row>
    <row r="55" spans="1:10">
      <c r="A55" s="2"/>
      <c r="E55">
        <f>VLOOKUP(TablaMarimba6[[#This Row],[Equipo]],Catalogos!$I$4:$J$54,2,FALSE)</f>
      </c>
      <c r="F55" s="3"/>
      <c r="G55" s="367"/>
      <c r="H55" s="3">
        <f t="shared" si="0"/>
      </c>
      <c r="I55" s="4">
        <v>28.3</v>
      </c>
      <c r="J55" s="4">
        <f t="shared" si="1"/>
      </c>
    </row>
    <row r="56" spans="1:10">
      <c r="A56" s="2"/>
      <c r="E56">
        <f>VLOOKUP(TablaMarimba6[[#This Row],[Equipo]],Catalogos!$I$4:$J$54,2,FALSE)</f>
      </c>
      <c r="F56" s="3"/>
      <c r="G56" s="367"/>
      <c r="H56" s="3">
        <v>500</v>
      </c>
      <c r="I56" s="4"/>
      <c r="J56" s="4"/>
    </row>
    <row r="57" spans="1:10">
      <c r="A57" s="2"/>
      <c r="E57">
        <f>VLOOKUP(TablaMarimba6[[#This Row],[Equipo]],Catalogos!$I$4:$J$54,2,FALSE)</f>
      </c>
      <c r="F57" s="3"/>
      <c r="G57" s="367"/>
      <c r="H57" s="3">
        <f t="shared" si="0"/>
      </c>
      <c r="I57" s="4">
        <v>28.3</v>
      </c>
      <c r="J57" s="4">
        <f t="shared" si="1"/>
      </c>
    </row>
    <row r="58" spans="1:10">
      <c r="A58" s="2"/>
      <c r="E58">
        <f>VLOOKUP(TablaMarimba6[[#This Row],[Equipo]],Catalogos!$I$4:$J$54,2,FALSE)</f>
      </c>
      <c r="F58" s="3"/>
      <c r="G58" s="367"/>
      <c r="H58" s="3">
        <f t="shared" si="0"/>
      </c>
      <c r="I58" s="4">
        <v>28.3</v>
      </c>
      <c r="J58" s="4">
        <f t="shared" si="1"/>
      </c>
    </row>
    <row r="59" spans="1:10">
      <c r="A59" s="2"/>
      <c r="E59">
        <f>VLOOKUP(TablaMarimba6[[#This Row],[Equipo]],Catalogos!$I$4:$J$54,2,FALSE)</f>
      </c>
      <c r="F59" s="3"/>
      <c r="G59" s="367"/>
      <c r="H59" s="3">
        <f t="shared" si="0"/>
      </c>
      <c r="I59" s="4">
        <v>28.3</v>
      </c>
      <c r="J59" s="4">
        <f t="shared" si="1"/>
      </c>
    </row>
    <row r="60" spans="1:10">
      <c r="A60" s="2"/>
      <c r="E60">
        <f>VLOOKUP(TablaMarimba6[[#This Row],[Equipo]],Catalogos!$I$4:$J$54,2,FALSE)</f>
      </c>
      <c r="F60" s="3"/>
      <c r="G60" s="367"/>
      <c r="H60" s="3">
        <f t="shared" si="0"/>
      </c>
      <c r="I60" s="4">
        <v>28.3</v>
      </c>
      <c r="J60" s="4">
        <f t="shared" si="1"/>
      </c>
    </row>
    <row r="61" spans="1:10">
      <c r="A61" s="2"/>
      <c r="E61">
        <f>VLOOKUP(TablaMarimba6[[#This Row],[Equipo]],Catalogos!$I$4:$J$54,2,FALSE)</f>
      </c>
      <c r="F61" s="3"/>
      <c r="G61" s="367"/>
      <c r="H61" s="3">
        <f t="shared" si="0"/>
      </c>
      <c r="I61" s="4">
        <v>28.3</v>
      </c>
      <c r="J61" s="4">
        <f t="shared" si="1"/>
      </c>
    </row>
    <row r="62" spans="1:10">
      <c r="A62" s="2"/>
      <c r="E62">
        <f>VLOOKUP(TablaMarimba6[[#This Row],[Equipo]],Catalogos!$I$4:$J$54,2,FALSE)</f>
      </c>
      <c r="F62" s="3"/>
      <c r="G62" s="367"/>
      <c r="H62" s="3">
        <f t="shared" si="0"/>
      </c>
      <c r="I62" s="4">
        <v>28.3</v>
      </c>
      <c r="J62" s="4">
        <f t="shared" si="1"/>
      </c>
    </row>
    <row r="63" spans="1:10">
      <c r="A63" s="2"/>
      <c r="E63">
        <f>VLOOKUP(TablaMarimba6[[#This Row],[Equipo]],Catalogos!$I$4:$J$54,2,FALSE)</f>
      </c>
      <c r="F63" s="3"/>
      <c r="G63" s="367"/>
      <c r="H63" s="3">
        <f t="shared" si="0"/>
      </c>
      <c r="I63" s="4">
        <v>28.3</v>
      </c>
      <c r="J63" s="4">
        <f t="shared" si="1"/>
      </c>
    </row>
    <row r="64" spans="1:10">
      <c r="A64" s="2"/>
      <c r="E64">
        <f>VLOOKUP(TablaMarimba6[[#This Row],[Equipo]],Catalogos!$I$4:$J$54,2,FALSE)</f>
      </c>
      <c r="F64" s="3"/>
      <c r="G64" s="367"/>
      <c r="H64" s="3">
        <v>520</v>
      </c>
      <c r="I64" s="4"/>
      <c r="J64" s="4"/>
    </row>
    <row r="65" spans="1:10">
      <c r="A65" s="2"/>
      <c r="E65">
        <f>VLOOKUP(TablaMarimba6[[#This Row],[Equipo]],Catalogos!$I$4:$J$54,2,FALSE)</f>
      </c>
      <c r="F65" s="3"/>
      <c r="G65" s="367"/>
      <c r="H65" s="3">
        <f>IF(ROW()=5,F65-G65,H64+F65-G65)</f>
      </c>
      <c r="I65" s="4">
        <v>28.3</v>
      </c>
      <c r="J65" s="4">
        <f t="shared" si="1"/>
      </c>
    </row>
    <row r="66" spans="1:10">
      <c r="A66" s="2"/>
      <c r="E66">
        <f>VLOOKUP(TablaMarimba6[[#This Row],[Equipo]],Catalogos!$I$4:$J$54,2,FALSE)</f>
      </c>
      <c r="F66" s="3"/>
      <c r="G66" s="367"/>
      <c r="H66" s="3">
        <f t="shared" ref="H66:H129" si="2">IF(ROW()=5,F66-G66,H65+F66-G66)</f>
      </c>
      <c r="I66" s="4">
        <v>28.3</v>
      </c>
      <c r="J66" s="4">
        <f t="shared" si="1"/>
      </c>
    </row>
    <row r="67" spans="1:10">
      <c r="A67" s="2"/>
      <c r="E67">
        <f>VLOOKUP(TablaMarimba6[[#This Row],[Equipo]],Catalogos!$I$4:$J$54,2,FALSE)</f>
      </c>
      <c r="F67" s="3"/>
      <c r="G67" s="367"/>
      <c r="H67" s="3">
        <f t="shared" si="2"/>
      </c>
      <c r="I67" s="4">
        <v>28.3</v>
      </c>
      <c r="J67" s="4">
        <f t="shared" si="1"/>
      </c>
    </row>
    <row r="68" spans="1:10">
      <c r="A68" s="2"/>
      <c r="E68">
        <f>VLOOKUP(TablaMarimba6[[#This Row],[Equipo]],Catalogos!$I$4:$J$54,2,FALSE)</f>
      </c>
      <c r="F68" s="3"/>
      <c r="G68" s="367"/>
      <c r="H68" s="3">
        <f t="shared" si="2"/>
      </c>
      <c r="I68" s="4">
        <v>28.3</v>
      </c>
      <c r="J68" s="4">
        <f t="shared" si="1"/>
      </c>
    </row>
    <row r="69" spans="1:10">
      <c r="A69" s="2"/>
      <c r="E69">
        <f>VLOOKUP(TablaMarimba6[[#This Row],[Equipo]],Catalogos!$I$4:$J$54,2,FALSE)</f>
      </c>
      <c r="F69" s="3"/>
      <c r="G69" s="367"/>
      <c r="H69" s="3">
        <f t="shared" si="2"/>
      </c>
      <c r="I69" s="4">
        <v>28.3</v>
      </c>
      <c r="J69" s="4">
        <f t="shared" ref="J69:J102" si="3">IFERROR((F69+G69)*I69,0)</f>
      </c>
    </row>
    <row r="70" spans="1:10">
      <c r="A70" s="2"/>
      <c r="E70">
        <f>VLOOKUP(TablaMarimba6[[#This Row],[Equipo]],Catalogos!$I$4:$J$54,2,FALSE)</f>
      </c>
      <c r="F70" s="3"/>
      <c r="G70" s="367"/>
      <c r="H70" s="3">
        <f t="shared" si="2"/>
      </c>
      <c r="I70" s="4">
        <v>28.3</v>
      </c>
      <c r="J70" s="4">
        <f t="shared" si="3"/>
      </c>
    </row>
    <row r="71" spans="1:10">
      <c r="A71" s="2"/>
      <c r="E71">
        <f>VLOOKUP(TablaMarimba6[[#This Row],[Equipo]],Catalogos!$I$4:$J$54,2,FALSE)</f>
      </c>
      <c r="G71" s="367"/>
      <c r="H71" s="3">
        <f t="shared" si="2"/>
      </c>
      <c r="I71" s="4">
        <v>28.3</v>
      </c>
      <c r="J71" s="4">
        <f>IFERROR((F72+G72)*I71,0)</f>
      </c>
    </row>
    <row r="72" spans="1:10">
      <c r="A72" s="2"/>
      <c r="E72">
        <f>VLOOKUP(TablaMarimba6[[#This Row],[Equipo]],Catalogos!$I$4:$J$54,2,FALSE)</f>
      </c>
      <c r="F72" s="3"/>
      <c r="G72" s="367"/>
      <c r="H72" s="3">
        <f t="shared" si="2"/>
      </c>
      <c r="I72" s="4">
        <v>28.3</v>
      </c>
      <c r="J72" s="4">
        <f>IFERROR((F73+G73)*I72,0)</f>
      </c>
    </row>
    <row r="73" spans="1:10">
      <c r="A73" s="2"/>
      <c r="E73">
        <f>VLOOKUP(TablaMarimba6[[#This Row],[Equipo]],Catalogos!$I$4:$J$54,2,FALSE)</f>
      </c>
      <c r="F73" s="3"/>
      <c r="G73" s="367"/>
      <c r="H73" s="3">
        <f t="shared" si="2"/>
      </c>
      <c r="I73" s="4">
        <v>28.3</v>
      </c>
      <c r="J73" s="4">
        <f>IFERROR((F74+G74)*I73,0)</f>
      </c>
    </row>
    <row r="74" spans="1:10">
      <c r="A74" s="2"/>
      <c r="E74">
        <f>VLOOKUP(TablaMarimba6[[#This Row],[Equipo]],Catalogos!$I$4:$J$54,2,FALSE)</f>
      </c>
      <c r="F74" s="3"/>
      <c r="G74" s="367"/>
      <c r="H74" s="3">
        <f t="shared" si="2"/>
      </c>
      <c r="I74" s="4">
        <v>28.3</v>
      </c>
      <c r="J74" s="4">
        <f>IFERROR((F75+G75)*I74,0)</f>
      </c>
    </row>
    <row r="75" spans="1:10">
      <c r="A75" s="2"/>
      <c r="E75">
        <f>VLOOKUP(TablaMarimba6[[#This Row],[Equipo]],Catalogos!$I$4:$J$54,2,FALSE)</f>
      </c>
      <c r="F75" s="3"/>
      <c r="G75" s="367"/>
      <c r="H75" s="3">
        <f t="shared" si="2"/>
      </c>
      <c r="I75" s="4">
        <v>28.3</v>
      </c>
      <c r="J75" s="4">
        <f>IFERROR((#REF!+#REF!)*I75,0)</f>
      </c>
    </row>
    <row r="76" spans="1:10">
      <c r="A76" s="2"/>
      <c r="E76">
        <f>VLOOKUP(TablaMarimba6[[#This Row],[Equipo]],Catalogos!$I$4:$J$35,2,FALSE)</f>
      </c>
      <c r="F76" s="3"/>
      <c r="G76" s="367"/>
      <c r="H76" s="3">
        <f t="shared" si="2"/>
      </c>
      <c r="I76" s="4">
        <v>28.3</v>
      </c>
      <c r="J76" s="4">
        <f t="shared" ref="J76:J139" si="4">IFERROR((F76+G76)*I76,0)</f>
      </c>
    </row>
    <row r="77" spans="1:10">
      <c r="A77" s="2"/>
      <c r="E77">
        <f>VLOOKUP(TablaMarimba6[[#This Row],[Equipo]],Catalogos!$I$4:$J$35,2,FALSE)</f>
      </c>
      <c r="F77" s="3"/>
      <c r="G77" s="367"/>
      <c r="H77" s="3">
        <f t="shared" si="2"/>
      </c>
      <c r="I77" s="4">
        <v>28.3</v>
      </c>
      <c r="J77" s="4">
        <f t="shared" si="4"/>
      </c>
    </row>
    <row r="78" spans="1:10">
      <c r="A78" s="2"/>
      <c r="E78">
        <f>VLOOKUP(TablaMarimba6[[#This Row],[Equipo]],Catalogos!$I$4:$J$35,2,FALSE)</f>
      </c>
      <c r="F78" s="3"/>
      <c r="G78" s="367"/>
      <c r="H78" s="3">
        <f t="shared" si="2"/>
      </c>
      <c r="I78" s="4">
        <v>28.3</v>
      </c>
      <c r="J78" s="4">
        <f t="shared" si="4"/>
      </c>
    </row>
    <row r="79" spans="1:10">
      <c r="A79" s="2"/>
      <c r="E79">
        <f>VLOOKUP(TablaMarimba6[[#This Row],[Equipo]],Catalogos!$I$4:$J$35,2,FALSE)</f>
      </c>
      <c r="F79" s="3"/>
      <c r="G79" s="367"/>
      <c r="H79" s="3">
        <f t="shared" si="2"/>
      </c>
      <c r="I79" s="4">
        <v>28.3</v>
      </c>
      <c r="J79" s="4">
        <f t="shared" si="4"/>
      </c>
    </row>
    <row r="80" spans="1:10">
      <c r="A80" s="2"/>
      <c r="E80">
        <f>VLOOKUP(TablaMarimba6[[#This Row],[Equipo]],Catalogos!$I$4:$J$35,2,FALSE)</f>
      </c>
      <c r="F80" s="3"/>
      <c r="G80" s="367"/>
      <c r="H80" s="3">
        <f t="shared" si="2"/>
      </c>
      <c r="I80" s="4">
        <v>28.3</v>
      </c>
      <c r="J80" s="4">
        <f t="shared" si="4"/>
      </c>
    </row>
    <row r="81" spans="1:10">
      <c r="A81" s="2"/>
      <c r="E81">
        <f>VLOOKUP(TablaMarimba6[[#This Row],[Equipo]],Catalogos!$I$4:$J$35,2,FALSE)</f>
      </c>
      <c r="F81" s="3"/>
      <c r="G81" s="367"/>
      <c r="H81" s="3">
        <f t="shared" si="2"/>
      </c>
      <c r="I81" s="4">
        <v>28.3</v>
      </c>
      <c r="J81" s="4">
        <f t="shared" si="4"/>
      </c>
    </row>
    <row r="82" spans="1:10">
      <c r="A82" s="2"/>
      <c r="E82">
        <f>VLOOKUP(TablaMarimba6[[#This Row],[Equipo]],Catalogos!$I$4:$J$35,2,FALSE)</f>
      </c>
      <c r="F82" s="3"/>
      <c r="G82" s="367"/>
      <c r="H82" s="3">
        <f t="shared" si="2"/>
      </c>
      <c r="I82" s="4">
        <v>28.3</v>
      </c>
      <c r="J82" s="4">
        <f t="shared" si="4"/>
      </c>
    </row>
    <row r="83" spans="1:10">
      <c r="A83" s="2"/>
      <c r="E83">
        <f>VLOOKUP(TablaMarimba6[[#This Row],[Equipo]],Catalogos!$I$4:$J$35,2,FALSE)</f>
      </c>
      <c r="F83" s="3"/>
      <c r="G83" s="367"/>
      <c r="H83" s="3">
        <f t="shared" si="2"/>
      </c>
      <c r="I83" s="4">
        <v>28.3</v>
      </c>
      <c r="J83" s="4">
        <f t="shared" si="4"/>
      </c>
    </row>
    <row r="84" spans="1:10">
      <c r="A84" s="2"/>
      <c r="E84">
        <f>VLOOKUP(TablaMarimba6[[#This Row],[Equipo]],Catalogos!$I$4:$J$35,2,FALSE)</f>
      </c>
      <c r="F84" s="3"/>
      <c r="G84" s="367"/>
      <c r="H84" s="3">
        <f t="shared" si="2"/>
      </c>
      <c r="I84" s="4">
        <v>28.3</v>
      </c>
      <c r="J84" s="4">
        <f t="shared" si="4"/>
      </c>
    </row>
    <row r="85" spans="1:10">
      <c r="A85" s="2"/>
      <c r="E85">
        <f>VLOOKUP(TablaMarimba6[[#This Row],[Equipo]],Catalogos!$I$4:$J$35,2,FALSE)</f>
      </c>
      <c r="F85" s="3"/>
      <c r="G85" s="367"/>
      <c r="H85" s="3">
        <f t="shared" si="2"/>
      </c>
      <c r="I85" s="4">
        <v>28.3</v>
      </c>
      <c r="J85" s="4">
        <f t="shared" si="4"/>
      </c>
    </row>
    <row r="86" spans="1:10">
      <c r="A86" s="2"/>
      <c r="E86">
        <f>VLOOKUP(TablaMarimba6[[#This Row],[Equipo]],Catalogos!$I$4:$J$35,2,FALSE)</f>
      </c>
      <c r="F86" s="3"/>
      <c r="G86" s="367"/>
      <c r="H86" s="3">
        <f t="shared" si="2"/>
      </c>
      <c r="I86" s="4">
        <v>28.3</v>
      </c>
      <c r="J86" s="4">
        <f t="shared" si="4"/>
      </c>
    </row>
    <row r="87" spans="1:10">
      <c r="A87" s="2"/>
      <c r="E87">
        <f>VLOOKUP(TablaMarimba6[[#This Row],[Equipo]],Catalogos!$I$4:$J$35,2,FALSE)</f>
      </c>
      <c r="F87" s="3"/>
      <c r="G87" s="367"/>
      <c r="H87" s="3">
        <f t="shared" si="2"/>
      </c>
      <c r="I87" s="4">
        <v>28.3</v>
      </c>
      <c r="J87" s="4">
        <f t="shared" si="4"/>
      </c>
    </row>
    <row r="88" spans="1:10">
      <c r="A88" s="2"/>
      <c r="E88">
        <f>VLOOKUP(TablaMarimba6[[#This Row],[Equipo]],Catalogos!$I$4:$J$35,2,FALSE)</f>
      </c>
      <c r="F88" s="3"/>
      <c r="G88" s="367"/>
      <c r="H88" s="3">
        <f t="shared" si="2"/>
      </c>
      <c r="I88" s="4">
        <v>28.3</v>
      </c>
      <c r="J88" s="4">
        <f t="shared" si="4"/>
      </c>
    </row>
    <row r="89" spans="1:10">
      <c r="A89" s="2"/>
      <c r="E89">
        <f>VLOOKUP(TablaMarimba6[[#This Row],[Equipo]],Catalogos!$I$4:$J$35,2,FALSE)</f>
      </c>
      <c r="F89" s="3"/>
      <c r="G89" s="367"/>
      <c r="H89" s="3">
        <f t="shared" si="2"/>
      </c>
      <c r="I89" s="4">
        <v>28.3</v>
      </c>
      <c r="J89" s="4">
        <f t="shared" si="4"/>
      </c>
    </row>
    <row r="90" spans="1:10">
      <c r="A90" s="2"/>
      <c r="E90">
        <f>VLOOKUP(TablaMarimba6[[#This Row],[Equipo]],Catalogos!$I$4:$J$35,2,FALSE)</f>
      </c>
      <c r="F90" s="3"/>
      <c r="G90" s="367"/>
      <c r="H90" s="3">
        <f t="shared" si="2"/>
      </c>
      <c r="I90" s="4">
        <v>28.3</v>
      </c>
      <c r="J90" s="4">
        <f t="shared" si="4"/>
      </c>
    </row>
    <row r="91" spans="1:10">
      <c r="A91" s="2"/>
      <c r="E91">
        <f>VLOOKUP(TablaMarimba6[[#This Row],[Equipo]],Catalogos!$I$4:$J$35,2,FALSE)</f>
      </c>
      <c r="F91" s="3"/>
      <c r="G91" s="367"/>
      <c r="H91" s="3">
        <f t="shared" si="2"/>
      </c>
      <c r="I91" s="4">
        <v>28.3</v>
      </c>
      <c r="J91" s="4">
        <f t="shared" si="4"/>
      </c>
    </row>
    <row r="92" spans="1:10">
      <c r="A92" s="2"/>
      <c r="E92">
        <f>VLOOKUP(TablaMarimba6[[#This Row],[Equipo]],Catalogos!$I$4:$J$35,2,FALSE)</f>
      </c>
      <c r="F92" s="3"/>
      <c r="G92" s="367"/>
      <c r="H92" s="3">
        <f t="shared" si="2"/>
      </c>
      <c r="I92" s="4">
        <v>28.3</v>
      </c>
      <c r="J92" s="4">
        <f t="shared" si="4"/>
      </c>
    </row>
    <row r="93" spans="1:10">
      <c r="A93" s="2"/>
      <c r="E93">
        <f>VLOOKUP(TablaMarimba6[[#This Row],[Equipo]],Catalogos!$I$4:$J$35,2,FALSE)</f>
      </c>
      <c r="F93" s="3"/>
      <c r="G93" s="367"/>
      <c r="H93" s="3">
        <f t="shared" si="2"/>
      </c>
      <c r="I93" s="4">
        <v>28.3</v>
      </c>
      <c r="J93" s="4">
        <f t="shared" si="4"/>
      </c>
    </row>
    <row r="94" spans="1:10">
      <c r="A94" s="2"/>
      <c r="E94">
        <f>VLOOKUP(TablaMarimba6[[#This Row],[Equipo]],Catalogos!$I$4:$J$35,2,FALSE)</f>
      </c>
      <c r="F94" s="3"/>
      <c r="G94" s="367"/>
      <c r="H94" s="3">
        <f t="shared" si="2"/>
      </c>
      <c r="I94" s="4">
        <v>28.3</v>
      </c>
      <c r="J94" s="4">
        <f t="shared" si="4"/>
      </c>
    </row>
    <row r="95" spans="1:10">
      <c r="A95" s="2"/>
      <c r="E95">
        <f>VLOOKUP(TablaMarimba6[[#This Row],[Equipo]],Catalogos!$I$4:$J$35,2,FALSE)</f>
      </c>
      <c r="F95" s="3"/>
      <c r="G95" s="367"/>
      <c r="H95" s="3">
        <f t="shared" si="2"/>
      </c>
      <c r="I95" s="4">
        <v>28.3</v>
      </c>
      <c r="J95" s="4">
        <f t="shared" si="4"/>
      </c>
    </row>
    <row r="96" spans="1:10">
      <c r="A96" s="2"/>
      <c r="E96">
        <f>VLOOKUP(TablaMarimba6[[#This Row],[Equipo]],Catalogos!$I$4:$J$35,2,FALSE)</f>
      </c>
      <c r="F96" s="3"/>
      <c r="G96" s="367"/>
      <c r="H96" s="3">
        <f t="shared" si="2"/>
      </c>
      <c r="I96" s="4">
        <v>28.3</v>
      </c>
      <c r="J96" s="4">
        <f t="shared" si="4"/>
      </c>
    </row>
    <row r="97" spans="1:10">
      <c r="A97" s="2"/>
      <c r="E97">
        <f>VLOOKUP(TablaMarimba6[[#This Row],[Equipo]],Catalogos!$I$4:$J$35,2,FALSE)</f>
      </c>
      <c r="F97" s="3"/>
      <c r="G97" s="367"/>
      <c r="H97" s="3">
        <f t="shared" si="2"/>
      </c>
      <c r="I97" s="4">
        <v>28.3</v>
      </c>
      <c r="J97" s="4">
        <f t="shared" si="4"/>
      </c>
    </row>
    <row r="98" spans="1:10">
      <c r="A98" s="2"/>
      <c r="E98">
        <f>VLOOKUP(TablaMarimba6[[#This Row],[Equipo]],Catalogos!$I$4:$J$35,2,FALSE)</f>
      </c>
      <c r="F98" s="3"/>
      <c r="G98" s="367"/>
      <c r="H98" s="3">
        <f t="shared" si="2"/>
      </c>
      <c r="I98" s="4">
        <v>28.3</v>
      </c>
      <c r="J98" s="4">
        <f t="shared" si="4"/>
      </c>
    </row>
    <row r="99" spans="1:10">
      <c r="A99" s="2"/>
      <c r="E99">
        <f>VLOOKUP(TablaMarimba6[[#This Row],[Equipo]],Catalogos!$I$4:$J$35,2,FALSE)</f>
      </c>
      <c r="F99" s="3"/>
      <c r="G99" s="367"/>
      <c r="H99" s="3">
        <f t="shared" si="2"/>
      </c>
      <c r="I99" s="4">
        <v>28.3</v>
      </c>
      <c r="J99" s="4">
        <f t="shared" si="4"/>
      </c>
    </row>
    <row r="100" spans="1:10">
      <c r="A100" s="2"/>
      <c r="E100">
        <f>VLOOKUP(TablaMarimba6[[#This Row],[Equipo]],Catalogos!$I$4:$J$35,2,FALSE)</f>
      </c>
      <c r="F100" s="3"/>
      <c r="G100" s="367"/>
      <c r="H100" s="3">
        <f t="shared" si="2"/>
      </c>
      <c r="I100" s="4">
        <v>28.3</v>
      </c>
      <c r="J100" s="4">
        <f t="shared" si="4"/>
      </c>
    </row>
    <row r="101" spans="1:10">
      <c r="A101" s="2"/>
      <c r="E101">
        <f>VLOOKUP(TablaMarimba6[[#This Row],[Equipo]],Catalogos!$I$4:$J$35,2,FALSE)</f>
      </c>
      <c r="F101" s="3"/>
      <c r="G101" s="367"/>
      <c r="H101" s="3">
        <f t="shared" si="2"/>
      </c>
      <c r="I101" s="4">
        <v>28.3</v>
      </c>
      <c r="J101" s="4">
        <f t="shared" si="4"/>
      </c>
    </row>
    <row r="102" spans="1:10">
      <c r="A102" s="2"/>
      <c r="E102">
        <f>VLOOKUP(TablaMarimba6[[#This Row],[Equipo]],Catalogos!$I$4:$J$35,2,FALSE)</f>
      </c>
      <c r="F102" s="3"/>
      <c r="G102" s="367"/>
      <c r="H102" s="3">
        <f t="shared" si="2"/>
      </c>
      <c r="I102" s="4">
        <v>28.3</v>
      </c>
      <c r="J102" s="4">
        <f t="shared" si="4"/>
      </c>
    </row>
    <row r="103" spans="1:10">
      <c r="A103" s="2"/>
      <c r="E103">
        <f>VLOOKUP(TablaMarimba6[[#This Row],[Equipo]],Catalogos!$I$4:$J$35,2,FALSE)</f>
      </c>
      <c r="F103" s="3"/>
      <c r="G103" s="367"/>
      <c r="H103" s="3">
        <f t="shared" si="2"/>
      </c>
      <c r="I103" s="4">
        <v>28.3</v>
      </c>
      <c r="J103" s="4">
        <f t="shared" si="4"/>
      </c>
    </row>
    <row r="104" spans="1:10">
      <c r="A104" s="2"/>
      <c r="E104">
        <f>VLOOKUP(TablaMarimba6[[#This Row],[Equipo]],Catalogos!$I$4:$J$35,2,FALSE)</f>
      </c>
      <c r="F104" s="3"/>
      <c r="G104" s="367"/>
      <c r="H104" s="3">
        <f t="shared" si="2"/>
      </c>
      <c r="I104" s="4">
        <v>28.3</v>
      </c>
      <c r="J104" s="4">
        <f t="shared" si="4"/>
      </c>
    </row>
    <row r="105" spans="1:10">
      <c r="A105" s="2"/>
      <c r="E105">
        <f>VLOOKUP(TablaMarimba6[[#This Row],[Equipo]],Catalogos!$I$4:$J$35,2,FALSE)</f>
      </c>
      <c r="F105" s="3"/>
      <c r="G105" s="367"/>
      <c r="H105" s="3">
        <f t="shared" si="2"/>
      </c>
      <c r="I105" s="4">
        <v>28.3</v>
      </c>
      <c r="J105" s="4">
        <f t="shared" si="4"/>
      </c>
    </row>
    <row r="106" spans="1:10">
      <c r="A106" s="2"/>
      <c r="E106">
        <f>VLOOKUP(TablaMarimba6[[#This Row],[Equipo]],Catalogos!$I$4:$J$35,2,FALSE)</f>
      </c>
      <c r="F106" s="3"/>
      <c r="G106" s="367"/>
      <c r="H106" s="3">
        <f t="shared" si="2"/>
      </c>
      <c r="I106" s="4">
        <v>28.3</v>
      </c>
      <c r="J106" s="4">
        <f t="shared" si="4"/>
      </c>
    </row>
    <row r="107" spans="1:10">
      <c r="A107" s="2"/>
      <c r="E107">
        <f>VLOOKUP(TablaMarimba6[[#This Row],[Equipo]],Catalogos!$I$4:$J$35,2,FALSE)</f>
      </c>
      <c r="F107" s="3"/>
      <c r="G107" s="367"/>
      <c r="H107" s="3">
        <f t="shared" si="2"/>
      </c>
      <c r="I107" s="4">
        <v>28.3</v>
      </c>
      <c r="J107" s="4">
        <f t="shared" si="4"/>
      </c>
    </row>
    <row r="108" spans="1:10">
      <c r="A108" s="2"/>
      <c r="E108">
        <f>VLOOKUP(TablaMarimba6[[#This Row],[Equipo]],Catalogos!$I$4:$J$35,2,FALSE)</f>
      </c>
      <c r="F108" s="3"/>
      <c r="G108" s="367"/>
      <c r="H108" s="3">
        <f t="shared" si="2"/>
      </c>
      <c r="I108" s="4">
        <v>28.3</v>
      </c>
      <c r="J108" s="4">
        <f t="shared" si="4"/>
      </c>
    </row>
    <row r="109" spans="1:10">
      <c r="A109" s="2"/>
      <c r="E109">
        <f>VLOOKUP(TablaMarimba6[[#This Row],[Equipo]],Catalogos!$I$4:$J$35,2,FALSE)</f>
      </c>
      <c r="F109" s="3"/>
      <c r="G109" s="367"/>
      <c r="H109" s="3">
        <f t="shared" si="2"/>
      </c>
      <c r="I109" s="4">
        <v>28.3</v>
      </c>
      <c r="J109" s="4">
        <f t="shared" si="4"/>
      </c>
    </row>
    <row r="110" spans="1:10">
      <c r="A110" s="2"/>
      <c r="E110">
        <f>VLOOKUP(TablaMarimba6[[#This Row],[Equipo]],Catalogos!$I$4:$J$35,2,FALSE)</f>
      </c>
      <c r="F110" s="3"/>
      <c r="G110" s="367"/>
      <c r="H110" s="3">
        <f t="shared" si="2"/>
      </c>
      <c r="I110" s="4">
        <v>28.3</v>
      </c>
      <c r="J110" s="4">
        <f t="shared" si="4"/>
      </c>
    </row>
    <row r="111" spans="1:10">
      <c r="A111" s="2"/>
      <c r="E111">
        <f>VLOOKUP(TablaMarimba6[[#This Row],[Equipo]],Catalogos!$I$4:$J$35,2,FALSE)</f>
      </c>
      <c r="F111" s="3"/>
      <c r="G111" s="367"/>
      <c r="H111" s="3">
        <f t="shared" si="2"/>
      </c>
      <c r="I111" s="4">
        <v>28.3</v>
      </c>
      <c r="J111" s="4">
        <f t="shared" si="4"/>
      </c>
    </row>
    <row r="112" spans="1:10">
      <c r="A112" s="2"/>
      <c r="E112">
        <f>VLOOKUP(TablaMarimba6[[#This Row],[Equipo]],Catalogos!$I$4:$J$35,2,FALSE)</f>
      </c>
      <c r="F112" s="3"/>
      <c r="G112" s="367"/>
      <c r="H112" s="3">
        <f t="shared" si="2"/>
      </c>
      <c r="I112" s="4">
        <v>28.3</v>
      </c>
      <c r="J112" s="4">
        <f t="shared" si="4"/>
      </c>
    </row>
    <row r="113" spans="1:10">
      <c r="A113" s="2"/>
      <c r="E113">
        <f>VLOOKUP(TablaMarimba6[[#This Row],[Equipo]],Catalogos!$I$4:$J$35,2,FALSE)</f>
      </c>
      <c r="F113" s="3"/>
      <c r="G113" s="367"/>
      <c r="H113" s="3">
        <f t="shared" si="2"/>
      </c>
      <c r="I113" s="4">
        <v>28.3</v>
      </c>
      <c r="J113" s="4">
        <f t="shared" si="4"/>
      </c>
    </row>
    <row r="114" spans="1:10">
      <c r="A114" s="2"/>
      <c r="E114">
        <f>VLOOKUP(TablaMarimba6[[#This Row],[Equipo]],Catalogos!$I$4:$J$35,2,FALSE)</f>
      </c>
      <c r="F114" s="3"/>
      <c r="G114" s="367"/>
      <c r="H114" s="3">
        <f t="shared" si="2"/>
      </c>
      <c r="I114" s="4">
        <v>28.3</v>
      </c>
      <c r="J114" s="4">
        <f t="shared" si="4"/>
      </c>
    </row>
    <row r="115" spans="1:10">
      <c r="A115" s="2"/>
      <c r="E115">
        <f>VLOOKUP(TablaMarimba6[[#This Row],[Equipo]],Catalogos!$I$4:$J$35,2,FALSE)</f>
      </c>
      <c r="F115" s="3"/>
      <c r="G115" s="367"/>
      <c r="H115" s="3">
        <f t="shared" si="2"/>
      </c>
      <c r="I115" s="4">
        <v>28.3</v>
      </c>
      <c r="J115" s="4">
        <f t="shared" si="4"/>
      </c>
    </row>
    <row r="116" spans="1:10">
      <c r="A116" s="2"/>
      <c r="E116">
        <f>VLOOKUP(TablaMarimba6[[#This Row],[Equipo]],Catalogos!$I$4:$J$35,2,FALSE)</f>
      </c>
      <c r="F116" s="3"/>
      <c r="G116" s="367"/>
      <c r="H116" s="3">
        <f t="shared" si="2"/>
      </c>
      <c r="I116" s="4">
        <v>28.3</v>
      </c>
      <c r="J116" s="4">
        <f t="shared" si="4"/>
      </c>
    </row>
    <row r="117" spans="1:10">
      <c r="A117" s="2"/>
      <c r="E117">
        <f>VLOOKUP(TablaMarimba6[[#This Row],[Equipo]],Catalogos!$I$4:$J$35,2,FALSE)</f>
      </c>
      <c r="F117" s="3"/>
      <c r="G117" s="367"/>
      <c r="H117" s="3">
        <f t="shared" si="2"/>
      </c>
      <c r="I117" s="4">
        <v>28.3</v>
      </c>
      <c r="J117" s="4">
        <f t="shared" si="4"/>
      </c>
    </row>
    <row r="118" spans="1:10">
      <c r="A118" s="2"/>
      <c r="E118">
        <f>VLOOKUP(TablaMarimba6[[#This Row],[Equipo]],Catalogos!$I$4:$J$35,2,FALSE)</f>
      </c>
      <c r="F118" s="3"/>
      <c r="G118" s="367"/>
      <c r="H118" s="3">
        <f t="shared" si="2"/>
      </c>
      <c r="I118" s="4">
        <v>28.3</v>
      </c>
      <c r="J118" s="4">
        <f t="shared" si="4"/>
      </c>
    </row>
    <row r="119" spans="1:10">
      <c r="A119" s="2"/>
      <c r="E119">
        <f>VLOOKUP(TablaMarimba6[[#This Row],[Equipo]],Catalogos!$I$4:$J$35,2,FALSE)</f>
      </c>
      <c r="F119" s="3"/>
      <c r="G119" s="367"/>
      <c r="H119" s="3">
        <f t="shared" si="2"/>
      </c>
      <c r="I119" s="4">
        <v>28.3</v>
      </c>
      <c r="J119" s="4">
        <f t="shared" si="4"/>
      </c>
    </row>
    <row r="120" spans="1:10">
      <c r="A120" s="2"/>
      <c r="E120">
        <f>VLOOKUP(TablaMarimba6[[#This Row],[Equipo]],Catalogos!$I$4:$J$35,2,FALSE)</f>
      </c>
      <c r="F120" s="3"/>
      <c r="G120" s="367"/>
      <c r="H120" s="3">
        <f t="shared" si="2"/>
      </c>
      <c r="I120" s="4">
        <v>28.3</v>
      </c>
      <c r="J120" s="4">
        <f t="shared" si="4"/>
      </c>
    </row>
    <row r="121" spans="1:10">
      <c r="A121" s="2"/>
      <c r="E121">
        <f>VLOOKUP(TablaMarimba6[[#This Row],[Equipo]],Catalogos!$I$4:$J$35,2,FALSE)</f>
      </c>
      <c r="F121" s="3"/>
      <c r="G121" s="367"/>
      <c r="H121" s="3">
        <f t="shared" si="2"/>
      </c>
      <c r="I121" s="4">
        <v>28.3</v>
      </c>
      <c r="J121" s="4">
        <f t="shared" si="4"/>
      </c>
    </row>
    <row r="122" spans="1:10">
      <c r="A122" s="2"/>
      <c r="E122">
        <f>VLOOKUP(TablaMarimba6[[#This Row],[Equipo]],Catalogos!$I$4:$J$35,2,FALSE)</f>
      </c>
      <c r="F122" s="3"/>
      <c r="G122" s="367"/>
      <c r="H122" s="3">
        <f t="shared" si="2"/>
      </c>
      <c r="I122" s="4">
        <v>28.3</v>
      </c>
      <c r="J122" s="4">
        <f t="shared" si="4"/>
      </c>
    </row>
    <row r="123" spans="1:10">
      <c r="A123" s="2"/>
      <c r="E123">
        <f>VLOOKUP(TablaMarimba6[[#This Row],[Equipo]],Catalogos!$I$4:$J$35,2,FALSE)</f>
      </c>
      <c r="F123" s="3"/>
      <c r="G123" s="367"/>
      <c r="H123" s="3">
        <f t="shared" si="2"/>
      </c>
      <c r="I123" s="4">
        <v>28.3</v>
      </c>
      <c r="J123" s="4">
        <f t="shared" si="4"/>
      </c>
    </row>
    <row r="124" spans="1:10">
      <c r="A124" s="2"/>
      <c r="E124">
        <f>VLOOKUP(TablaMarimba6[[#This Row],[Equipo]],Catalogos!$I$4:$J$35,2,FALSE)</f>
      </c>
      <c r="F124" s="3"/>
      <c r="G124" s="367"/>
      <c r="H124" s="3">
        <f t="shared" si="2"/>
      </c>
      <c r="I124" s="4">
        <v>28.3</v>
      </c>
      <c r="J124" s="4">
        <f t="shared" si="4"/>
      </c>
    </row>
    <row r="125" spans="1:10">
      <c r="A125" s="2"/>
      <c r="E125">
        <f>VLOOKUP(TablaMarimba6[[#This Row],[Equipo]],Catalogos!$I$4:$J$35,2,FALSE)</f>
      </c>
      <c r="F125" s="3"/>
      <c r="G125" s="367"/>
      <c r="H125" s="3">
        <f t="shared" si="2"/>
      </c>
      <c r="I125" s="4">
        <v>28.3</v>
      </c>
      <c r="J125" s="4">
        <f t="shared" si="4"/>
      </c>
    </row>
    <row r="126" spans="1:10">
      <c r="A126" s="2"/>
      <c r="E126">
        <f>VLOOKUP(TablaMarimba6[[#This Row],[Equipo]],Catalogos!$I$4:$J$35,2,FALSE)</f>
      </c>
      <c r="F126" s="3"/>
      <c r="G126" s="367"/>
      <c r="H126" s="3">
        <f t="shared" si="2"/>
      </c>
      <c r="I126" s="4">
        <v>28.3</v>
      </c>
      <c r="J126" s="4">
        <f t="shared" si="4"/>
      </c>
    </row>
    <row r="127" spans="1:10">
      <c r="A127" s="2"/>
      <c r="E127">
        <f>VLOOKUP(TablaMarimba6[[#This Row],[Equipo]],Catalogos!$I$4:$J$35,2,FALSE)</f>
      </c>
      <c r="F127" s="3"/>
      <c r="G127" s="367"/>
      <c r="H127" s="3">
        <f t="shared" si="2"/>
      </c>
      <c r="I127" s="4">
        <v>28.3</v>
      </c>
      <c r="J127" s="4">
        <f t="shared" si="4"/>
      </c>
    </row>
    <row r="128" spans="1:10">
      <c r="A128" s="2"/>
      <c r="E128">
        <f>VLOOKUP(TablaMarimba6[[#This Row],[Equipo]],Catalogos!$I$4:$J$35,2,FALSE)</f>
      </c>
      <c r="F128" s="3"/>
      <c r="G128" s="367"/>
      <c r="H128" s="3">
        <f t="shared" si="2"/>
      </c>
      <c r="I128" s="4">
        <v>28.3</v>
      </c>
      <c r="J128" s="4">
        <f t="shared" si="4"/>
      </c>
    </row>
    <row r="129" spans="1:10">
      <c r="A129" s="2"/>
      <c r="E129">
        <f>VLOOKUP(TablaMarimba6[[#This Row],[Equipo]],Catalogos!$I$4:$J$35,2,FALSE)</f>
      </c>
      <c r="F129" s="3"/>
      <c r="G129" s="367"/>
      <c r="H129" s="3">
        <f t="shared" si="2"/>
      </c>
      <c r="I129" s="4">
        <v>28.3</v>
      </c>
      <c r="J129" s="4">
        <f t="shared" si="4"/>
      </c>
    </row>
    <row r="130" spans="1:10">
      <c r="A130" s="2"/>
      <c r="E130">
        <f>VLOOKUP(TablaMarimba6[[#This Row],[Equipo]],Catalogos!$I$4:$J$35,2,FALSE)</f>
      </c>
      <c r="F130" s="3"/>
      <c r="G130" s="367"/>
      <c r="H130" s="3">
        <f t="shared" ref="H130:H193" si="5">IF(ROW()=5,F130-G130,H129+F130-G130)</f>
      </c>
      <c r="I130" s="4">
        <v>28.3</v>
      </c>
      <c r="J130" s="4">
        <f t="shared" si="4"/>
      </c>
    </row>
    <row r="131" spans="1:10">
      <c r="A131" s="2"/>
      <c r="E131">
        <f>VLOOKUP(TablaMarimba6[[#This Row],[Equipo]],Catalogos!$I$4:$J$35,2,FALSE)</f>
      </c>
      <c r="F131" s="3"/>
      <c r="G131" s="367"/>
      <c r="H131" s="3">
        <f t="shared" si="5"/>
      </c>
      <c r="I131" s="4">
        <v>28.3</v>
      </c>
      <c r="J131" s="4">
        <f t="shared" si="4"/>
      </c>
    </row>
    <row r="132" spans="1:10">
      <c r="A132" s="2"/>
      <c r="E132">
        <f>VLOOKUP(TablaMarimba6[[#This Row],[Equipo]],Catalogos!$I$4:$J$35,2,FALSE)</f>
      </c>
      <c r="F132" s="3"/>
      <c r="G132" s="367"/>
      <c r="H132" s="3">
        <f t="shared" si="5"/>
      </c>
      <c r="I132" s="4">
        <v>28.3</v>
      </c>
      <c r="J132" s="4">
        <f t="shared" si="4"/>
      </c>
    </row>
    <row r="133" spans="1:10">
      <c r="A133" s="2"/>
      <c r="E133">
        <f>VLOOKUP(TablaMarimba6[[#This Row],[Equipo]],Catalogos!$I$4:$J$35,2,FALSE)</f>
      </c>
      <c r="F133" s="3"/>
      <c r="G133" s="367"/>
      <c r="H133" s="3">
        <f t="shared" si="5"/>
      </c>
      <c r="I133" s="4">
        <v>28.3</v>
      </c>
      <c r="J133" s="4">
        <f t="shared" si="4"/>
      </c>
    </row>
    <row r="134" spans="1:10">
      <c r="A134" s="2"/>
      <c r="E134">
        <f>VLOOKUP(TablaMarimba6[[#This Row],[Equipo]],Catalogos!$I$4:$J$35,2,FALSE)</f>
      </c>
      <c r="F134" s="3"/>
      <c r="G134" s="367"/>
      <c r="H134" s="3">
        <f t="shared" si="5"/>
      </c>
      <c r="I134" s="4">
        <v>28.3</v>
      </c>
      <c r="J134" s="4">
        <f t="shared" si="4"/>
      </c>
    </row>
    <row r="135" spans="1:10">
      <c r="A135" s="2"/>
      <c r="E135">
        <f>VLOOKUP(TablaMarimba6[[#This Row],[Equipo]],Catalogos!$I$4:$J$35,2,FALSE)</f>
      </c>
      <c r="F135" s="3"/>
      <c r="G135" s="367"/>
      <c r="H135" s="3">
        <f t="shared" si="5"/>
      </c>
      <c r="I135" s="4">
        <v>28.3</v>
      </c>
      <c r="J135" s="4">
        <f t="shared" si="4"/>
      </c>
    </row>
    <row r="136" spans="1:10">
      <c r="A136" s="2"/>
      <c r="E136">
        <f>VLOOKUP(TablaMarimba6[[#This Row],[Equipo]],Catalogos!$I$4:$J$35,2,FALSE)</f>
      </c>
      <c r="F136" s="3"/>
      <c r="G136" s="367"/>
      <c r="H136" s="3">
        <f t="shared" si="5"/>
      </c>
      <c r="I136" s="4">
        <v>28.3</v>
      </c>
      <c r="J136" s="4">
        <f t="shared" si="4"/>
      </c>
    </row>
    <row r="137" spans="1:10">
      <c r="A137" s="2"/>
      <c r="E137">
        <f>VLOOKUP(TablaMarimba6[[#This Row],[Equipo]],Catalogos!$I$4:$J$35,2,FALSE)</f>
      </c>
      <c r="F137" s="3"/>
      <c r="G137" s="367"/>
      <c r="H137" s="3">
        <f t="shared" si="5"/>
      </c>
      <c r="I137" s="4">
        <v>28.3</v>
      </c>
      <c r="J137" s="4">
        <f t="shared" si="4"/>
      </c>
    </row>
    <row r="138" spans="1:10">
      <c r="A138" s="2"/>
      <c r="E138">
        <f>VLOOKUP(TablaMarimba6[[#This Row],[Equipo]],Catalogos!$I$4:$J$35,2,FALSE)</f>
      </c>
      <c r="F138" s="3"/>
      <c r="G138" s="367"/>
      <c r="H138" s="3">
        <f t="shared" si="5"/>
      </c>
      <c r="I138" s="4">
        <v>28.3</v>
      </c>
      <c r="J138" s="4">
        <f t="shared" si="4"/>
      </c>
    </row>
    <row r="139" spans="1:10">
      <c r="A139" s="2"/>
      <c r="E139">
        <f>VLOOKUP(TablaMarimba6[[#This Row],[Equipo]],Catalogos!$I$4:$J$35,2,FALSE)</f>
      </c>
      <c r="F139" s="3"/>
      <c r="G139" s="367"/>
      <c r="H139" s="3">
        <f t="shared" si="5"/>
      </c>
      <c r="I139" s="4">
        <v>28.3</v>
      </c>
      <c r="J139" s="4">
        <f t="shared" si="4"/>
      </c>
    </row>
    <row r="140" spans="1:10">
      <c r="A140" s="2"/>
      <c r="E140">
        <f>VLOOKUP(TablaMarimba6[[#This Row],[Equipo]],Catalogos!$I$4:$J$35,2,FALSE)</f>
      </c>
      <c r="F140" s="3"/>
      <c r="G140" s="367"/>
      <c r="H140" s="3">
        <f t="shared" si="5"/>
      </c>
      <c r="I140" s="4">
        <v>28.3</v>
      </c>
      <c r="J140" s="4">
        <f t="shared" ref="J140:J203" si="6">IFERROR((F140+G140)*I140,0)</f>
      </c>
    </row>
    <row r="141" spans="1:10">
      <c r="A141" s="2"/>
      <c r="E141">
        <f>VLOOKUP(TablaMarimba6[[#This Row],[Equipo]],Catalogos!$I$4:$J$35,2,FALSE)</f>
      </c>
      <c r="F141" s="3"/>
      <c r="G141" s="367"/>
      <c r="H141" s="3">
        <f t="shared" si="5"/>
      </c>
      <c r="I141" s="4">
        <v>28.3</v>
      </c>
      <c r="J141" s="4">
        <f t="shared" si="6"/>
      </c>
    </row>
    <row r="142" spans="1:10">
      <c r="A142" s="2"/>
      <c r="E142">
        <f>VLOOKUP(TablaMarimba6[[#This Row],[Equipo]],Catalogos!$I$4:$J$35,2,FALSE)</f>
      </c>
      <c r="F142" s="3"/>
      <c r="G142" s="367"/>
      <c r="H142" s="3">
        <f t="shared" si="5"/>
      </c>
      <c r="I142" s="4">
        <v>28.3</v>
      </c>
      <c r="J142" s="4">
        <f t="shared" si="6"/>
      </c>
    </row>
    <row r="143" spans="1:10">
      <c r="A143" s="2"/>
      <c r="E143">
        <f>VLOOKUP(TablaMarimba6[[#This Row],[Equipo]],Catalogos!$I$4:$J$35,2,FALSE)</f>
      </c>
      <c r="F143" s="3"/>
      <c r="G143" s="367"/>
      <c r="H143" s="3">
        <f t="shared" si="5"/>
      </c>
      <c r="I143" s="4">
        <v>28.3</v>
      </c>
      <c r="J143" s="4">
        <f t="shared" si="6"/>
      </c>
    </row>
    <row r="144" spans="1:10">
      <c r="A144" s="2"/>
      <c r="E144">
        <f>VLOOKUP(TablaMarimba6[[#This Row],[Equipo]],Catalogos!$I$4:$J$35,2,FALSE)</f>
      </c>
      <c r="F144" s="3"/>
      <c r="G144" s="367"/>
      <c r="H144" s="3">
        <f t="shared" si="5"/>
      </c>
      <c r="I144" s="4">
        <v>28.3</v>
      </c>
      <c r="J144" s="4">
        <f t="shared" si="6"/>
      </c>
    </row>
    <row r="145" spans="1:10">
      <c r="A145" s="2"/>
      <c r="E145">
        <f>VLOOKUP(TablaMarimba6[[#This Row],[Equipo]],Catalogos!$I$4:$J$35,2,FALSE)</f>
      </c>
      <c r="F145" s="3"/>
      <c r="G145" s="367"/>
      <c r="H145" s="3">
        <f t="shared" si="5"/>
      </c>
      <c r="I145" s="4">
        <v>28.3</v>
      </c>
      <c r="J145" s="4">
        <f t="shared" si="6"/>
      </c>
    </row>
    <row r="146" spans="1:10">
      <c r="A146" s="2"/>
      <c r="E146">
        <f>VLOOKUP(TablaMarimba6[[#This Row],[Equipo]],Catalogos!$I$4:$J$35,2,FALSE)</f>
      </c>
      <c r="F146" s="3"/>
      <c r="G146" s="367"/>
      <c r="H146" s="3">
        <f t="shared" si="5"/>
      </c>
      <c r="I146" s="4">
        <v>28.3</v>
      </c>
      <c r="J146" s="4">
        <f t="shared" si="6"/>
      </c>
    </row>
    <row r="147" spans="1:10">
      <c r="A147" s="2"/>
      <c r="E147">
        <f>VLOOKUP(TablaMarimba6[[#This Row],[Equipo]],Catalogos!$I$4:$J$35,2,FALSE)</f>
      </c>
      <c r="F147" s="3"/>
      <c r="G147" s="367"/>
      <c r="H147" s="3">
        <f t="shared" si="5"/>
      </c>
      <c r="I147" s="4">
        <v>28.3</v>
      </c>
      <c r="J147" s="4">
        <f t="shared" si="6"/>
      </c>
    </row>
    <row r="148" spans="1:10">
      <c r="A148" s="2"/>
      <c r="E148">
        <f>VLOOKUP(TablaMarimba6[[#This Row],[Equipo]],Catalogos!$I$4:$J$35,2,FALSE)</f>
      </c>
      <c r="F148" s="3"/>
      <c r="G148" s="367"/>
      <c r="H148" s="3">
        <f t="shared" si="5"/>
      </c>
      <c r="I148" s="4">
        <v>28.3</v>
      </c>
      <c r="J148" s="4">
        <f t="shared" si="6"/>
      </c>
    </row>
    <row r="149" spans="1:10">
      <c r="A149" s="2"/>
      <c r="E149">
        <f>VLOOKUP(TablaMarimba6[[#This Row],[Equipo]],Catalogos!$I$4:$J$35,2,FALSE)</f>
      </c>
      <c r="F149" s="3"/>
      <c r="G149" s="367"/>
      <c r="H149" s="3">
        <f t="shared" si="5"/>
      </c>
      <c r="I149" s="4">
        <v>28.3</v>
      </c>
      <c r="J149" s="4">
        <f t="shared" si="6"/>
      </c>
    </row>
    <row r="150" spans="1:10">
      <c r="A150" s="2"/>
      <c r="E150">
        <f>VLOOKUP(TablaMarimba6[[#This Row],[Equipo]],Catalogos!$I$4:$J$35,2,FALSE)</f>
      </c>
      <c r="F150" s="3"/>
      <c r="G150" s="367"/>
      <c r="H150" s="3">
        <f t="shared" si="5"/>
      </c>
      <c r="I150" s="4">
        <v>28.3</v>
      </c>
      <c r="J150" s="4">
        <f t="shared" si="6"/>
      </c>
    </row>
    <row r="151" spans="1:10">
      <c r="A151" s="2"/>
      <c r="E151">
        <f>VLOOKUP(TablaMarimba6[[#This Row],[Equipo]],Catalogos!$I$4:$J$35,2,FALSE)</f>
      </c>
      <c r="F151" s="3"/>
      <c r="G151" s="367"/>
      <c r="H151" s="3">
        <f t="shared" si="5"/>
      </c>
      <c r="I151" s="4">
        <v>28.3</v>
      </c>
      <c r="J151" s="4">
        <f t="shared" si="6"/>
      </c>
    </row>
    <row r="152" spans="1:10">
      <c r="A152" s="2"/>
      <c r="E152">
        <f>VLOOKUP(TablaMarimba6[[#This Row],[Equipo]],Catalogos!$I$4:$J$35,2,FALSE)</f>
      </c>
      <c r="F152" s="3"/>
      <c r="G152" s="367"/>
      <c r="H152" s="3">
        <f t="shared" si="5"/>
      </c>
      <c r="I152" s="4">
        <v>28.3</v>
      </c>
      <c r="J152" s="4">
        <f t="shared" si="6"/>
      </c>
    </row>
    <row r="153" spans="1:10">
      <c r="A153" s="2"/>
      <c r="E153">
        <f>VLOOKUP(TablaMarimba6[[#This Row],[Equipo]],Catalogos!$I$4:$J$35,2,FALSE)</f>
      </c>
      <c r="F153" s="3"/>
      <c r="G153" s="367"/>
      <c r="H153" s="3">
        <f t="shared" si="5"/>
      </c>
      <c r="I153" s="4">
        <v>28.3</v>
      </c>
      <c r="J153" s="4">
        <f t="shared" si="6"/>
      </c>
    </row>
    <row r="154" spans="1:10">
      <c r="A154" s="2"/>
      <c r="E154">
        <f>VLOOKUP(TablaMarimba6[[#This Row],[Equipo]],Catalogos!$I$4:$J$35,2,FALSE)</f>
      </c>
      <c r="F154" s="3"/>
      <c r="G154" s="367"/>
      <c r="H154" s="3">
        <f t="shared" si="5"/>
      </c>
      <c r="I154" s="4">
        <v>28.3</v>
      </c>
      <c r="J154" s="4">
        <f t="shared" si="6"/>
      </c>
    </row>
    <row r="155" spans="1:10">
      <c r="A155" s="2"/>
      <c r="E155">
        <f>VLOOKUP(TablaMarimba6[[#This Row],[Equipo]],Catalogos!$I$4:$J$35,2,FALSE)</f>
      </c>
      <c r="F155" s="3"/>
      <c r="G155" s="367"/>
      <c r="H155" s="3">
        <f t="shared" si="5"/>
      </c>
      <c r="I155" s="4">
        <v>28.3</v>
      </c>
      <c r="J155" s="4">
        <f t="shared" si="6"/>
      </c>
    </row>
    <row r="156" spans="1:10">
      <c r="A156" s="2"/>
      <c r="E156">
        <f>VLOOKUP(TablaMarimba6[[#This Row],[Equipo]],Catalogos!$I$4:$J$35,2,FALSE)</f>
      </c>
      <c r="F156" s="3"/>
      <c r="G156" s="367"/>
      <c r="H156" s="3">
        <f t="shared" si="5"/>
      </c>
      <c r="I156" s="4">
        <v>28.3</v>
      </c>
      <c r="J156" s="4">
        <f t="shared" si="6"/>
      </c>
    </row>
    <row r="157" spans="1:10">
      <c r="A157" s="2"/>
      <c r="E157">
        <f>VLOOKUP(TablaMarimba6[[#This Row],[Equipo]],Catalogos!$I$4:$J$35,2,FALSE)</f>
      </c>
      <c r="F157" s="3"/>
      <c r="G157" s="367"/>
      <c r="H157" s="3">
        <f t="shared" si="5"/>
      </c>
      <c r="I157" s="4">
        <v>28.3</v>
      </c>
      <c r="J157" s="4">
        <f t="shared" si="6"/>
      </c>
    </row>
    <row r="158" spans="1:10">
      <c r="A158" s="2"/>
      <c r="E158">
        <f>VLOOKUP(TablaMarimba6[[#This Row],[Equipo]],Catalogos!$I$4:$J$35,2,FALSE)</f>
      </c>
      <c r="F158" s="3"/>
      <c r="G158" s="367"/>
      <c r="H158" s="3">
        <f t="shared" si="5"/>
      </c>
      <c r="I158" s="4">
        <v>28.3</v>
      </c>
      <c r="J158" s="4">
        <f t="shared" si="6"/>
      </c>
    </row>
    <row r="159" spans="1:10">
      <c r="A159" s="2"/>
      <c r="E159">
        <f>VLOOKUP(TablaMarimba6[[#This Row],[Equipo]],Catalogos!$I$4:$J$35,2,FALSE)</f>
      </c>
      <c r="F159" s="3"/>
      <c r="G159" s="367"/>
      <c r="H159" s="3">
        <f t="shared" si="5"/>
      </c>
      <c r="I159" s="4">
        <v>28.3</v>
      </c>
      <c r="J159" s="4">
        <f t="shared" si="6"/>
      </c>
    </row>
    <row r="160" spans="1:10">
      <c r="A160" s="2"/>
      <c r="E160">
        <f>VLOOKUP(TablaMarimba6[[#This Row],[Equipo]],Catalogos!$I$4:$J$35,2,FALSE)</f>
      </c>
      <c r="F160" s="3"/>
      <c r="G160" s="367"/>
      <c r="H160" s="3">
        <f t="shared" si="5"/>
      </c>
      <c r="I160" s="4">
        <v>28.3</v>
      </c>
      <c r="J160" s="4">
        <f t="shared" si="6"/>
      </c>
    </row>
    <row r="161" spans="1:10">
      <c r="A161" s="2"/>
      <c r="E161">
        <f>VLOOKUP(TablaMarimba6[[#This Row],[Equipo]],Catalogos!$I$4:$J$35,2,FALSE)</f>
      </c>
      <c r="F161" s="3"/>
      <c r="G161" s="367"/>
      <c r="H161" s="3">
        <f t="shared" si="5"/>
      </c>
      <c r="I161" s="4">
        <v>28.3</v>
      </c>
      <c r="J161" s="4">
        <f t="shared" si="6"/>
      </c>
    </row>
    <row r="162" spans="1:10">
      <c r="A162" s="2"/>
      <c r="E162">
        <f>VLOOKUP(TablaMarimba6[[#This Row],[Equipo]],Catalogos!$I$4:$J$35,2,FALSE)</f>
      </c>
      <c r="F162" s="3"/>
      <c r="G162" s="367"/>
      <c r="H162" s="3">
        <f t="shared" si="5"/>
      </c>
      <c r="I162" s="4">
        <v>28.3</v>
      </c>
      <c r="J162" s="4">
        <f t="shared" si="6"/>
      </c>
    </row>
    <row r="163" spans="1:10">
      <c r="A163" s="2"/>
      <c r="E163">
        <f>VLOOKUP(TablaMarimba6[[#This Row],[Equipo]],Catalogos!$I$4:$J$35,2,FALSE)</f>
      </c>
      <c r="F163" s="3"/>
      <c r="G163" s="367"/>
      <c r="H163" s="3">
        <f t="shared" si="5"/>
      </c>
      <c r="I163" s="4">
        <v>28.3</v>
      </c>
      <c r="J163" s="4">
        <f t="shared" si="6"/>
      </c>
    </row>
    <row r="164" spans="1:10">
      <c r="A164" s="2"/>
      <c r="E164">
        <f>VLOOKUP(TablaMarimba6[[#This Row],[Equipo]],Catalogos!$I$4:$J$35,2,FALSE)</f>
      </c>
      <c r="F164" s="3"/>
      <c r="G164" s="367"/>
      <c r="H164" s="3">
        <f t="shared" si="5"/>
      </c>
      <c r="I164" s="4">
        <v>28.3</v>
      </c>
      <c r="J164" s="4">
        <f t="shared" si="6"/>
      </c>
    </row>
    <row r="165" spans="1:10">
      <c r="A165" s="2"/>
      <c r="E165">
        <f>VLOOKUP(TablaMarimba6[[#This Row],[Equipo]],Catalogos!$I$4:$J$35,2,FALSE)</f>
      </c>
      <c r="F165" s="3"/>
      <c r="G165" s="367"/>
      <c r="H165" s="3">
        <f t="shared" si="5"/>
      </c>
      <c r="I165" s="4">
        <v>28.3</v>
      </c>
      <c r="J165" s="4">
        <f t="shared" si="6"/>
      </c>
    </row>
    <row r="166" spans="1:10">
      <c r="A166" s="2"/>
      <c r="E166">
        <f>VLOOKUP(TablaMarimba6[[#This Row],[Equipo]],Catalogos!$I$4:$J$35,2,FALSE)</f>
      </c>
      <c r="F166" s="3"/>
      <c r="G166" s="367"/>
      <c r="H166" s="3">
        <f t="shared" si="5"/>
      </c>
      <c r="I166" s="4">
        <v>28.3</v>
      </c>
      <c r="J166" s="4">
        <f t="shared" si="6"/>
      </c>
    </row>
    <row r="167" spans="1:10">
      <c r="A167" s="2"/>
      <c r="E167">
        <f>VLOOKUP(TablaMarimba6[[#This Row],[Equipo]],Catalogos!$I$4:$J$35,2,FALSE)</f>
      </c>
      <c r="F167" s="3"/>
      <c r="G167" s="367"/>
      <c r="H167" s="3">
        <f t="shared" si="5"/>
      </c>
      <c r="I167" s="4">
        <v>28.3</v>
      </c>
      <c r="J167" s="4">
        <f t="shared" si="6"/>
      </c>
    </row>
    <row r="168" spans="1:10">
      <c r="A168" s="2"/>
      <c r="E168">
        <f>VLOOKUP(TablaMarimba6[[#This Row],[Equipo]],Catalogos!$I$4:$J$35,2,FALSE)</f>
      </c>
      <c r="F168" s="3"/>
      <c r="G168" s="367"/>
      <c r="H168" s="3">
        <f t="shared" si="5"/>
      </c>
      <c r="I168" s="4">
        <v>28.3</v>
      </c>
      <c r="J168" s="4">
        <f t="shared" si="6"/>
      </c>
    </row>
    <row r="169" spans="1:10">
      <c r="A169" s="2"/>
      <c r="E169">
        <f>VLOOKUP(TablaMarimba6[[#This Row],[Equipo]],Catalogos!$I$4:$J$35,2,FALSE)</f>
      </c>
      <c r="F169" s="3"/>
      <c r="G169" s="367"/>
      <c r="H169" s="3">
        <f t="shared" si="5"/>
      </c>
      <c r="I169" s="4">
        <v>28.3</v>
      </c>
      <c r="J169" s="4">
        <f t="shared" si="6"/>
      </c>
    </row>
    <row r="170" spans="1:10">
      <c r="A170" s="2"/>
      <c r="E170">
        <f>VLOOKUP(TablaMarimba6[[#This Row],[Equipo]],Catalogos!$I$4:$J$35,2,FALSE)</f>
      </c>
      <c r="F170" s="3"/>
      <c r="G170" s="367"/>
      <c r="H170" s="3">
        <f t="shared" si="5"/>
      </c>
      <c r="I170" s="4">
        <v>28.3</v>
      </c>
      <c r="J170" s="4">
        <f t="shared" si="6"/>
      </c>
    </row>
    <row r="171" spans="1:10">
      <c r="A171" s="2"/>
      <c r="E171">
        <f>VLOOKUP(TablaMarimba6[[#This Row],[Equipo]],Catalogos!$I$4:$J$35,2,FALSE)</f>
      </c>
      <c r="F171" s="3"/>
      <c r="G171" s="367"/>
      <c r="H171" s="3">
        <f t="shared" si="5"/>
      </c>
      <c r="I171" s="4">
        <v>28.3</v>
      </c>
      <c r="J171" s="4">
        <f t="shared" si="6"/>
      </c>
    </row>
    <row r="172" spans="1:10">
      <c r="A172" s="2"/>
      <c r="E172">
        <f>VLOOKUP(TablaMarimba6[[#This Row],[Equipo]],Catalogos!$I$4:$J$35,2,FALSE)</f>
      </c>
      <c r="F172" s="3"/>
      <c r="G172" s="367"/>
      <c r="H172" s="3">
        <f t="shared" si="5"/>
      </c>
      <c r="I172" s="4">
        <v>28.3</v>
      </c>
      <c r="J172" s="4">
        <f t="shared" si="6"/>
      </c>
    </row>
    <row r="173" spans="1:10">
      <c r="A173" s="2"/>
      <c r="E173">
        <f>VLOOKUP(TablaMarimba6[[#This Row],[Equipo]],Catalogos!$I$4:$J$35,2,FALSE)</f>
      </c>
      <c r="F173" s="3"/>
      <c r="G173" s="367"/>
      <c r="H173" s="3">
        <f t="shared" si="5"/>
      </c>
      <c r="I173" s="4">
        <v>28.3</v>
      </c>
      <c r="J173" s="4">
        <f t="shared" si="6"/>
      </c>
    </row>
    <row r="174" spans="1:10">
      <c r="A174" s="2"/>
      <c r="E174">
        <f>VLOOKUP(TablaMarimba6[[#This Row],[Equipo]],Catalogos!$I$4:$J$35,2,FALSE)</f>
      </c>
      <c r="F174" s="3"/>
      <c r="G174" s="367"/>
      <c r="H174" s="3">
        <f t="shared" si="5"/>
      </c>
      <c r="I174" s="4">
        <v>28.3</v>
      </c>
      <c r="J174" s="4">
        <f t="shared" si="6"/>
      </c>
    </row>
    <row r="175" spans="1:10">
      <c r="A175" s="2"/>
      <c r="E175">
        <f>VLOOKUP(TablaMarimba6[[#This Row],[Equipo]],Catalogos!$I$4:$J$35,2,FALSE)</f>
      </c>
      <c r="F175" s="3"/>
      <c r="G175" s="367"/>
      <c r="H175" s="3">
        <f t="shared" si="5"/>
      </c>
      <c r="I175" s="4">
        <v>28.3</v>
      </c>
      <c r="J175" s="4">
        <f t="shared" si="6"/>
      </c>
    </row>
    <row r="176" spans="1:10">
      <c r="A176" s="2"/>
      <c r="E176">
        <f>VLOOKUP(TablaMarimba6[[#This Row],[Equipo]],Catalogos!$I$4:$J$35,2,FALSE)</f>
      </c>
      <c r="F176" s="3"/>
      <c r="G176" s="367"/>
      <c r="H176" s="3">
        <f t="shared" si="5"/>
      </c>
      <c r="I176" s="4">
        <v>28.3</v>
      </c>
      <c r="J176" s="4">
        <f t="shared" si="6"/>
      </c>
    </row>
    <row r="177" spans="1:10">
      <c r="A177" s="2"/>
      <c r="E177">
        <f>VLOOKUP(TablaMarimba6[[#This Row],[Equipo]],Catalogos!$I$4:$J$35,2,FALSE)</f>
      </c>
      <c r="F177" s="3"/>
      <c r="G177" s="367"/>
      <c r="H177" s="3">
        <f t="shared" si="5"/>
      </c>
      <c r="I177" s="4">
        <v>28.3</v>
      </c>
      <c r="J177" s="4">
        <f t="shared" si="6"/>
      </c>
    </row>
    <row r="178" spans="1:10">
      <c r="A178" s="2"/>
      <c r="E178">
        <f>VLOOKUP(TablaMarimba6[[#This Row],[Equipo]],Catalogos!$I$4:$J$35,2,FALSE)</f>
      </c>
      <c r="F178" s="3"/>
      <c r="G178" s="367"/>
      <c r="H178" s="3">
        <f t="shared" si="5"/>
      </c>
      <c r="I178" s="4">
        <v>28.3</v>
      </c>
      <c r="J178" s="4">
        <f t="shared" si="6"/>
      </c>
    </row>
    <row r="179" spans="1:10">
      <c r="A179" s="2"/>
      <c r="E179">
        <f>VLOOKUP(TablaMarimba6[[#This Row],[Equipo]],Catalogos!$I$4:$J$35,2,FALSE)</f>
      </c>
      <c r="F179" s="3"/>
      <c r="G179" s="367"/>
      <c r="H179" s="3">
        <f t="shared" si="5"/>
      </c>
      <c r="I179" s="4">
        <v>28.3</v>
      </c>
      <c r="J179" s="4">
        <f t="shared" si="6"/>
      </c>
    </row>
    <row r="180" spans="1:10">
      <c r="A180" s="2"/>
      <c r="E180">
        <f>VLOOKUP(TablaMarimba6[[#This Row],[Equipo]],Catalogos!$I$4:$J$35,2,FALSE)</f>
      </c>
      <c r="F180" s="3"/>
      <c r="G180" s="367"/>
      <c r="H180" s="3">
        <f t="shared" si="5"/>
      </c>
      <c r="I180" s="4">
        <v>28.3</v>
      </c>
      <c r="J180" s="4">
        <f t="shared" si="6"/>
      </c>
    </row>
    <row r="181" spans="1:10">
      <c r="A181" s="2"/>
      <c r="E181">
        <f>VLOOKUP(TablaMarimba6[[#This Row],[Equipo]],Catalogos!$I$4:$J$35,2,FALSE)</f>
      </c>
      <c r="F181" s="3"/>
      <c r="G181" s="367"/>
      <c r="H181" s="3">
        <f t="shared" si="5"/>
      </c>
      <c r="I181" s="4">
        <v>28.3</v>
      </c>
      <c r="J181" s="4">
        <f t="shared" si="6"/>
      </c>
    </row>
    <row r="182" spans="1:10">
      <c r="A182" s="2"/>
      <c r="E182">
        <f>VLOOKUP(TablaMarimba6[[#This Row],[Equipo]],Catalogos!$I$4:$J$35,2,FALSE)</f>
      </c>
      <c r="F182" s="3"/>
      <c r="G182" s="367"/>
      <c r="H182" s="3">
        <f t="shared" si="5"/>
      </c>
      <c r="I182" s="4">
        <v>28.3</v>
      </c>
      <c r="J182" s="4">
        <f t="shared" si="6"/>
      </c>
    </row>
    <row r="183" spans="1:10">
      <c r="A183" s="2"/>
      <c r="E183">
        <f>VLOOKUP(TablaMarimba6[[#This Row],[Equipo]],Catalogos!$I$4:$J$35,2,FALSE)</f>
      </c>
      <c r="F183" s="3"/>
      <c r="G183" s="367"/>
      <c r="H183" s="3">
        <f t="shared" si="5"/>
      </c>
      <c r="I183" s="4">
        <v>28.3</v>
      </c>
      <c r="J183" s="4">
        <f t="shared" si="6"/>
      </c>
    </row>
    <row r="184" spans="1:10">
      <c r="A184" s="2"/>
      <c r="E184">
        <f>VLOOKUP(TablaMarimba6[[#This Row],[Equipo]],Catalogos!$I$4:$J$35,2,FALSE)</f>
      </c>
      <c r="F184" s="3"/>
      <c r="G184" s="367"/>
      <c r="H184" s="3">
        <f t="shared" si="5"/>
      </c>
      <c r="I184" s="4">
        <v>28.3</v>
      </c>
      <c r="J184" s="4">
        <f t="shared" si="6"/>
      </c>
    </row>
    <row r="185" spans="1:10">
      <c r="A185" s="2"/>
      <c r="E185">
        <f>VLOOKUP(TablaMarimba6[[#This Row],[Equipo]],Catalogos!$I$4:$J$35,2,FALSE)</f>
      </c>
      <c r="F185" s="3"/>
      <c r="G185" s="367"/>
      <c r="H185" s="3">
        <f t="shared" si="5"/>
      </c>
      <c r="I185" s="4">
        <v>28.3</v>
      </c>
      <c r="J185" s="4">
        <f t="shared" si="6"/>
      </c>
    </row>
    <row r="186" spans="1:10">
      <c r="A186" s="2"/>
      <c r="E186">
        <f>VLOOKUP(TablaMarimba6[[#This Row],[Equipo]],Catalogos!$I$4:$J$35,2,FALSE)</f>
      </c>
      <c r="F186" s="3"/>
      <c r="G186" s="367"/>
      <c r="H186" s="3">
        <f t="shared" si="5"/>
      </c>
      <c r="I186" s="4">
        <v>28.3</v>
      </c>
      <c r="J186" s="4">
        <f t="shared" si="6"/>
      </c>
    </row>
    <row r="187" spans="1:10">
      <c r="A187" s="2"/>
      <c r="E187">
        <f>VLOOKUP(TablaMarimba6[[#This Row],[Equipo]],Catalogos!$I$4:$J$35,2,FALSE)</f>
      </c>
      <c r="F187" s="3"/>
      <c r="G187" s="367"/>
      <c r="H187" s="3">
        <f t="shared" si="5"/>
      </c>
      <c r="I187" s="4">
        <v>28.3</v>
      </c>
      <c r="J187" s="4">
        <f t="shared" si="6"/>
      </c>
    </row>
    <row r="188" spans="1:10">
      <c r="A188" s="2"/>
      <c r="E188">
        <f>VLOOKUP(TablaMarimba6[[#This Row],[Equipo]],Catalogos!$I$4:$J$35,2,FALSE)</f>
      </c>
      <c r="F188" s="3"/>
      <c r="G188" s="367"/>
      <c r="H188" s="3">
        <f t="shared" si="5"/>
      </c>
      <c r="I188" s="4">
        <v>28.3</v>
      </c>
      <c r="J188" s="4">
        <f t="shared" si="6"/>
      </c>
    </row>
    <row r="189" spans="1:10">
      <c r="A189" s="2"/>
      <c r="E189">
        <f>VLOOKUP(TablaMarimba6[[#This Row],[Equipo]],Catalogos!$I$4:$J$35,2,FALSE)</f>
      </c>
      <c r="F189" s="3"/>
      <c r="G189" s="367"/>
      <c r="H189" s="3">
        <f t="shared" si="5"/>
      </c>
      <c r="I189" s="4">
        <v>28.3</v>
      </c>
      <c r="J189" s="4">
        <f t="shared" si="6"/>
      </c>
    </row>
    <row r="190" spans="1:10">
      <c r="A190" s="2"/>
      <c r="E190">
        <f>VLOOKUP(TablaMarimba6[[#This Row],[Equipo]],Catalogos!$I$4:$J$35,2,FALSE)</f>
      </c>
      <c r="F190" s="3"/>
      <c r="G190" s="367"/>
      <c r="H190" s="3">
        <f t="shared" si="5"/>
      </c>
      <c r="I190" s="4">
        <v>28.3</v>
      </c>
      <c r="J190" s="4">
        <f t="shared" si="6"/>
      </c>
    </row>
    <row r="191" spans="1:10">
      <c r="A191" s="2"/>
      <c r="E191">
        <f>VLOOKUP(TablaMarimba6[[#This Row],[Equipo]],Catalogos!$I$4:$J$35,2,FALSE)</f>
      </c>
      <c r="F191" s="3"/>
      <c r="G191" s="367"/>
      <c r="H191" s="3">
        <f t="shared" si="5"/>
      </c>
      <c r="I191" s="4">
        <v>28.3</v>
      </c>
      <c r="J191" s="4">
        <f t="shared" si="6"/>
      </c>
    </row>
    <row r="192" spans="1:10">
      <c r="A192" s="2"/>
      <c r="E192">
        <f>VLOOKUP(TablaMarimba6[[#This Row],[Equipo]],Catalogos!$I$4:$J$35,2,FALSE)</f>
      </c>
      <c r="F192" s="3"/>
      <c r="G192" s="367"/>
      <c r="H192" s="3">
        <f t="shared" si="5"/>
      </c>
      <c r="I192" s="4">
        <v>28.3</v>
      </c>
      <c r="J192" s="4">
        <f t="shared" si="6"/>
      </c>
    </row>
    <row r="193" spans="1:10">
      <c r="A193" s="2"/>
      <c r="E193">
        <f>VLOOKUP(TablaMarimba6[[#This Row],[Equipo]],Catalogos!$I$4:$J$35,2,FALSE)</f>
      </c>
      <c r="F193" s="3"/>
      <c r="G193" s="367"/>
      <c r="H193" s="3">
        <f t="shared" si="5"/>
      </c>
      <c r="I193" s="4">
        <v>28.3</v>
      </c>
      <c r="J193" s="4">
        <f t="shared" si="6"/>
      </c>
    </row>
    <row r="194" spans="1:10">
      <c r="A194" s="2"/>
      <c r="E194">
        <f>VLOOKUP(TablaMarimba6[[#This Row],[Equipo]],Catalogos!$I$4:$J$35,2,FALSE)</f>
      </c>
      <c r="F194" s="3"/>
      <c r="G194" s="367"/>
      <c r="H194" s="3">
        <f t="shared" ref="H194:H206" si="7">IF(ROW()=5,F194-G194,H193+F194-G194)</f>
      </c>
      <c r="I194" s="4">
        <v>28.3</v>
      </c>
      <c r="J194" s="4">
        <f t="shared" si="6"/>
      </c>
    </row>
    <row r="195" spans="1:10">
      <c r="A195" s="2"/>
      <c r="E195">
        <f>VLOOKUP(TablaMarimba6[[#This Row],[Equipo]],Catalogos!$I$4:$J$35,2,FALSE)</f>
      </c>
      <c r="F195" s="3"/>
      <c r="G195" s="367"/>
      <c r="H195" s="3">
        <f t="shared" si="7"/>
      </c>
      <c r="I195" s="4">
        <v>28.3</v>
      </c>
      <c r="J195" s="4">
        <f t="shared" si="6"/>
      </c>
    </row>
    <row r="196" spans="1:10">
      <c r="A196" s="2"/>
      <c r="E196">
        <f>VLOOKUP(TablaMarimba6[[#This Row],[Equipo]],Catalogos!$I$4:$J$35,2,FALSE)</f>
      </c>
      <c r="F196" s="3"/>
      <c r="G196" s="367"/>
      <c r="H196" s="3">
        <f t="shared" si="7"/>
      </c>
      <c r="I196" s="4">
        <v>28.3</v>
      </c>
      <c r="J196" s="4">
        <f t="shared" si="6"/>
      </c>
    </row>
    <row r="197" spans="1:10">
      <c r="A197" s="2"/>
      <c r="E197">
        <f>VLOOKUP(TablaMarimba6[[#This Row],[Equipo]],Catalogos!$I$4:$J$35,2,FALSE)</f>
      </c>
      <c r="F197" s="3"/>
      <c r="G197" s="367"/>
      <c r="H197" s="3">
        <f t="shared" si="7"/>
      </c>
      <c r="I197" s="4">
        <v>28.3</v>
      </c>
      <c r="J197" s="4">
        <f t="shared" si="6"/>
      </c>
    </row>
    <row r="198" spans="1:10">
      <c r="A198" s="2"/>
      <c r="E198">
        <f>VLOOKUP(TablaMarimba6[[#This Row],[Equipo]],Catalogos!$I$4:$J$35,2,FALSE)</f>
      </c>
      <c r="F198" s="3"/>
      <c r="G198" s="367"/>
      <c r="H198" s="3">
        <f t="shared" si="7"/>
      </c>
      <c r="I198" s="4">
        <v>28.3</v>
      </c>
      <c r="J198" s="4">
        <f t="shared" si="6"/>
      </c>
    </row>
    <row r="199" spans="1:10">
      <c r="A199" s="2"/>
      <c r="E199">
        <f>VLOOKUP(TablaMarimba6[[#This Row],[Equipo]],Catalogos!$I$4:$J$35,2,FALSE)</f>
      </c>
      <c r="F199" s="3"/>
      <c r="G199" s="367"/>
      <c r="H199" s="3">
        <f t="shared" si="7"/>
      </c>
      <c r="I199" s="4">
        <v>28.3</v>
      </c>
      <c r="J199" s="4">
        <f t="shared" si="6"/>
      </c>
    </row>
    <row r="200" spans="1:10">
      <c r="A200" s="2"/>
      <c r="E200">
        <f>VLOOKUP(TablaMarimba6[[#This Row],[Equipo]],Catalogos!$I$4:$J$35,2,FALSE)</f>
      </c>
      <c r="F200" s="3"/>
      <c r="G200" s="367"/>
      <c r="H200" s="3">
        <f t="shared" si="7"/>
      </c>
      <c r="I200" s="4">
        <v>28.3</v>
      </c>
      <c r="J200" s="4">
        <f t="shared" si="6"/>
      </c>
    </row>
    <row r="201" spans="1:10">
      <c r="A201" s="2"/>
      <c r="E201">
        <f>VLOOKUP(TablaMarimba6[[#This Row],[Equipo]],Catalogos!$I$4:$J$35,2,FALSE)</f>
      </c>
      <c r="F201" s="3"/>
      <c r="G201" s="367"/>
      <c r="H201" s="3">
        <f t="shared" si="7"/>
      </c>
      <c r="I201" s="4">
        <v>28.3</v>
      </c>
      <c r="J201" s="4">
        <f t="shared" si="6"/>
      </c>
    </row>
    <row r="202" spans="1:10">
      <c r="A202" s="2"/>
      <c r="E202">
        <f>VLOOKUP(TablaMarimba6[[#This Row],[Equipo]],Catalogos!$I$4:$J$35,2,FALSE)</f>
      </c>
      <c r="F202" s="3"/>
      <c r="G202" s="367"/>
      <c r="H202" s="3">
        <f t="shared" si="7"/>
      </c>
      <c r="I202" s="4">
        <v>28.3</v>
      </c>
      <c r="J202" s="4">
        <f t="shared" si="6"/>
      </c>
    </row>
    <row r="203" spans="1:10">
      <c r="A203" s="2"/>
      <c r="E203">
        <f>VLOOKUP(TablaMarimba6[[#This Row],[Equipo]],Catalogos!$I$4:$J$35,2,FALSE)</f>
      </c>
      <c r="F203" s="3"/>
      <c r="G203" s="367"/>
      <c r="H203" s="3">
        <f t="shared" si="7"/>
      </c>
      <c r="I203" s="4">
        <v>28.3</v>
      </c>
      <c r="J203" s="4">
        <f t="shared" si="6"/>
      </c>
    </row>
    <row r="204" spans="1:10">
      <c r="A204" s="2"/>
      <c r="E204">
        <f>VLOOKUP(TablaMarimba6[[#This Row],[Equipo]],Catalogos!$I$4:$J$35,2,FALSE)</f>
      </c>
      <c r="F204" s="3"/>
      <c r="G204" s="367"/>
      <c r="H204" s="3">
        <f t="shared" si="7"/>
      </c>
      <c r="I204" s="4">
        <v>28.3</v>
      </c>
      <c r="J204" s="4">
        <f t="shared" ref="J204:J211" si="8">IFERROR((F204+G204)*I204,0)</f>
      </c>
    </row>
    <row r="205" spans="1:10">
      <c r="A205" s="2"/>
      <c r="E205">
        <f>VLOOKUP(TablaMarimba6[[#This Row],[Equipo]],Catalogos!$I$4:$J$35,2,FALSE)</f>
      </c>
      <c r="F205" s="3"/>
      <c r="G205" s="367"/>
      <c r="H205" s="3">
        <f t="shared" si="7"/>
      </c>
      <c r="I205" s="4">
        <v>28.3</v>
      </c>
      <c r="J205" s="4">
        <f t="shared" si="8"/>
      </c>
    </row>
    <row r="206" spans="1:10">
      <c r="A206" s="2"/>
      <c r="E206">
        <f>VLOOKUP(TablaMarimba6[[#This Row],[Equipo]],Catalogos!$I$4:$J$35,2,FALSE)</f>
      </c>
      <c r="F206" s="3"/>
      <c r="G206" s="367"/>
      <c r="H206" s="3">
        <f t="shared" si="7"/>
      </c>
      <c r="I206" s="4">
        <v>28.3</v>
      </c>
      <c r="J206" s="4">
        <f t="shared" si="8"/>
      </c>
    </row>
  </sheetData>
  <mergeCells count="1">
    <mergeCell ref="A1:L1"/>
  </mergeCells>
  <dataValidations disablePrompts="1" count="1">
    <dataValidation sqref="E35:E206 E5:E33" xr:uid="{597FAB9B-4AE1-4589-AFC7-A047EBDF2DEF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8588772-DA8C-40DC-907F-7CF8B0F0BB38}">
          <x14:formula1>
            <xm:f>Catalogos!$I$4:$I$43</xm:f>
          </x14:formula1>
          <xm:sqref>D35:D206 D5:D33</xm:sqref>
        </x14:dataValidation>
        <x14:dataValidation type="list" xr:uid="{248232D5-147E-4FF7-B345-8C08FF393CE6}">
          <x14:formula1>
            <xm:f>Catalogos!$F$4:$F$19</xm:f>
          </x14:formula1>
          <xm:sqref>B35:B1048576 B5:B33</xm:sqref>
        </x14:dataValidation>
        <x14:dataValidation type="list" xr:uid="{F753C10F-5F1B-4FF7-A00D-136B1E9554D9}">
          <x14:formula1>
            <xm:f>Catalogos!$B$4:$B$14</xm:f>
          </x14:formula1>
          <xm:sqref>C35:C1048576 C5:C33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zoomScale="88" workbookViewId="0">
      <selection activeCell="B119" sqref="B119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t="s" s="404">
        <v>34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</row>
    <row r="2" spans="1:13">
      <c r="A2" t="s">
        <v>35</v>
      </c>
      <c r="C2" t="s">
        <v>9</v>
      </c>
      <c r="E2" t="s">
        <v>10</v>
      </c>
      <c r="G2" t="s">
        <v>36</v>
      </c>
      <c r="I2" t="s">
        <v>28</v>
      </c>
    </row>
    <row r="4" spans="1:13" ht="27.6">
      <c r="A4" t="s" s="1">
        <v>14</v>
      </c>
      <c r="B4" t="s" s="1">
        <v>1</v>
      </c>
      <c r="C4" t="s" s="1">
        <v>37</v>
      </c>
      <c r="D4" t="s" s="1">
        <v>31</v>
      </c>
      <c r="E4" t="s" s="1">
        <v>32</v>
      </c>
      <c r="F4" t="s" s="1">
        <v>38</v>
      </c>
      <c r="G4" t="s" s="1">
        <v>21</v>
      </c>
      <c r="H4" t="s" s="1">
        <v>22</v>
      </c>
      <c r="I4" t="s" s="1">
        <v>39</v>
      </c>
      <c r="J4" t="s" s="1">
        <v>40</v>
      </c>
      <c r="K4" t="s" s="1">
        <v>23</v>
      </c>
    </row>
    <row r="5" spans="1:13">
      <c r="A5" s="2">
        <v>46181</v>
      </c>
      <c r="B5" t="s">
        <v>3</v>
      </c>
      <c r="C5" t="s">
        <v>75</v>
      </c>
      <c r="D5" t="s">
        <v>155</v>
      </c>
      <c r="E5">
        <f>VLOOKUP(TablaObra[[#This Row],[Equipo]],Catalogos!$I$4:$J$46,2,FALSE)</f>
      </c>
      <c r="F5" s="3">
        <v>30</v>
      </c>
      <c r="G5" s="4">
        <v>28.3</v>
      </c>
      <c r="H5" s="4">
        <f t="shared" ref="H5:H68" si="0">IFERROR(F5*G5,0)</f>
      </c>
    </row>
    <row r="6" spans="1:13">
      <c r="A6" s="2">
        <v>46181</v>
      </c>
      <c r="B6" t="s">
        <v>3</v>
      </c>
      <c r="C6" t="s">
        <v>75</v>
      </c>
      <c r="D6" t="s">
        <v>72</v>
      </c>
      <c r="E6">
        <f>VLOOKUP(TablaObra[[#This Row],[Equipo]],Catalogos!$I$4:$J$46,2,FALSE)</f>
      </c>
      <c r="F6" s="3">
        <v>32</v>
      </c>
      <c r="G6" s="4">
        <v>28.3</v>
      </c>
      <c r="H6" s="4">
        <f t="shared" si="0"/>
      </c>
    </row>
    <row r="7" spans="1:13">
      <c r="A7" s="2">
        <v>46181</v>
      </c>
      <c r="B7" t="s">
        <v>3</v>
      </c>
      <c r="C7" t="s">
        <v>75</v>
      </c>
      <c r="D7" t="s">
        <v>138</v>
      </c>
      <c r="E7">
        <f>VLOOKUP(TablaObra[[#This Row],[Equipo]],Catalogos!$I$4:$J$46,2,FALSE)</f>
      </c>
      <c r="F7" s="3">
        <v>277</v>
      </c>
      <c r="G7" s="4">
        <v>28.3</v>
      </c>
      <c r="H7" s="4">
        <f t="shared" si="0"/>
      </c>
    </row>
    <row r="8" spans="1:13">
      <c r="A8" s="2">
        <v>46181</v>
      </c>
      <c r="B8" t="s">
        <v>3</v>
      </c>
      <c r="C8" t="s">
        <v>75</v>
      </c>
      <c r="D8" t="s">
        <v>81</v>
      </c>
      <c r="E8">
        <f>VLOOKUP(TablaObra[[#This Row],[Equipo]],Catalogos!$I$4:$J$46,2,FALSE)</f>
      </c>
      <c r="F8" s="3">
        <v>30</v>
      </c>
      <c r="G8" s="4">
        <v>28.3</v>
      </c>
      <c r="H8" s="4">
        <f t="shared" si="0"/>
      </c>
    </row>
    <row r="9" spans="1:13">
      <c r="A9" s="2">
        <v>46181</v>
      </c>
      <c r="B9" t="s">
        <v>4</v>
      </c>
      <c r="C9" t="s">
        <v>75</v>
      </c>
      <c r="D9" t="s">
        <v>134</v>
      </c>
      <c r="E9">
        <f>VLOOKUP(TablaObra[[#This Row],[Equipo]],Catalogos!$I$4:$J$46,2,FALSE)</f>
      </c>
      <c r="F9" s="3">
        <v>97</v>
      </c>
      <c r="G9" s="4">
        <v>28.3</v>
      </c>
      <c r="H9" s="4">
        <f t="shared" si="0"/>
      </c>
    </row>
    <row r="10" spans="1:13">
      <c r="A10" s="2">
        <v>46181</v>
      </c>
      <c r="B10" t="s">
        <v>5</v>
      </c>
      <c r="C10" t="s">
        <v>75</v>
      </c>
      <c r="D10" t="s">
        <v>145</v>
      </c>
      <c r="E10">
        <f>VLOOKUP(TablaObra[[#This Row],[Equipo]],Catalogos!$I$4:$J$46,2,FALSE)</f>
      </c>
      <c r="F10" s="3">
        <v>198</v>
      </c>
      <c r="G10" s="4">
        <v>28.3</v>
      </c>
      <c r="H10" s="4">
        <f t="shared" si="0"/>
      </c>
    </row>
    <row r="11" spans="1:13">
      <c r="A11" s="2">
        <v>46181</v>
      </c>
      <c r="B11" t="s">
        <v>5</v>
      </c>
      <c r="C11" t="s">
        <v>75</v>
      </c>
      <c r="D11" t="s">
        <v>166</v>
      </c>
      <c r="E11">
        <f>VLOOKUP(TablaObra[[#This Row],[Equipo]],Catalogos!$I$4:$J$46,2,FALSE)</f>
      </c>
      <c r="F11" s="3">
        <v>10</v>
      </c>
      <c r="G11" s="4">
        <v>28.3</v>
      </c>
      <c r="H11" s="4">
        <f t="shared" si="0"/>
      </c>
    </row>
    <row r="12" spans="1:13">
      <c r="A12" s="2">
        <v>46181</v>
      </c>
      <c r="B12" t="s">
        <v>5</v>
      </c>
      <c r="C12" t="s">
        <v>75</v>
      </c>
      <c r="D12" t="s">
        <v>160</v>
      </c>
      <c r="E12">
        <f>VLOOKUP(TablaObra[[#This Row],[Equipo]],Catalogos!$I$4:$J$46,2,FALSE)</f>
      </c>
      <c r="F12" s="3">
        <v>27</v>
      </c>
      <c r="G12" s="4">
        <v>28.3</v>
      </c>
      <c r="H12" s="4">
        <f t="shared" si="0"/>
      </c>
    </row>
    <row r="13" spans="1:13">
      <c r="A13" s="2">
        <v>46181</v>
      </c>
      <c r="B13" t="s">
        <v>5</v>
      </c>
      <c r="C13" t="s">
        <v>75</v>
      </c>
      <c r="D13" t="s">
        <v>168</v>
      </c>
      <c r="E13">
        <f>VLOOKUP(TablaObra[[#This Row],[Equipo]],Catalogos!$I$4:$J$46,2,FALSE)</f>
      </c>
      <c r="F13" s="3">
        <v>30</v>
      </c>
      <c r="G13" s="4">
        <v>28.3</v>
      </c>
      <c r="H13" s="4">
        <f t="shared" si="0"/>
      </c>
    </row>
    <row r="14" spans="1:13">
      <c r="A14" s="2">
        <v>46181</v>
      </c>
      <c r="B14" t="s">
        <v>5</v>
      </c>
      <c r="C14" t="s">
        <v>75</v>
      </c>
      <c r="D14" t="s">
        <v>151</v>
      </c>
      <c r="E14">
        <f>VLOOKUP(TablaObra[[#This Row],[Equipo]],Catalogos!$I$4:$J$46,2,FALSE)</f>
      </c>
      <c r="F14" s="3">
        <v>40</v>
      </c>
      <c r="G14" s="4">
        <v>28.3</v>
      </c>
      <c r="H14" s="4">
        <f t="shared" si="0"/>
      </c>
      <c r="M14" s="3">
        <f>SUM(F5:F64)</f>
      </c>
    </row>
    <row r="15" spans="1:13">
      <c r="A15" s="2">
        <v>46181</v>
      </c>
      <c r="B15" t="s">
        <v>5</v>
      </c>
      <c r="C15" t="s">
        <v>75</v>
      </c>
      <c r="D15" t="s">
        <v>156</v>
      </c>
      <c r="E15">
        <f>VLOOKUP(TablaObra[[#This Row],[Equipo]],Catalogos!$I$4:$J$46,2,FALSE)</f>
      </c>
      <c r="F15" s="3">
        <v>120</v>
      </c>
      <c r="G15" s="4">
        <v>28.3</v>
      </c>
      <c r="H15" s="4">
        <f t="shared" si="0"/>
      </c>
    </row>
    <row r="16" spans="1:13">
      <c r="A16" s="2">
        <v>46181</v>
      </c>
      <c r="B16" t="s">
        <v>5</v>
      </c>
      <c r="C16" t="s">
        <v>75</v>
      </c>
      <c r="D16" t="s">
        <v>162</v>
      </c>
      <c r="E16">
        <f>VLOOKUP(TablaObra[[#This Row],[Equipo]],Catalogos!$I$4:$J$46,2,FALSE)</f>
      </c>
      <c r="F16" s="3">
        <v>30</v>
      </c>
      <c r="G16" s="4">
        <v>28.3</v>
      </c>
      <c r="H16" s="4">
        <f t="shared" si="0"/>
      </c>
    </row>
    <row r="17" spans="1:8">
      <c r="A17" s="2">
        <v>46181</v>
      </c>
      <c r="B17" t="s">
        <v>183</v>
      </c>
      <c r="C17" t="s">
        <v>130</v>
      </c>
      <c r="D17" t="s">
        <v>184</v>
      </c>
      <c r="E17">
        <f>VLOOKUP(TablaObra[[#This Row],[Equipo]],Catalogos!$I$4:$J$46,2,FALSE)</f>
      </c>
      <c r="F17" s="3">
        <v>100</v>
      </c>
      <c r="G17" s="4">
        <v>28.3</v>
      </c>
      <c r="H17" s="4">
        <f t="shared" si="0"/>
      </c>
    </row>
    <row r="18" spans="1:8">
      <c r="A18" s="2">
        <v>46181</v>
      </c>
      <c r="B18" t="s">
        <v>187</v>
      </c>
      <c r="C18" t="s">
        <v>130</v>
      </c>
      <c r="D18" t="s">
        <v>184</v>
      </c>
      <c r="E18">
        <f>VLOOKUP(TablaObra[[#This Row],[Equipo]],Catalogos!$I$4:$J$46,2,FALSE)</f>
      </c>
      <c r="F18" s="3">
        <v>200</v>
      </c>
      <c r="G18" s="4">
        <v>28.3</v>
      </c>
      <c r="H18" s="4">
        <f t="shared" si="0"/>
      </c>
    </row>
    <row r="19" spans="1:8">
      <c r="A19" s="2">
        <v>46181</v>
      </c>
      <c r="B19" t="s">
        <v>187</v>
      </c>
      <c r="C19" t="s">
        <v>130</v>
      </c>
      <c r="D19" t="s">
        <v>184</v>
      </c>
      <c r="E19">
        <f>VLOOKUP(TablaObra[[#This Row],[Equipo]],Catalogos!$I$4:$J$46,2,FALSE)</f>
      </c>
      <c r="F19" s="3">
        <v>209</v>
      </c>
      <c r="G19" s="4">
        <v>28.3</v>
      </c>
      <c r="H19" s="4">
        <f t="shared" si="0"/>
      </c>
    </row>
    <row r="20" spans="1:8">
      <c r="A20" s="2">
        <v>46182</v>
      </c>
      <c r="B20" t="s">
        <v>5</v>
      </c>
      <c r="C20" t="s">
        <v>75</v>
      </c>
      <c r="D20" t="s">
        <v>149</v>
      </c>
      <c r="E20">
        <f>VLOOKUP(TablaObra[[#This Row],[Equipo]],Catalogos!$I$4:$J$46,2,FALSE)</f>
      </c>
      <c r="F20" s="3">
        <v>30</v>
      </c>
      <c r="G20" s="4">
        <v>28.3</v>
      </c>
      <c r="H20" s="4">
        <f t="shared" si="0"/>
      </c>
    </row>
    <row r="21" spans="1:8">
      <c r="A21" s="2">
        <v>46182</v>
      </c>
      <c r="B21" t="s">
        <v>5</v>
      </c>
      <c r="C21" t="s">
        <v>75</v>
      </c>
      <c r="D21" t="s">
        <v>153</v>
      </c>
      <c r="E21">
        <f>VLOOKUP(TablaObra[[#This Row],[Equipo]],Catalogos!$I$4:$J$46,2,FALSE)</f>
      </c>
      <c r="F21" s="3">
        <v>100</v>
      </c>
      <c r="G21" s="4">
        <v>28.3</v>
      </c>
      <c r="H21" s="4">
        <f t="shared" si="0"/>
      </c>
    </row>
    <row r="22" spans="1:8">
      <c r="A22" s="2">
        <v>46182</v>
      </c>
      <c r="B22" t="s">
        <v>5</v>
      </c>
      <c r="C22" t="s">
        <v>75</v>
      </c>
      <c r="D22" t="s">
        <v>158</v>
      </c>
      <c r="E22">
        <f>VLOOKUP(TablaObra[[#This Row],[Equipo]],Catalogos!$I$4:$J$46,2,FALSE)</f>
      </c>
      <c r="F22" s="3">
        <v>30</v>
      </c>
      <c r="G22" s="4">
        <v>28.3</v>
      </c>
      <c r="H22" s="4">
        <f t="shared" si="0"/>
      </c>
    </row>
    <row r="23" spans="1:8">
      <c r="A23" s="2">
        <v>46182</v>
      </c>
      <c r="B23" t="s">
        <v>5</v>
      </c>
      <c r="C23" t="s">
        <v>75</v>
      </c>
      <c r="D23" t="s">
        <v>145</v>
      </c>
      <c r="E23">
        <f>VLOOKUP(TablaObra[[#This Row],[Equipo]],Catalogos!$I$4:$J$46,2,FALSE)</f>
      </c>
      <c r="F23" s="3">
        <v>150</v>
      </c>
      <c r="G23" s="4">
        <v>28.3</v>
      </c>
      <c r="H23" s="4">
        <f t="shared" si="0"/>
      </c>
    </row>
    <row r="24" spans="1:8">
      <c r="A24" s="2">
        <v>46182</v>
      </c>
      <c r="B24" t="s">
        <v>5</v>
      </c>
      <c r="C24" t="s">
        <v>75</v>
      </c>
      <c r="D24" t="s">
        <v>162</v>
      </c>
      <c r="E24">
        <f>VLOOKUP(TablaObra[[#This Row],[Equipo]],Catalogos!$I$4:$J$46,2,FALSE)</f>
      </c>
      <c r="F24" s="3">
        <v>50</v>
      </c>
      <c r="G24" s="4">
        <v>28.3</v>
      </c>
      <c r="H24" s="4">
        <f t="shared" si="0"/>
      </c>
    </row>
    <row r="25" spans="1:8">
      <c r="A25" s="2">
        <v>46182</v>
      </c>
      <c r="B25" t="s">
        <v>5</v>
      </c>
      <c r="C25" t="s">
        <v>75</v>
      </c>
      <c r="D25" t="s">
        <v>156</v>
      </c>
      <c r="E25">
        <f>VLOOKUP(TablaObra[[#This Row],[Equipo]],Catalogos!$I$4:$J$46,2,FALSE)</f>
      </c>
      <c r="F25" s="3">
        <v>136</v>
      </c>
      <c r="G25" s="4">
        <v>28.3</v>
      </c>
      <c r="H25" s="4">
        <f t="shared" si="0"/>
      </c>
    </row>
    <row r="26" spans="1:8">
      <c r="A26" s="2">
        <v>46182</v>
      </c>
      <c r="B26" t="s">
        <v>5</v>
      </c>
      <c r="C26" t="s">
        <v>75</v>
      </c>
      <c r="D26" t="s">
        <v>158</v>
      </c>
      <c r="E26">
        <f>VLOOKUP(TablaObra[[#This Row],[Equipo]],Catalogos!$I$4:$J$46,2,FALSE)</f>
      </c>
      <c r="F26" s="3">
        <v>30</v>
      </c>
      <c r="G26" s="4">
        <v>28.3</v>
      </c>
      <c r="H26" s="4">
        <f t="shared" si="0"/>
      </c>
    </row>
    <row r="27" spans="1:8">
      <c r="A27" s="2">
        <v>46182</v>
      </c>
      <c r="B27" t="s">
        <v>5</v>
      </c>
      <c r="C27" t="s">
        <v>75</v>
      </c>
      <c r="D27" t="s">
        <v>155</v>
      </c>
      <c r="E27">
        <f>VLOOKUP(TablaObra[[#This Row],[Equipo]],Catalogos!$I$4:$J$46,2,FALSE)</f>
      </c>
      <c r="F27" s="3">
        <v>30</v>
      </c>
      <c r="G27" s="4">
        <v>28.3</v>
      </c>
      <c r="H27" s="4">
        <f t="shared" si="0"/>
      </c>
    </row>
    <row r="28" spans="1:8">
      <c r="A28" s="2">
        <v>46182</v>
      </c>
      <c r="B28" t="s">
        <v>5</v>
      </c>
      <c r="C28" t="s">
        <v>75</v>
      </c>
      <c r="D28" t="s">
        <v>153</v>
      </c>
      <c r="E28">
        <f>VLOOKUP(TablaObra[[#This Row],[Equipo]],Catalogos!$I$4:$J$46,2,FALSE)</f>
      </c>
      <c r="F28" s="3">
        <v>100</v>
      </c>
      <c r="G28" s="4">
        <v>28.3</v>
      </c>
      <c r="H28" s="4">
        <f t="shared" si="0"/>
      </c>
    </row>
    <row r="29" spans="1:8">
      <c r="A29" s="2">
        <v>46182</v>
      </c>
      <c r="B29" t="s">
        <v>5</v>
      </c>
      <c r="C29" t="s">
        <v>75</v>
      </c>
      <c r="D29" t="s">
        <v>151</v>
      </c>
      <c r="E29">
        <f>VLOOKUP(TablaObra[[#This Row],[Equipo]],Catalogos!$I$4:$J$46,2,FALSE)</f>
      </c>
      <c r="F29" s="3">
        <v>60</v>
      </c>
      <c r="G29" s="4">
        <v>28.3</v>
      </c>
      <c r="H29" s="4">
        <f t="shared" si="0"/>
      </c>
    </row>
    <row r="30" spans="1:8">
      <c r="A30" s="2">
        <v>46182</v>
      </c>
      <c r="B30" t="s">
        <v>5</v>
      </c>
      <c r="C30" t="s">
        <v>75</v>
      </c>
      <c r="D30" t="s">
        <v>168</v>
      </c>
      <c r="E30">
        <f>VLOOKUP(TablaObra[[#This Row],[Equipo]],Catalogos!$I$4:$J$46,2,FALSE)</f>
      </c>
      <c r="F30" s="3">
        <v>20</v>
      </c>
      <c r="G30" s="4">
        <v>28.3</v>
      </c>
      <c r="H30" s="4">
        <f t="shared" si="0"/>
      </c>
    </row>
    <row r="31" spans="1:8">
      <c r="A31" s="2">
        <v>46182</v>
      </c>
      <c r="B31" t="s">
        <v>4</v>
      </c>
      <c r="C31" t="s">
        <v>130</v>
      </c>
      <c r="D31" t="s">
        <v>81</v>
      </c>
      <c r="E31">
        <f>VLOOKUP(TablaObra[[#This Row],[Equipo]],Catalogos!$I$4:$J$46,2,FALSE)</f>
      </c>
      <c r="F31" s="3">
        <v>70</v>
      </c>
      <c r="G31" s="4">
        <v>28.3</v>
      </c>
      <c r="H31" s="4">
        <f t="shared" si="0"/>
      </c>
    </row>
    <row r="32" spans="1:8">
      <c r="A32" s="2">
        <v>46182</v>
      </c>
      <c r="B32" t="s">
        <v>4</v>
      </c>
      <c r="C32" t="s">
        <v>130</v>
      </c>
      <c r="D32" t="s">
        <v>174</v>
      </c>
      <c r="E32">
        <f>VLOOKUP(TablaObra[[#This Row],[Equipo]],Catalogos!$I$4:$J$46,2,FALSE)</f>
      </c>
      <c r="F32" s="3">
        <v>50</v>
      </c>
      <c r="G32" s="4">
        <v>28.3</v>
      </c>
      <c r="H32" s="4">
        <f t="shared" si="0"/>
      </c>
    </row>
    <row r="33" spans="1:11">
      <c r="A33" s="2">
        <v>46182</v>
      </c>
      <c r="B33" t="s">
        <v>4</v>
      </c>
      <c r="C33" t="s">
        <v>130</v>
      </c>
      <c r="D33" t="s">
        <v>86</v>
      </c>
      <c r="E33">
        <f>VLOOKUP(TablaObra[[#This Row],[Equipo]],Catalogos!$I$4:$J$46,2,FALSE)</f>
      </c>
      <c r="F33" s="3">
        <v>60</v>
      </c>
      <c r="G33" s="4">
        <v>28.3</v>
      </c>
      <c r="H33" s="4">
        <f t="shared" si="0"/>
      </c>
    </row>
    <row r="34" spans="1:11">
      <c r="A34" s="2">
        <v>46183</v>
      </c>
      <c r="B34" t="s">
        <v>3</v>
      </c>
      <c r="C34" t="s">
        <v>75</v>
      </c>
      <c r="D34" t="s">
        <v>139</v>
      </c>
      <c r="E34">
        <f>VLOOKUP(TablaObra[[#This Row],[Equipo]],Catalogos!$I$4:$J$46,2,FALSE)</f>
      </c>
      <c r="F34" s="3">
        <v>20</v>
      </c>
      <c r="G34" s="4">
        <v>28.3</v>
      </c>
      <c r="H34" s="4">
        <f t="shared" si="0"/>
      </c>
    </row>
    <row r="35" spans="1:11">
      <c r="A35" s="2">
        <v>46183</v>
      </c>
      <c r="B35" t="s">
        <v>3</v>
      </c>
      <c r="C35" t="s">
        <v>75</v>
      </c>
      <c r="D35" t="s">
        <v>138</v>
      </c>
      <c r="E35">
        <f>VLOOKUP(TablaObra[[#This Row],[Equipo]],Catalogos!$I$4:$J$46,2,FALSE)</f>
      </c>
      <c r="F35" s="3">
        <v>250</v>
      </c>
      <c r="G35" s="4">
        <v>28.3</v>
      </c>
      <c r="H35" s="4">
        <f t="shared" si="0"/>
      </c>
    </row>
    <row r="36" spans="1:11">
      <c r="A36" s="2">
        <v>46183</v>
      </c>
      <c r="B36" t="s">
        <v>3</v>
      </c>
      <c r="C36" t="s">
        <v>75</v>
      </c>
      <c r="D36" t="s">
        <v>81</v>
      </c>
      <c r="E36">
        <f>VLOOKUP(TablaObra[[#This Row],[Equipo]],Catalogos!$I$4:$J$46,2,FALSE)</f>
      </c>
      <c r="F36" s="3">
        <v>30</v>
      </c>
      <c r="G36" s="4">
        <v>28.3</v>
      </c>
      <c r="H36" s="4">
        <f t="shared" si="0"/>
      </c>
    </row>
    <row r="37" spans="1:11">
      <c r="A37" s="2">
        <v>46183</v>
      </c>
      <c r="B37" t="s">
        <v>183</v>
      </c>
      <c r="C37" t="s">
        <v>130</v>
      </c>
      <c r="D37" t="s">
        <v>184</v>
      </c>
      <c r="E37">
        <f>VLOOKUP(TablaObra[[#This Row],[Equipo]],Catalogos!$I$4:$J$46,2,FALSE)</f>
      </c>
      <c r="F37" s="3">
        <v>100</v>
      </c>
      <c r="G37" s="4">
        <v>28.3</v>
      </c>
      <c r="H37" s="4">
        <f t="shared" si="0"/>
      </c>
    </row>
    <row r="38" spans="1:11">
      <c r="A38" s="2">
        <v>46184</v>
      </c>
      <c r="B38" t="s">
        <v>3</v>
      </c>
      <c r="C38" t="s">
        <v>75</v>
      </c>
      <c r="D38" t="s">
        <v>72</v>
      </c>
      <c r="E38">
        <f>VLOOKUP(TablaObra[[#This Row],[Equipo]],Catalogos!$I$4:$J$46,2,FALSE)</f>
      </c>
      <c r="F38" s="3">
        <v>30</v>
      </c>
      <c r="G38" s="4">
        <v>28.3</v>
      </c>
      <c r="H38" s="4">
        <f t="shared" si="0"/>
      </c>
      <c r="K38" t="s">
        <v>198</v>
      </c>
    </row>
    <row r="39" spans="1:11">
      <c r="A39" s="2">
        <v>46184</v>
      </c>
      <c r="B39" t="s">
        <v>3</v>
      </c>
      <c r="C39" t="s">
        <v>75</v>
      </c>
      <c r="D39" t="s">
        <v>155</v>
      </c>
      <c r="E39">
        <f>VLOOKUP(TablaObra[[#This Row],[Equipo]],Catalogos!$I$4:$J$46,2,FALSE)</f>
      </c>
      <c r="F39" s="3">
        <v>30</v>
      </c>
      <c r="G39" s="4">
        <v>28.3</v>
      </c>
      <c r="H39" s="4">
        <f t="shared" si="0"/>
      </c>
      <c r="K39" t="s">
        <v>198</v>
      </c>
    </row>
    <row r="40" spans="1:11">
      <c r="A40" s="2">
        <v>46184</v>
      </c>
      <c r="B40" t="s">
        <v>3</v>
      </c>
      <c r="C40" t="s">
        <v>75</v>
      </c>
      <c r="D40" t="s">
        <v>134</v>
      </c>
      <c r="E40">
        <f>VLOOKUP(TablaObra[[#This Row],[Equipo]],Catalogos!$I$4:$J$46,2,FALSE)</f>
      </c>
      <c r="F40" s="3">
        <v>136</v>
      </c>
      <c r="G40" s="4">
        <v>28.3</v>
      </c>
      <c r="H40" s="4">
        <f t="shared" si="0"/>
      </c>
      <c r="K40" t="s">
        <v>198</v>
      </c>
    </row>
    <row r="41" spans="1:11">
      <c r="A41" s="2">
        <v>46184</v>
      </c>
      <c r="B41" t="s">
        <v>3</v>
      </c>
      <c r="C41" t="s">
        <v>75</v>
      </c>
      <c r="D41" t="s">
        <v>139</v>
      </c>
      <c r="E41">
        <f>VLOOKUP(TablaObra[[#This Row],[Equipo]],Catalogos!$I$4:$J$46,2,FALSE)</f>
      </c>
      <c r="F41" s="3">
        <v>20</v>
      </c>
      <c r="G41" s="4">
        <v>28.3</v>
      </c>
      <c r="H41" s="4">
        <f t="shared" si="0"/>
      </c>
      <c r="K41" t="s">
        <v>198</v>
      </c>
    </row>
    <row r="42" spans="1:11">
      <c r="A42" s="2">
        <v>46184</v>
      </c>
      <c r="B42" t="s">
        <v>3</v>
      </c>
      <c r="C42" t="s">
        <v>75</v>
      </c>
      <c r="D42" t="s">
        <v>81</v>
      </c>
      <c r="E42">
        <f>VLOOKUP(TablaObra[[#This Row],[Equipo]],Catalogos!$I$4:$J$46,2,FALSE)</f>
      </c>
      <c r="F42" s="3">
        <v>20</v>
      </c>
      <c r="G42" s="4">
        <v>28.3</v>
      </c>
      <c r="H42" s="4">
        <f t="shared" si="0"/>
      </c>
      <c r="K42" t="s">
        <v>198</v>
      </c>
    </row>
    <row r="43" spans="1:11">
      <c r="A43" s="2">
        <v>46184</v>
      </c>
      <c r="B43" t="s">
        <v>3</v>
      </c>
      <c r="C43" t="s">
        <v>75</v>
      </c>
      <c r="D43" t="s">
        <v>166</v>
      </c>
      <c r="E43">
        <f>VLOOKUP(TablaObra[[#This Row],[Equipo]],Catalogos!$I$4:$J$46,2,FALSE)</f>
      </c>
      <c r="F43" s="3">
        <v>20</v>
      </c>
      <c r="G43" s="4">
        <v>28.3</v>
      </c>
      <c r="H43" s="4">
        <f t="shared" si="0"/>
      </c>
      <c r="K43" t="s">
        <v>198</v>
      </c>
    </row>
    <row r="44" spans="1:11">
      <c r="A44" s="2">
        <v>46184</v>
      </c>
      <c r="B44" t="s">
        <v>187</v>
      </c>
      <c r="C44" t="s">
        <v>130</v>
      </c>
      <c r="D44" t="s">
        <v>189</v>
      </c>
      <c r="E44">
        <f>VLOOKUP(TablaObra[[#This Row],[Equipo]],Catalogos!$I$4:$J$46,2,FALSE)</f>
      </c>
      <c r="F44" s="3">
        <v>238</v>
      </c>
      <c r="G44" s="4">
        <v>28.3</v>
      </c>
      <c r="H44" s="4">
        <f t="shared" si="0"/>
      </c>
    </row>
    <row r="45" spans="1:11">
      <c r="A45" s="2">
        <v>46184</v>
      </c>
      <c r="B45" t="s">
        <v>4</v>
      </c>
      <c r="C45" t="s">
        <v>130</v>
      </c>
      <c r="D45" t="s">
        <v>86</v>
      </c>
      <c r="E45">
        <f>VLOOKUP(TablaObra[[#This Row],[Equipo]],Catalogos!$I$4:$J$46,2,FALSE)</f>
      </c>
      <c r="F45" s="3">
        <v>80</v>
      </c>
      <c r="G45" s="4">
        <v>28.3</v>
      </c>
      <c r="H45" s="4">
        <f t="shared" si="0"/>
      </c>
    </row>
    <row r="46" spans="1:11">
      <c r="A46" s="2">
        <v>46184</v>
      </c>
      <c r="B46" t="s">
        <v>4</v>
      </c>
      <c r="C46" t="s">
        <v>130</v>
      </c>
      <c r="D46" t="s">
        <v>168</v>
      </c>
      <c r="E46">
        <f>VLOOKUP(TablaObra[[#This Row],[Equipo]],Catalogos!$I$4:$J$46,2,FALSE)</f>
      </c>
      <c r="F46" s="3">
        <v>50</v>
      </c>
      <c r="G46" s="4">
        <v>28.3</v>
      </c>
      <c r="H46" s="4">
        <f t="shared" si="0"/>
      </c>
    </row>
    <row r="47" spans="1:11">
      <c r="A47" s="2">
        <v>46184</v>
      </c>
      <c r="B47" t="s">
        <v>4</v>
      </c>
      <c r="C47" t="s">
        <v>130</v>
      </c>
      <c r="D47" t="s">
        <v>81</v>
      </c>
      <c r="E47">
        <f>VLOOKUP(TablaObra[[#This Row],[Equipo]],Catalogos!$I$4:$J$46,2,FALSE)</f>
      </c>
      <c r="F47" s="3">
        <v>70</v>
      </c>
      <c r="G47" s="4">
        <v>28.3</v>
      </c>
      <c r="H47" s="4">
        <f t="shared" si="0"/>
      </c>
    </row>
    <row r="48" spans="1:11">
      <c r="A48" s="2">
        <v>46184</v>
      </c>
      <c r="B48" t="s">
        <v>4</v>
      </c>
      <c r="C48" t="s">
        <v>130</v>
      </c>
      <c r="D48" t="s">
        <v>164</v>
      </c>
      <c r="E48">
        <f>VLOOKUP(TablaObra[[#This Row],[Equipo]],Catalogos!$I$4:$J$46,2,FALSE)</f>
      </c>
      <c r="F48" s="3">
        <v>80</v>
      </c>
      <c r="G48" s="4">
        <v>28.3</v>
      </c>
      <c r="H48" s="4">
        <f t="shared" si="0"/>
      </c>
    </row>
    <row r="49" spans="1:8">
      <c r="A49" s="2">
        <v>46184</v>
      </c>
      <c r="B49" t="s">
        <v>4</v>
      </c>
      <c r="C49" t="s">
        <v>130</v>
      </c>
      <c r="D49" t="s">
        <v>134</v>
      </c>
      <c r="E49">
        <f>VLOOKUP(TablaObra[[#This Row],[Equipo]],Catalogos!$I$4:$J$46,2,FALSE)</f>
      </c>
      <c r="F49" s="3">
        <v>185</v>
      </c>
      <c r="G49" s="4">
        <v>28.3</v>
      </c>
      <c r="H49" s="4">
        <f t="shared" si="0"/>
      </c>
    </row>
    <row r="50" spans="1:8">
      <c r="A50" s="2">
        <v>46184</v>
      </c>
      <c r="B50" t="s">
        <v>4</v>
      </c>
      <c r="C50" t="s">
        <v>130</v>
      </c>
      <c r="D50" t="s">
        <v>174</v>
      </c>
      <c r="E50">
        <f>VLOOKUP(TablaObra[[#This Row],[Equipo]],Catalogos!$I$4:$J$46,2,FALSE)</f>
      </c>
      <c r="F50" s="3">
        <v>50</v>
      </c>
      <c r="G50" s="4">
        <v>28.3</v>
      </c>
      <c r="H50" s="4">
        <f t="shared" si="0"/>
      </c>
    </row>
    <row r="51" spans="1:8">
      <c r="A51" s="2">
        <v>46184</v>
      </c>
      <c r="B51" t="s">
        <v>4</v>
      </c>
      <c r="C51" t="s">
        <v>130</v>
      </c>
      <c r="D51" t="s">
        <v>174</v>
      </c>
      <c r="E51">
        <f>VLOOKUP(TablaObra[[#This Row],[Equipo]],Catalogos!$I$4:$J$46,2,FALSE)</f>
      </c>
      <c r="F51" s="3">
        <v>40</v>
      </c>
      <c r="G51" s="4">
        <v>28.3</v>
      </c>
      <c r="H51" s="4">
        <f t="shared" si="0"/>
      </c>
    </row>
    <row r="52" spans="1:8">
      <c r="A52" s="2">
        <v>46184</v>
      </c>
      <c r="B52" t="s">
        <v>4</v>
      </c>
      <c r="C52" t="s">
        <v>130</v>
      </c>
      <c r="D52" t="s">
        <v>155</v>
      </c>
      <c r="E52">
        <f>VLOOKUP(TablaObra[[#This Row],[Equipo]],Catalogos!$I$4:$J$46,2,FALSE)</f>
      </c>
      <c r="F52" s="3">
        <v>40</v>
      </c>
      <c r="G52" s="4">
        <v>28.3</v>
      </c>
      <c r="H52" s="4">
        <f t="shared" si="0"/>
      </c>
    </row>
    <row r="53" spans="1:8">
      <c r="A53" s="2">
        <v>46185</v>
      </c>
      <c r="B53" t="s">
        <v>5</v>
      </c>
      <c r="C53" t="s">
        <v>75</v>
      </c>
      <c r="D53" t="s">
        <v>158</v>
      </c>
      <c r="E53">
        <f>VLOOKUP(TablaObra[[#This Row],[Equipo]],Catalogos!$I$4:$J$46,2,FALSE)</f>
      </c>
      <c r="F53" s="3">
        <v>32</v>
      </c>
      <c r="G53" s="4">
        <v>28.3</v>
      </c>
      <c r="H53" s="4">
        <f t="shared" si="0"/>
      </c>
    </row>
    <row r="54" spans="1:8">
      <c r="A54" s="2">
        <v>46185</v>
      </c>
      <c r="B54" t="s">
        <v>5</v>
      </c>
      <c r="C54" t="s">
        <v>75</v>
      </c>
      <c r="D54" t="s">
        <v>160</v>
      </c>
      <c r="E54">
        <f>VLOOKUP(TablaObra[[#This Row],[Equipo]],Catalogos!$I$4:$J$46,2,FALSE)</f>
      </c>
      <c r="F54" s="3">
        <v>30</v>
      </c>
      <c r="G54" s="4">
        <v>28.3</v>
      </c>
      <c r="H54" s="4">
        <f t="shared" si="0"/>
      </c>
    </row>
    <row r="55" spans="1:8">
      <c r="A55" s="2">
        <v>46185</v>
      </c>
      <c r="B55" t="s">
        <v>5</v>
      </c>
      <c r="C55" t="s">
        <v>75</v>
      </c>
      <c r="D55" t="s">
        <v>149</v>
      </c>
      <c r="E55">
        <f>VLOOKUP(TablaObra[[#This Row],[Equipo]],Catalogos!$I$4:$J$46,2,FALSE)</f>
      </c>
      <c r="F55" s="3">
        <v>30</v>
      </c>
      <c r="G55" s="4">
        <v>28.3</v>
      </c>
      <c r="H55" s="4">
        <f t="shared" si="0"/>
      </c>
    </row>
    <row r="56" spans="1:8">
      <c r="A56" s="2">
        <v>46185</v>
      </c>
      <c r="B56" t="s">
        <v>5</v>
      </c>
      <c r="C56" t="s">
        <v>75</v>
      </c>
      <c r="D56" t="s">
        <v>151</v>
      </c>
      <c r="E56">
        <f>VLOOKUP(TablaObra[[#This Row],[Equipo]],Catalogos!$I$4:$J$46,2,FALSE)</f>
      </c>
      <c r="F56" s="3">
        <v>50</v>
      </c>
      <c r="G56" s="4">
        <v>28.3</v>
      </c>
      <c r="H56" s="4">
        <f t="shared" si="0"/>
      </c>
    </row>
    <row r="57" spans="1:8">
      <c r="A57" s="2">
        <v>46185</v>
      </c>
      <c r="B57" t="s">
        <v>5</v>
      </c>
      <c r="C57" t="s">
        <v>75</v>
      </c>
      <c r="D57" t="s">
        <v>156</v>
      </c>
      <c r="E57">
        <f>VLOOKUP(TablaObra[[#This Row],[Equipo]],Catalogos!$I$4:$J$46,2,FALSE)</f>
      </c>
      <c r="F57" s="3">
        <v>120</v>
      </c>
      <c r="G57" s="4">
        <v>28.3</v>
      </c>
      <c r="H57" s="4">
        <f t="shared" si="0"/>
      </c>
    </row>
    <row r="58" spans="1:8">
      <c r="A58" s="2">
        <v>46185</v>
      </c>
      <c r="B58" t="s">
        <v>5</v>
      </c>
      <c r="C58" t="s">
        <v>75</v>
      </c>
      <c r="D58" t="s">
        <v>162</v>
      </c>
      <c r="E58">
        <f>VLOOKUP(TablaObra[[#This Row],[Equipo]],Catalogos!$I$4:$J$46,2,FALSE)</f>
      </c>
      <c r="F58" s="3">
        <v>40</v>
      </c>
      <c r="G58" s="4">
        <v>28.3</v>
      </c>
      <c r="H58" s="4">
        <f t="shared" si="0"/>
      </c>
    </row>
    <row r="59" spans="1:8">
      <c r="A59" s="2">
        <v>46185</v>
      </c>
      <c r="B59" t="s">
        <v>5</v>
      </c>
      <c r="C59" t="s">
        <v>75</v>
      </c>
      <c r="D59" t="s">
        <v>145</v>
      </c>
      <c r="E59">
        <f>VLOOKUP(TablaObra[[#This Row],[Equipo]],Catalogos!$I$4:$J$46,2,FALSE)</f>
      </c>
      <c r="F59" s="3">
        <v>200</v>
      </c>
      <c r="G59" s="4">
        <v>28.3</v>
      </c>
      <c r="H59" s="4">
        <f t="shared" si="0"/>
      </c>
    </row>
    <row r="60" spans="1:8">
      <c r="A60" s="2">
        <v>46185</v>
      </c>
      <c r="B60" t="s">
        <v>3</v>
      </c>
      <c r="C60" t="s">
        <v>75</v>
      </c>
      <c r="D60" t="s">
        <v>139</v>
      </c>
      <c r="E60">
        <f>VLOOKUP(TablaObra[[#This Row],[Equipo]],Catalogos!$I$4:$J$46,2,FALSE)</f>
      </c>
      <c r="F60" s="3">
        <v>20</v>
      </c>
      <c r="G60" s="4">
        <v>28.3</v>
      </c>
      <c r="H60" s="4">
        <f t="shared" si="0"/>
      </c>
    </row>
    <row r="61" spans="1:8">
      <c r="A61" s="2">
        <v>46185</v>
      </c>
      <c r="B61" t="s">
        <v>3</v>
      </c>
      <c r="C61" t="s">
        <v>75</v>
      </c>
      <c r="D61" t="s">
        <v>155</v>
      </c>
      <c r="E61">
        <f>VLOOKUP(TablaObra[[#This Row],[Equipo]],Catalogos!$I$4:$J$46,2,FALSE)</f>
      </c>
      <c r="F61" s="3">
        <v>30</v>
      </c>
      <c r="G61" s="4">
        <v>28.3</v>
      </c>
      <c r="H61" s="4">
        <f t="shared" si="0"/>
      </c>
    </row>
    <row r="62" spans="1:8">
      <c r="A62" s="2">
        <v>46185</v>
      </c>
      <c r="B62" t="s">
        <v>3</v>
      </c>
      <c r="C62" t="s">
        <v>75</v>
      </c>
      <c r="D62" t="s">
        <v>166</v>
      </c>
      <c r="E62">
        <f>VLOOKUP(TablaObra[[#This Row],[Equipo]],Catalogos!$I$4:$J$46,2,FALSE)</f>
      </c>
      <c r="F62" s="3">
        <v>20</v>
      </c>
      <c r="G62" s="4">
        <v>28.3</v>
      </c>
      <c r="H62" s="4">
        <f t="shared" si="0"/>
      </c>
    </row>
    <row r="63" spans="1:8">
      <c r="A63" s="2">
        <v>46185</v>
      </c>
      <c r="B63" t="s">
        <v>3</v>
      </c>
      <c r="C63" t="s">
        <v>75</v>
      </c>
      <c r="D63" t="s">
        <v>72</v>
      </c>
      <c r="E63">
        <f>VLOOKUP(TablaObra[[#This Row],[Equipo]],Catalogos!$I$4:$J$46,2,FALSE)</f>
      </c>
      <c r="F63" s="3">
        <v>40</v>
      </c>
      <c r="G63" s="4">
        <v>28.3</v>
      </c>
      <c r="H63" s="4">
        <f t="shared" si="0"/>
      </c>
    </row>
    <row r="64" spans="1:8">
      <c r="A64" s="2">
        <v>46185</v>
      </c>
      <c r="B64" t="s">
        <v>3</v>
      </c>
      <c r="C64" t="s">
        <v>75</v>
      </c>
      <c r="D64" t="s">
        <v>138</v>
      </c>
      <c r="E64">
        <f>VLOOKUP(TablaObra[[#This Row],[Equipo]],Catalogos!$I$4:$J$46,2,FALSE)</f>
      </c>
      <c r="F64" s="3">
        <v>250</v>
      </c>
      <c r="G64" s="4">
        <v>28.3</v>
      </c>
      <c r="H64" s="4">
        <f t="shared" si="0"/>
      </c>
    </row>
    <row r="65" spans="1:8">
      <c r="A65" s="2">
        <v>46188</v>
      </c>
      <c r="B65" t="s">
        <v>3</v>
      </c>
      <c r="C65" t="s">
        <v>75</v>
      </c>
      <c r="D65" t="s">
        <v>145</v>
      </c>
      <c r="E65">
        <f>VLOOKUP(TablaObra[[#This Row],[Equipo]],Catalogos!$I$4:$J$46,2,FALSE)</f>
      </c>
      <c r="F65" s="3">
        <v>200</v>
      </c>
      <c r="G65" s="4">
        <v>28.3</v>
      </c>
      <c r="H65" s="4">
        <f t="shared" si="0"/>
      </c>
    </row>
    <row r="66" spans="1:8">
      <c r="A66" s="2">
        <v>46188</v>
      </c>
      <c r="B66" t="s">
        <v>3</v>
      </c>
      <c r="C66" t="s">
        <v>75</v>
      </c>
      <c r="D66" t="s">
        <v>81</v>
      </c>
      <c r="E66">
        <f>VLOOKUP(TablaObra[[#This Row],[Equipo]],Catalogos!$I$4:$J$46,2,FALSE)</f>
      </c>
      <c r="F66" s="3">
        <v>40</v>
      </c>
      <c r="G66" s="4">
        <v>28.3</v>
      </c>
      <c r="H66" s="4">
        <f t="shared" si="0"/>
      </c>
    </row>
    <row r="67" spans="1:8">
      <c r="A67" s="2">
        <v>46188</v>
      </c>
      <c r="B67" t="s">
        <v>3</v>
      </c>
      <c r="C67" t="s">
        <v>75</v>
      </c>
      <c r="D67" t="s">
        <v>158</v>
      </c>
      <c r="E67">
        <f>VLOOKUP(TablaObra[[#This Row],[Equipo]],Catalogos!$I$4:$J$46,2,FALSE)</f>
      </c>
      <c r="F67" s="3">
        <v>30</v>
      </c>
      <c r="G67" s="4">
        <v>28.3</v>
      </c>
      <c r="H67" s="4">
        <f t="shared" si="0"/>
      </c>
    </row>
    <row r="68" spans="1:8">
      <c r="A68" s="2">
        <v>46188</v>
      </c>
      <c r="B68" t="s">
        <v>3</v>
      </c>
      <c r="C68" t="s">
        <v>75</v>
      </c>
      <c r="D68" t="s">
        <v>155</v>
      </c>
      <c r="E68">
        <f>VLOOKUP(TablaObra[[#This Row],[Equipo]],Catalogos!$I$4:$J$46,2,FALSE)</f>
      </c>
      <c r="F68" s="3">
        <v>50</v>
      </c>
      <c r="G68" s="4">
        <v>28.3</v>
      </c>
      <c r="H68" s="4">
        <f t="shared" si="0"/>
      </c>
    </row>
    <row r="69" spans="1:8">
      <c r="A69" s="2">
        <v>46188</v>
      </c>
      <c r="B69" t="s">
        <v>3</v>
      </c>
      <c r="C69" t="s">
        <v>75</v>
      </c>
      <c r="D69" t="s">
        <v>134</v>
      </c>
      <c r="E69">
        <f>VLOOKUP(TablaObra[[#This Row],[Equipo]],Catalogos!$I$4:$J$46,2,FALSE)</f>
      </c>
      <c r="F69" s="3">
        <v>73</v>
      </c>
      <c r="G69" s="4">
        <v>28.3</v>
      </c>
      <c r="H69" s="4">
        <f t="shared" ref="H69:H132" si="1">IFERROR(F69*G69,0)</f>
      </c>
    </row>
    <row r="70" spans="1:8">
      <c r="A70" s="2">
        <v>46188</v>
      </c>
      <c r="B70" t="s">
        <v>4</v>
      </c>
      <c r="C70" t="s">
        <v>75</v>
      </c>
      <c r="D70" t="s">
        <v>156</v>
      </c>
      <c r="E70">
        <f>VLOOKUP(TablaObra[[#This Row],[Equipo]],Catalogos!$I$4:$J$46,2,FALSE)</f>
      </c>
      <c r="F70" s="3">
        <v>99</v>
      </c>
      <c r="G70" s="4">
        <v>28.3</v>
      </c>
      <c r="H70" s="4">
        <f t="shared" si="1"/>
      </c>
    </row>
    <row r="71" spans="1:8">
      <c r="A71" s="2">
        <v>46188</v>
      </c>
      <c r="B71" t="s">
        <v>3</v>
      </c>
      <c r="C71" t="s">
        <v>75</v>
      </c>
      <c r="D71" t="s">
        <v>86</v>
      </c>
      <c r="E71">
        <f>VLOOKUP(TablaObra[[#This Row],[Equipo]],Catalogos!$I$4:$J$46,2,FALSE)</f>
      </c>
      <c r="F71" s="3">
        <v>50</v>
      </c>
      <c r="G71" s="4">
        <v>28.3</v>
      </c>
      <c r="H71" s="4">
        <f t="shared" si="1"/>
      </c>
    </row>
    <row r="72" spans="1:8">
      <c r="A72" s="2">
        <v>46188</v>
      </c>
      <c r="B72" t="s">
        <v>183</v>
      </c>
      <c r="C72" t="s">
        <v>130</v>
      </c>
      <c r="D72" t="s">
        <v>184</v>
      </c>
      <c r="E72">
        <f>VLOOKUP(TablaObra[[#This Row],[Equipo]],Catalogos!$I$4:$J$46,2,FALSE)</f>
      </c>
      <c r="F72" s="3">
        <v>70</v>
      </c>
      <c r="G72" s="4">
        <v>28.3</v>
      </c>
      <c r="H72" s="4">
        <f t="shared" si="1"/>
      </c>
    </row>
    <row r="73" spans="1:8">
      <c r="A73" s="2">
        <v>46188</v>
      </c>
      <c r="B73" t="s">
        <v>4</v>
      </c>
      <c r="C73" t="s">
        <v>130</v>
      </c>
      <c r="D73" t="s">
        <v>160</v>
      </c>
      <c r="E73">
        <f>VLOOKUP(TablaObra[[#This Row],[Equipo]],Catalogos!$I$4:$J$46,2,FALSE)</f>
      </c>
      <c r="F73" s="3">
        <v>24</v>
      </c>
      <c r="G73" s="4">
        <v>28.3</v>
      </c>
      <c r="H73" s="4">
        <f t="shared" si="1"/>
      </c>
    </row>
    <row r="74" spans="1:8">
      <c r="A74" s="2">
        <v>46188</v>
      </c>
      <c r="B74" t="s">
        <v>187</v>
      </c>
      <c r="C74" t="s">
        <v>130</v>
      </c>
      <c r="D74" t="s">
        <v>189</v>
      </c>
      <c r="E74">
        <f>VLOOKUP(TablaObra[[#This Row],[Equipo]],Catalogos!$I$4:$J$46,2,FALSE)</f>
      </c>
      <c r="F74" s="3">
        <v>265</v>
      </c>
      <c r="G74" s="4">
        <v>28.3</v>
      </c>
      <c r="H74" s="4">
        <f t="shared" si="1"/>
      </c>
    </row>
    <row r="75" spans="1:8">
      <c r="A75" s="2">
        <v>46188</v>
      </c>
      <c r="B75" t="s">
        <v>183</v>
      </c>
      <c r="C75" t="s">
        <v>130</v>
      </c>
      <c r="D75" t="s">
        <v>158</v>
      </c>
      <c r="E75">
        <f>VLOOKUP(TablaObra[[#This Row],[Equipo]],Catalogos!$I$4:$J$46,2,FALSE)</f>
      </c>
      <c r="F75" s="3">
        <v>33</v>
      </c>
      <c r="G75" s="4">
        <v>28.3</v>
      </c>
      <c r="H75" s="4">
        <f t="shared" si="1"/>
      </c>
    </row>
    <row r="76" spans="1:8">
      <c r="A76" s="2">
        <v>46188</v>
      </c>
      <c r="B76" t="s">
        <v>4</v>
      </c>
      <c r="C76" t="s">
        <v>130</v>
      </c>
      <c r="D76" t="s">
        <v>86</v>
      </c>
      <c r="E76">
        <f>VLOOKUP(TablaObra[[#This Row],[Equipo]],Catalogos!$I$4:$J$46,2,FALSE)</f>
      </c>
      <c r="F76" s="3">
        <v>60</v>
      </c>
      <c r="G76" s="4">
        <v>28.3</v>
      </c>
      <c r="H76" s="4">
        <f t="shared" si="1"/>
      </c>
    </row>
    <row r="77" spans="1:8">
      <c r="A77" s="2">
        <v>46188</v>
      </c>
      <c r="B77" t="s">
        <v>4</v>
      </c>
      <c r="C77" t="s">
        <v>130</v>
      </c>
      <c r="D77" t="s">
        <v>139</v>
      </c>
      <c r="E77">
        <f>VLOOKUP(TablaObra[[#This Row],[Equipo]],Catalogos!$I$4:$J$46,2,FALSE)</f>
      </c>
      <c r="F77" s="3">
        <v>52</v>
      </c>
      <c r="G77" s="4">
        <v>28.3</v>
      </c>
      <c r="H77" s="4">
        <f t="shared" si="1"/>
      </c>
    </row>
    <row r="78" spans="1:8">
      <c r="A78" s="2">
        <v>46188</v>
      </c>
      <c r="B78" t="s">
        <v>4</v>
      </c>
      <c r="C78" t="s">
        <v>130</v>
      </c>
      <c r="D78" t="s">
        <v>172</v>
      </c>
      <c r="E78">
        <f>VLOOKUP(TablaObra[[#This Row],[Equipo]],Catalogos!$I$4:$J$46,2,FALSE)</f>
      </c>
      <c r="F78" s="3">
        <v>25</v>
      </c>
      <c r="G78" s="4">
        <v>28.3</v>
      </c>
      <c r="H78" s="4">
        <f t="shared" si="1"/>
      </c>
    </row>
    <row r="79" spans="1:8">
      <c r="A79" s="2">
        <v>46188</v>
      </c>
      <c r="B79" t="s">
        <v>4</v>
      </c>
      <c r="C79" t="s">
        <v>130</v>
      </c>
      <c r="D79" t="s">
        <v>81</v>
      </c>
      <c r="E79">
        <f>VLOOKUP(TablaObra[[#This Row],[Equipo]],Catalogos!$I$4:$J$46,2,FALSE)</f>
      </c>
      <c r="F79" s="3">
        <v>55</v>
      </c>
      <c r="G79" s="4">
        <v>28.3</v>
      </c>
      <c r="H79" s="4">
        <f t="shared" si="1"/>
      </c>
    </row>
    <row r="80" spans="1:8">
      <c r="A80" s="2">
        <v>46189</v>
      </c>
      <c r="B80" t="s">
        <v>3</v>
      </c>
      <c r="C80" t="s">
        <v>75</v>
      </c>
      <c r="D80" t="s">
        <v>145</v>
      </c>
      <c r="E80">
        <f>VLOOKUP(TablaObra[[#This Row],[Equipo]],Catalogos!$I$4:$J$46,2,FALSE)</f>
      </c>
      <c r="F80" s="3">
        <v>200</v>
      </c>
      <c r="G80" s="4">
        <v>28.3</v>
      </c>
      <c r="H80" s="4">
        <f t="shared" si="1"/>
      </c>
    </row>
    <row r="81" spans="1:8">
      <c r="A81" s="2">
        <v>46189</v>
      </c>
      <c r="B81" t="s">
        <v>3</v>
      </c>
      <c r="C81" t="s">
        <v>75</v>
      </c>
      <c r="D81" t="s">
        <v>158</v>
      </c>
      <c r="E81">
        <f>VLOOKUP(TablaObra[[#This Row],[Equipo]],Catalogos!$I$4:$J$46,2,FALSE)</f>
      </c>
      <c r="F81" s="3">
        <v>32</v>
      </c>
      <c r="G81" s="4">
        <v>28.3</v>
      </c>
      <c r="H81" s="4">
        <f t="shared" si="1"/>
      </c>
    </row>
    <row r="82" spans="1:8">
      <c r="A82" s="2">
        <v>46189</v>
      </c>
      <c r="B82" t="s">
        <v>3</v>
      </c>
      <c r="C82" t="s">
        <v>75</v>
      </c>
      <c r="D82" t="s">
        <v>155</v>
      </c>
      <c r="E82">
        <f>VLOOKUP(TablaObra[[#This Row],[Equipo]],Catalogos!$I$4:$J$46,2,FALSE)</f>
      </c>
      <c r="F82" s="3">
        <v>30</v>
      </c>
      <c r="G82" s="4">
        <v>28.3</v>
      </c>
      <c r="H82" s="4">
        <f t="shared" si="1"/>
      </c>
    </row>
    <row r="83" spans="1:8">
      <c r="A83" s="2">
        <v>46189</v>
      </c>
      <c r="B83" t="s">
        <v>3</v>
      </c>
      <c r="C83" t="s">
        <v>75</v>
      </c>
      <c r="D83" t="s">
        <v>139</v>
      </c>
      <c r="E83">
        <f>VLOOKUP(TablaObra[[#This Row],[Equipo]],Catalogos!$I$4:$J$46,2,FALSE)</f>
      </c>
      <c r="F83" s="3">
        <v>30</v>
      </c>
      <c r="G83" s="4">
        <v>28.3</v>
      </c>
      <c r="H83" s="4">
        <f t="shared" si="1"/>
      </c>
    </row>
    <row r="84" spans="1:8">
      <c r="A84" s="2">
        <v>46189</v>
      </c>
      <c r="B84" t="s">
        <v>3</v>
      </c>
      <c r="C84" t="s">
        <v>75</v>
      </c>
      <c r="D84" t="s">
        <v>134</v>
      </c>
      <c r="E84">
        <f>VLOOKUP(TablaObra[[#This Row],[Equipo]],Catalogos!$I$4:$J$46,2,FALSE)</f>
      </c>
      <c r="F84" s="3">
        <v>107</v>
      </c>
      <c r="G84" s="4">
        <v>28.3</v>
      </c>
      <c r="H84" s="4">
        <f t="shared" si="1"/>
      </c>
    </row>
    <row r="85" spans="1:8">
      <c r="A85" s="2">
        <v>46189</v>
      </c>
      <c r="B85" t="s">
        <v>3</v>
      </c>
      <c r="C85" t="s">
        <v>75</v>
      </c>
      <c r="D85" t="s">
        <v>81</v>
      </c>
      <c r="E85">
        <f>VLOOKUP(TablaObra[[#This Row],[Equipo]],Catalogos!$I$4:$J$46,2,FALSE)</f>
      </c>
      <c r="F85" s="3">
        <v>40</v>
      </c>
      <c r="G85" s="4">
        <v>28.3</v>
      </c>
      <c r="H85" s="4">
        <f t="shared" si="1"/>
      </c>
    </row>
    <row r="86" spans="1:8">
      <c r="A86" s="2">
        <v>46189</v>
      </c>
      <c r="B86" t="s">
        <v>3</v>
      </c>
      <c r="C86" t="s">
        <v>75</v>
      </c>
      <c r="D86" t="s">
        <v>86</v>
      </c>
      <c r="E86">
        <f>VLOOKUP(TablaObra[[#This Row],[Equipo]],Catalogos!$I$4:$J$46,2,FALSE)</f>
      </c>
      <c r="F86" s="3">
        <v>50</v>
      </c>
      <c r="G86" s="4">
        <v>28.3</v>
      </c>
      <c r="H86" s="4">
        <f t="shared" si="1"/>
      </c>
    </row>
    <row r="87" spans="1:8">
      <c r="A87" s="2">
        <v>46189</v>
      </c>
      <c r="B87" t="s">
        <v>4</v>
      </c>
      <c r="C87" t="s">
        <v>130</v>
      </c>
      <c r="D87" t="s">
        <v>184</v>
      </c>
      <c r="E87">
        <f>VLOOKUP(TablaObra[[#This Row],[Equipo]],Catalogos!$I$4:$J$46,2,FALSE)</f>
      </c>
      <c r="F87" s="3">
        <v>50</v>
      </c>
      <c r="G87" s="4">
        <v>28.3</v>
      </c>
      <c r="H87" s="4">
        <f t="shared" si="1"/>
      </c>
    </row>
    <row r="88" spans="1:8">
      <c r="A88" s="2">
        <v>46189</v>
      </c>
      <c r="B88" t="s">
        <v>187</v>
      </c>
      <c r="C88" t="s">
        <v>130</v>
      </c>
      <c r="D88" t="s">
        <v>86</v>
      </c>
      <c r="E88">
        <f>VLOOKUP(TablaObra[[#This Row],[Equipo]],Catalogos!$I$4:$J$46,2,FALSE)</f>
      </c>
      <c r="F88" s="3">
        <v>50</v>
      </c>
      <c r="G88" s="4">
        <v>28.3</v>
      </c>
      <c r="H88" s="4">
        <f t="shared" si="1"/>
      </c>
    </row>
    <row r="89" spans="1:8">
      <c r="A89" s="2">
        <v>46189</v>
      </c>
      <c r="C89" t="s">
        <v>130</v>
      </c>
      <c r="D89" t="s">
        <v>184</v>
      </c>
      <c r="E89">
        <f>VLOOKUP(TablaObra[[#This Row],[Equipo]],Catalogos!$I$4:$J$46,2,FALSE)</f>
      </c>
      <c r="F89" s="3">
        <v>1001</v>
      </c>
      <c r="G89" s="4">
        <v>28.3</v>
      </c>
      <c r="H89" s="4">
        <f t="shared" si="1"/>
      </c>
    </row>
    <row r="90" spans="1:8">
      <c r="A90" s="2">
        <v>46189</v>
      </c>
      <c r="B90" t="s">
        <v>4</v>
      </c>
      <c r="C90" t="s">
        <v>130</v>
      </c>
      <c r="D90" t="s">
        <v>138</v>
      </c>
      <c r="E90">
        <f>VLOOKUP(TablaObra[[#This Row],[Equipo]],Catalogos!$I$4:$J$46,2,FALSE)</f>
      </c>
      <c r="F90" s="3">
        <v>550</v>
      </c>
      <c r="G90" s="4">
        <v>28.3</v>
      </c>
      <c r="H90" s="4">
        <f t="shared" si="1"/>
      </c>
    </row>
    <row r="91" spans="1:8">
      <c r="A91" s="2">
        <v>46189</v>
      </c>
      <c r="B91" t="s">
        <v>4</v>
      </c>
      <c r="C91" t="s">
        <v>130</v>
      </c>
      <c r="D91" t="s">
        <v>88</v>
      </c>
      <c r="E91">
        <f>VLOOKUP(TablaObra[[#This Row],[Equipo]],Catalogos!$I$4:$J$46,2,FALSE)</f>
      </c>
      <c r="F91" s="3">
        <v>50</v>
      </c>
      <c r="G91" s="4">
        <v>28.3</v>
      </c>
      <c r="H91" s="4">
        <f t="shared" si="1"/>
      </c>
    </row>
    <row r="92" spans="1:8">
      <c r="A92" s="2">
        <v>46189</v>
      </c>
      <c r="B92" t="s">
        <v>4</v>
      </c>
      <c r="C92" t="s">
        <v>130</v>
      </c>
      <c r="D92" t="s">
        <v>134</v>
      </c>
      <c r="E92">
        <f>VLOOKUP(TablaObra[[#This Row],[Equipo]],Catalogos!$I$4:$J$46,2,FALSE)</f>
      </c>
      <c r="F92" s="3">
        <v>165</v>
      </c>
      <c r="G92" s="4">
        <v>28.3</v>
      </c>
      <c r="H92" s="4">
        <f t="shared" si="1"/>
      </c>
    </row>
    <row r="93" spans="1:8">
      <c r="A93" s="2">
        <v>46190</v>
      </c>
      <c r="B93" t="s">
        <v>3</v>
      </c>
      <c r="C93" t="s">
        <v>75</v>
      </c>
      <c r="D93" t="s">
        <v>145</v>
      </c>
      <c r="E93">
        <f>VLOOKUP(TablaObra[[#This Row],[Equipo]],Catalogos!$I$4:$J$46,2,FALSE)</f>
      </c>
      <c r="F93" s="3">
        <v>200</v>
      </c>
      <c r="G93" s="4">
        <v>28.3</v>
      </c>
      <c r="H93" s="4">
        <f t="shared" si="1"/>
      </c>
    </row>
    <row r="94" spans="1:8">
      <c r="A94" s="2">
        <v>46190</v>
      </c>
      <c r="B94" t="s">
        <v>3</v>
      </c>
      <c r="C94" t="s">
        <v>75</v>
      </c>
      <c r="D94" t="s">
        <v>156</v>
      </c>
      <c r="E94">
        <f>VLOOKUP(TablaObra[[#This Row],[Equipo]],Catalogos!$I$4:$J$46,2,FALSE)</f>
      </c>
      <c r="F94" s="3">
        <v>120</v>
      </c>
      <c r="G94" s="4">
        <v>28.3</v>
      </c>
      <c r="H94" s="4">
        <f t="shared" si="1"/>
      </c>
    </row>
    <row r="95" spans="1:8">
      <c r="A95" s="2">
        <v>46190</v>
      </c>
      <c r="B95" t="s">
        <v>3</v>
      </c>
      <c r="C95" t="s">
        <v>75</v>
      </c>
      <c r="D95" t="s">
        <v>158</v>
      </c>
      <c r="E95">
        <f>VLOOKUP(TablaObra[[#This Row],[Equipo]],Catalogos!$I$4:$J$46,2,FALSE)</f>
      </c>
      <c r="F95" s="3">
        <v>30</v>
      </c>
      <c r="G95" s="4">
        <v>28.3</v>
      </c>
      <c r="H95" s="4">
        <f t="shared" si="1"/>
      </c>
    </row>
    <row r="96" spans="1:8">
      <c r="A96" s="2">
        <v>46190</v>
      </c>
      <c r="B96" t="s">
        <v>3</v>
      </c>
      <c r="C96" t="s">
        <v>75</v>
      </c>
      <c r="D96" t="s">
        <v>155</v>
      </c>
      <c r="E96">
        <f>VLOOKUP(TablaObra[[#This Row],[Equipo]],Catalogos!$I$4:$J$46,2,FALSE)</f>
      </c>
      <c r="F96" s="3">
        <v>30</v>
      </c>
      <c r="G96" s="4">
        <v>28.3</v>
      </c>
      <c r="H96" s="4">
        <f t="shared" si="1"/>
      </c>
    </row>
    <row r="97" spans="1:8">
      <c r="A97" s="2">
        <v>46190</v>
      </c>
      <c r="B97" t="s">
        <v>3</v>
      </c>
      <c r="C97" t="s">
        <v>75</v>
      </c>
      <c r="D97" t="s">
        <v>139</v>
      </c>
      <c r="E97">
        <f>VLOOKUP(TablaObra[[#This Row],[Equipo]],Catalogos!$I$4:$J$46,2,FALSE)</f>
      </c>
      <c r="F97" s="3">
        <v>28</v>
      </c>
      <c r="G97" s="4">
        <v>28.3</v>
      </c>
      <c r="H97" s="4">
        <f t="shared" si="1"/>
      </c>
    </row>
    <row r="98" spans="1:8">
      <c r="A98" s="2">
        <v>46190</v>
      </c>
      <c r="B98" t="s">
        <v>3</v>
      </c>
      <c r="C98" t="s">
        <v>75</v>
      </c>
      <c r="D98" t="s">
        <v>81</v>
      </c>
      <c r="E98">
        <f>VLOOKUP(TablaObra[[#This Row],[Equipo]],Catalogos!$I$4:$J$46,2,FALSE)</f>
      </c>
      <c r="F98" s="3">
        <v>60</v>
      </c>
      <c r="G98" s="4">
        <v>28.3</v>
      </c>
      <c r="H98" s="4">
        <f t="shared" si="1"/>
      </c>
    </row>
    <row r="99" spans="1:8">
      <c r="A99" s="2">
        <v>46190</v>
      </c>
      <c r="B99" t="s">
        <v>4</v>
      </c>
      <c r="C99" t="s">
        <v>130</v>
      </c>
      <c r="D99" t="s">
        <v>164</v>
      </c>
      <c r="E99">
        <f>VLOOKUP(TablaObra[[#This Row],[Equipo]],Catalogos!$I$4:$J$46,2,FALSE)</f>
      </c>
      <c r="F99" s="3">
        <v>80</v>
      </c>
      <c r="G99" s="4">
        <v>28.3</v>
      </c>
      <c r="H99" s="4">
        <f t="shared" si="1"/>
      </c>
    </row>
    <row r="100" spans="1:8">
      <c r="A100" s="2">
        <v>46191</v>
      </c>
      <c r="B100" t="s">
        <v>3</v>
      </c>
      <c r="C100" t="s">
        <v>75</v>
      </c>
      <c r="D100" t="s">
        <v>145</v>
      </c>
      <c r="E100">
        <f>VLOOKUP(TablaObra[[#This Row],[Equipo]],Catalogos!$I$4:$J$46,2,FALSE)</f>
      </c>
      <c r="F100" s="3">
        <v>200</v>
      </c>
      <c r="G100" s="4">
        <v>28.3</v>
      </c>
      <c r="H100" s="4">
        <f t="shared" si="1"/>
      </c>
    </row>
    <row r="101" spans="1:8">
      <c r="A101" s="2">
        <v>46191</v>
      </c>
      <c r="B101" t="s">
        <v>3</v>
      </c>
      <c r="C101" t="s">
        <v>75</v>
      </c>
      <c r="D101" t="s">
        <v>156</v>
      </c>
      <c r="E101">
        <f>VLOOKUP(TablaObra[[#This Row],[Equipo]],Catalogos!$I$4:$J$46,2,FALSE)</f>
      </c>
      <c r="F101" s="3">
        <v>115</v>
      </c>
      <c r="G101" s="4">
        <v>28.3</v>
      </c>
      <c r="H101" s="4">
        <f t="shared" si="1"/>
      </c>
    </row>
    <row r="102" spans="1:8">
      <c r="A102" s="2">
        <v>46191</v>
      </c>
      <c r="B102" t="s">
        <v>3</v>
      </c>
      <c r="C102" t="s">
        <v>75</v>
      </c>
      <c r="D102" t="s">
        <v>155</v>
      </c>
      <c r="E102">
        <f>VLOOKUP(TablaObra[[#This Row],[Equipo]],Catalogos!$I$4:$J$46,2,FALSE)</f>
      </c>
      <c r="F102" s="3">
        <v>30</v>
      </c>
      <c r="G102" s="4">
        <v>28.3</v>
      </c>
      <c r="H102" s="4">
        <f t="shared" si="1"/>
      </c>
    </row>
    <row r="103" spans="1:8">
      <c r="A103" s="2">
        <v>46191</v>
      </c>
      <c r="B103" t="s">
        <v>3</v>
      </c>
      <c r="C103" t="s">
        <v>75</v>
      </c>
      <c r="D103" t="s">
        <v>158</v>
      </c>
      <c r="E103">
        <f>VLOOKUP(TablaObra[[#This Row],[Equipo]],Catalogos!$I$4:$J$46,2,FALSE)</f>
      </c>
      <c r="F103" s="3">
        <v>30</v>
      </c>
      <c r="G103" s="4">
        <v>28.3</v>
      </c>
      <c r="H103" s="4">
        <f t="shared" si="1"/>
      </c>
    </row>
    <row r="104" spans="1:8">
      <c r="A104" s="2">
        <v>46191</v>
      </c>
      <c r="B104" t="s">
        <v>3</v>
      </c>
      <c r="C104" t="s">
        <v>75</v>
      </c>
      <c r="D104" t="s">
        <v>81</v>
      </c>
      <c r="E104">
        <f>VLOOKUP(TablaObra[[#This Row],[Equipo]],Catalogos!$I$4:$J$46,2,FALSE)</f>
      </c>
      <c r="F104" s="3">
        <v>30</v>
      </c>
      <c r="G104" s="4">
        <v>28.3</v>
      </c>
      <c r="H104" s="4">
        <f t="shared" si="1"/>
      </c>
    </row>
    <row r="105" spans="1:8">
      <c r="A105" s="2">
        <v>46191</v>
      </c>
      <c r="B105" t="s">
        <v>3</v>
      </c>
      <c r="C105" t="s">
        <v>75</v>
      </c>
      <c r="D105" t="s">
        <v>86</v>
      </c>
      <c r="E105">
        <f>VLOOKUP(TablaObra[[#This Row],[Equipo]],Catalogos!$I$4:$J$46,2,FALSE)</f>
      </c>
      <c r="F105" s="3">
        <v>50</v>
      </c>
      <c r="G105" s="4">
        <v>28.3</v>
      </c>
      <c r="H105" s="4">
        <f t="shared" si="1"/>
      </c>
    </row>
    <row r="106" spans="1:8">
      <c r="A106" s="2">
        <v>46192</v>
      </c>
      <c r="B106" t="s">
        <v>4</v>
      </c>
      <c r="C106" t="s">
        <v>130</v>
      </c>
      <c r="E106">
        <f>VLOOKUP(TablaObra[[#This Row],[Equipo]],Catalogos!$I$4:$J$46,2,FALSE)</f>
      </c>
      <c r="F106" s="3">
        <v>40</v>
      </c>
      <c r="G106" s="4">
        <v>28.3</v>
      </c>
      <c r="H106" s="4">
        <f t="shared" si="1"/>
      </c>
    </row>
    <row r="107" spans="1:8">
      <c r="A107" s="2">
        <v>46192</v>
      </c>
      <c r="B107" t="s">
        <v>255</v>
      </c>
      <c r="C107" t="s">
        <v>130</v>
      </c>
      <c r="E107">
        <f>VLOOKUP(TablaObra[[#This Row],[Equipo]],Catalogos!$I$4:$J$46,2,FALSE)</f>
      </c>
      <c r="F107" s="3">
        <v>40</v>
      </c>
      <c r="G107" s="4">
        <v>28.3</v>
      </c>
      <c r="H107" s="4">
        <f t="shared" si="1"/>
      </c>
    </row>
    <row r="108" spans="1:8">
      <c r="A108" s="2">
        <v>46192</v>
      </c>
      <c r="B108" t="s">
        <v>4</v>
      </c>
      <c r="C108" t="s">
        <v>130</v>
      </c>
      <c r="D108" t="s">
        <v>139</v>
      </c>
      <c r="E108">
        <f>VLOOKUP(TablaObra[[#This Row],[Equipo]],Catalogos!$I$4:$J$46,2,FALSE)</f>
      </c>
      <c r="F108" s="3">
        <v>43</v>
      </c>
      <c r="G108" s="4">
        <v>28.3</v>
      </c>
      <c r="H108" s="4">
        <f t="shared" si="1"/>
      </c>
    </row>
    <row r="109" spans="1:8">
      <c r="A109" s="2">
        <v>46192</v>
      </c>
      <c r="B109" t="s">
        <v>4</v>
      </c>
      <c r="C109" t="s">
        <v>130</v>
      </c>
      <c r="D109" t="s">
        <v>158</v>
      </c>
      <c r="E109">
        <f>VLOOKUP(TablaObra[[#This Row],[Equipo]],Catalogos!$I$4:$J$46,2,FALSE)</f>
      </c>
      <c r="F109" s="3">
        <v>50</v>
      </c>
      <c r="G109" s="4">
        <v>28.3</v>
      </c>
      <c r="H109" s="4">
        <f t="shared" si="1"/>
      </c>
    </row>
    <row r="110" spans="1:8">
      <c r="A110" s="2">
        <v>46192</v>
      </c>
      <c r="B110" t="s">
        <v>4</v>
      </c>
      <c r="C110" t="s">
        <v>130</v>
      </c>
      <c r="D110" t="s">
        <v>81</v>
      </c>
      <c r="E110">
        <f>VLOOKUP(TablaObra[[#This Row],[Equipo]],Catalogos!$I$4:$J$46,2,FALSE)</f>
      </c>
      <c r="F110" s="3">
        <v>80</v>
      </c>
      <c r="G110" s="4">
        <v>28.3</v>
      </c>
      <c r="H110" s="4">
        <f t="shared" si="1"/>
      </c>
    </row>
    <row r="111" spans="1:8">
      <c r="A111" s="2">
        <v>46192</v>
      </c>
      <c r="B111" t="s">
        <v>4</v>
      </c>
      <c r="C111" t="s">
        <v>130</v>
      </c>
      <c r="D111" t="s">
        <v>160</v>
      </c>
      <c r="E111">
        <f>VLOOKUP(TablaObra[[#This Row],[Equipo]],Catalogos!$I$4:$J$46,2,FALSE)</f>
      </c>
      <c r="F111" s="3">
        <v>30</v>
      </c>
      <c r="G111" s="4">
        <v>28.3</v>
      </c>
      <c r="H111" s="4">
        <f t="shared" si="1"/>
      </c>
    </row>
    <row r="112" spans="1:8">
      <c r="A112" s="2">
        <v>46192</v>
      </c>
      <c r="B112" t="s">
        <v>4</v>
      </c>
      <c r="C112" t="s">
        <v>130</v>
      </c>
      <c r="D112" t="s">
        <v>134</v>
      </c>
      <c r="E112">
        <f>VLOOKUP(TablaObra[[#This Row],[Equipo]],Catalogos!$I$4:$J$46,2,FALSE)</f>
      </c>
      <c r="F112" s="3">
        <v>160</v>
      </c>
      <c r="G112" s="4">
        <v>28.3</v>
      </c>
      <c r="H112" s="4">
        <f t="shared" si="1"/>
      </c>
    </row>
    <row r="113" spans="1:8">
      <c r="A113" s="2">
        <v>46192</v>
      </c>
      <c r="B113" t="s">
        <v>4</v>
      </c>
      <c r="C113" t="s">
        <v>130</v>
      </c>
      <c r="D113" t="s">
        <v>88</v>
      </c>
      <c r="E113">
        <f>VLOOKUP(TablaObra[[#This Row],[Equipo]],Catalogos!$I$4:$J$46,2,FALSE)</f>
      </c>
      <c r="F113" s="3">
        <v>50</v>
      </c>
      <c r="G113" s="4">
        <v>28.3</v>
      </c>
      <c r="H113" s="4">
        <f t="shared" si="1"/>
      </c>
    </row>
    <row r="114" spans="1:8">
      <c r="A114" s="2"/>
      <c r="E114">
        <f>VLOOKUP(TablaObra[[#This Row],[Equipo]],Catalogos!$I$4:$J$46,2,FALSE)</f>
      </c>
      <c r="F114" s="3"/>
      <c r="G114" s="4">
        <v>28.3</v>
      </c>
      <c r="H114" s="4">
        <f t="shared" si="1"/>
      </c>
    </row>
    <row r="115" spans="1:8">
      <c r="A115" s="2"/>
      <c r="E115">
        <f>VLOOKUP(TablaObra[[#This Row],[Equipo]],Catalogos!$I$4:$J$46,2,FALSE)</f>
      </c>
      <c r="F115" s="3"/>
      <c r="G115" s="4">
        <v>28.3</v>
      </c>
      <c r="H115" s="4">
        <f t="shared" si="1"/>
      </c>
    </row>
    <row r="116" spans="1:8">
      <c r="A116" s="2"/>
      <c r="E116">
        <f>VLOOKUP(TablaObra[[#This Row],[Equipo]],Catalogos!$I$4:$J$46,2,FALSE)</f>
      </c>
      <c r="F116" s="3"/>
      <c r="G116" s="4">
        <v>28.3</v>
      </c>
      <c r="H116" s="4">
        <f t="shared" si="1"/>
      </c>
    </row>
    <row r="117" spans="1:8">
      <c r="A117" s="2"/>
      <c r="E117">
        <f>VLOOKUP(TablaObra[[#This Row],[Equipo]],Catalogos!$I$4:$J$46,2,FALSE)</f>
      </c>
      <c r="F117" s="3"/>
      <c r="G117" s="4">
        <v>28.3</v>
      </c>
      <c r="H117" s="4">
        <f t="shared" si="1"/>
      </c>
    </row>
    <row r="118" spans="1:8">
      <c r="A118" s="2"/>
      <c r="E118">
        <f>VLOOKUP(TablaObra[[#This Row],[Equipo]],Catalogos!$I$4:$J$46,2,FALSE)</f>
      </c>
      <c r="F118" s="3"/>
      <c r="G118" s="4">
        <v>28.3</v>
      </c>
      <c r="H118" s="4">
        <f t="shared" si="1"/>
      </c>
    </row>
    <row r="119" spans="1:8">
      <c r="A119" s="2"/>
      <c r="E119">
        <f>VLOOKUP(TablaObra[[#This Row],[Equipo]],Catalogos!$I$4:$J$46,2,FALSE)</f>
      </c>
      <c r="F119" s="3"/>
      <c r="G119" s="4">
        <v>28.3</v>
      </c>
      <c r="H119" s="4">
        <f t="shared" si="1"/>
      </c>
    </row>
    <row r="120" spans="1:8">
      <c r="A120" s="2"/>
      <c r="E120">
        <f>VLOOKUP(TablaObra[[#This Row],[Equipo]],Catalogos!$I$4:$J$46,2,FALSE)</f>
      </c>
      <c r="F120" s="3"/>
      <c r="G120" s="4">
        <v>28.3</v>
      </c>
      <c r="H120" s="4">
        <f t="shared" si="1"/>
      </c>
    </row>
    <row r="121" spans="1:8">
      <c r="A121" s="2"/>
      <c r="E121">
        <f>VLOOKUP(TablaObra[[#This Row],[Equipo]],Catalogos!$I$4:$J$46,2,FALSE)</f>
      </c>
      <c r="F121" s="3"/>
      <c r="G121" s="4">
        <v>28.3</v>
      </c>
      <c r="H121" s="4">
        <f t="shared" si="1"/>
      </c>
    </row>
    <row r="122" spans="1:8">
      <c r="A122" s="2"/>
      <c r="E122">
        <f>VLOOKUP(TablaObra[[#This Row],[Equipo]],Catalogos!$I$4:$J$46,2,FALSE)</f>
      </c>
      <c r="F122" s="3"/>
      <c r="G122" s="4">
        <v>28.3</v>
      </c>
      <c r="H122" s="4">
        <f t="shared" si="1"/>
      </c>
    </row>
    <row r="123" spans="1:8">
      <c r="A123" s="2"/>
      <c r="E123">
        <f>VLOOKUP(TablaObra[[#This Row],[Equipo]],Catalogos!$I$4:$J$46,2,FALSE)</f>
      </c>
      <c r="F123" s="3"/>
      <c r="G123" s="4">
        <v>28.3</v>
      </c>
      <c r="H123" s="4">
        <f t="shared" si="1"/>
      </c>
    </row>
    <row r="124" spans="1:8">
      <c r="A124" s="2"/>
      <c r="E124">
        <f>VLOOKUP(TablaObra[[#This Row],[Equipo]],Catalogos!$I$4:$J$46,2,FALSE)</f>
      </c>
      <c r="F124" s="3"/>
      <c r="G124" s="4">
        <v>28.3</v>
      </c>
      <c r="H124" s="4">
        <f t="shared" si="1"/>
      </c>
    </row>
    <row r="125" spans="1:8">
      <c r="A125" s="2"/>
      <c r="E125">
        <f>VLOOKUP(TablaObra[[#This Row],[Equipo]],Catalogos!$I$4:$J$46,2,FALSE)</f>
      </c>
      <c r="F125" s="3"/>
      <c r="G125" s="4">
        <v>28.3</v>
      </c>
      <c r="H125" s="4">
        <f t="shared" si="1"/>
      </c>
    </row>
    <row r="126" spans="1:8">
      <c r="A126" s="2"/>
      <c r="E126">
        <f>VLOOKUP(TablaObra[[#This Row],[Equipo]],Catalogos!$I$4:$J$46,2,FALSE)</f>
      </c>
      <c r="F126" s="3"/>
      <c r="G126" s="4">
        <v>28.3</v>
      </c>
      <c r="H126" s="4">
        <f t="shared" si="1"/>
      </c>
    </row>
    <row r="127" spans="1:8">
      <c r="A127" s="2"/>
      <c r="E127">
        <f>VLOOKUP(TablaObra[[#This Row],[Equipo]],Catalogos!$I$4:$J$46,2,FALSE)</f>
      </c>
      <c r="F127" s="3"/>
      <c r="G127" s="4">
        <v>28.3</v>
      </c>
      <c r="H127" s="4">
        <f t="shared" si="1"/>
      </c>
    </row>
    <row r="128" spans="1:8">
      <c r="A128" s="2"/>
      <c r="E128">
        <f>VLOOKUP(TablaObra[[#This Row],[Equipo]],Catalogos!$I$4:$J$46,2,FALSE)</f>
      </c>
      <c r="F128" s="3"/>
      <c r="G128" s="4">
        <v>28.3</v>
      </c>
      <c r="H128" s="4">
        <f t="shared" si="1"/>
      </c>
    </row>
    <row r="129" spans="1:8">
      <c r="A129" s="2"/>
      <c r="E129">
        <f>VLOOKUP(TablaObra[[#This Row],[Equipo]],Catalogos!$I$4:$J$46,2,FALSE)</f>
      </c>
      <c r="F129" s="3"/>
      <c r="G129" s="4">
        <v>28.3</v>
      </c>
      <c r="H129" s="4">
        <f t="shared" si="1"/>
      </c>
    </row>
    <row r="130" spans="1:8">
      <c r="A130" s="2"/>
      <c r="E130">
        <f>VLOOKUP(TablaObra[[#This Row],[Equipo]],Catalogos!$I$4:$J$46,2,FALSE)</f>
      </c>
      <c r="F130" s="3"/>
      <c r="G130" s="4">
        <v>28.3</v>
      </c>
      <c r="H130" s="4">
        <f t="shared" si="1"/>
      </c>
    </row>
    <row r="131" spans="1:8">
      <c r="A131" s="2"/>
      <c r="E131">
        <f>VLOOKUP(TablaObra[[#This Row],[Equipo]],Catalogos!$I$4:$J$46,2,FALSE)</f>
      </c>
      <c r="F131" s="3"/>
      <c r="G131" s="4">
        <v>28.3</v>
      </c>
      <c r="H131" s="4">
        <f t="shared" si="1"/>
      </c>
    </row>
    <row r="132" spans="1:8">
      <c r="A132" s="2"/>
      <c r="E132">
        <f>VLOOKUP(TablaObra[[#This Row],[Equipo]],Catalogos!$I$4:$J$46,2,FALSE)</f>
      </c>
      <c r="F132" s="3"/>
      <c r="G132" s="4">
        <v>28.3</v>
      </c>
      <c r="H132" s="4">
        <f t="shared" si="1"/>
      </c>
    </row>
    <row r="133" spans="1:8">
      <c r="A133" s="2"/>
      <c r="E133">
        <f>VLOOKUP(TablaObra[[#This Row],[Equipo]],Catalogos!$I$4:$J$46,2,FALSE)</f>
      </c>
      <c r="F133" s="3"/>
      <c r="G133" s="4">
        <v>28.3</v>
      </c>
      <c r="H133" s="4">
        <f t="shared" ref="H133:H196" si="2">IFERROR(F133*G133,0)</f>
      </c>
    </row>
    <row r="134" spans="1:8">
      <c r="A134" s="2"/>
      <c r="E134">
        <f>VLOOKUP(TablaObra[[#This Row],[Equipo]],Catalogos!$I$4:$J$46,2,FALSE)</f>
      </c>
      <c r="F134" s="3"/>
      <c r="G134" s="4">
        <v>28.3</v>
      </c>
      <c r="H134" s="4">
        <f t="shared" si="2"/>
      </c>
    </row>
    <row r="135" spans="1:8">
      <c r="A135" s="2"/>
      <c r="E135">
        <f>VLOOKUP(TablaObra[[#This Row],[Equipo]],Catalogos!$I$4:$J$46,2,FALSE)</f>
      </c>
      <c r="F135" s="3"/>
      <c r="G135" s="4">
        <v>28.3</v>
      </c>
      <c r="H135" s="4">
        <f t="shared" si="2"/>
      </c>
    </row>
    <row r="136" spans="1:8">
      <c r="A136" s="2"/>
      <c r="E136">
        <f>VLOOKUP(TablaObra[[#This Row],[Equipo]],Catalogos!$I$4:$J$46,2,FALSE)</f>
      </c>
      <c r="F136" s="3"/>
      <c r="G136" s="4">
        <v>28.3</v>
      </c>
      <c r="H136" s="4">
        <f t="shared" si="2"/>
      </c>
    </row>
    <row r="137" spans="1:8">
      <c r="A137" s="2"/>
      <c r="E137">
        <f>VLOOKUP(TablaObra[[#This Row],[Equipo]],Catalogos!$I$4:$J$46,2,FALSE)</f>
      </c>
      <c r="F137" s="3"/>
      <c r="G137" s="4">
        <v>28.3</v>
      </c>
      <c r="H137" s="4">
        <f t="shared" si="2"/>
      </c>
    </row>
    <row r="138" spans="1:8">
      <c r="A138" s="2"/>
      <c r="E138">
        <f>VLOOKUP(TablaObra[[#This Row],[Equipo]],Catalogos!$I$4:$J$46,2,FALSE)</f>
      </c>
      <c r="F138" s="3"/>
      <c r="G138" s="4">
        <v>28.3</v>
      </c>
      <c r="H138" s="4">
        <f t="shared" si="2"/>
      </c>
    </row>
    <row r="139" spans="1:8">
      <c r="A139" s="2"/>
      <c r="E139">
        <f>VLOOKUP(TablaObra[[#This Row],[Equipo]],Catalogos!$I$4:$J$46,2,FALSE)</f>
      </c>
      <c r="F139" s="3"/>
      <c r="G139" s="4">
        <v>28.3</v>
      </c>
      <c r="H139" s="4">
        <f t="shared" si="2"/>
      </c>
    </row>
    <row r="140" spans="1:8">
      <c r="A140" s="2"/>
      <c r="E140">
        <f>VLOOKUP(TablaObra[[#This Row],[Equipo]],Catalogos!$I$4:$J$46,2,FALSE)</f>
      </c>
      <c r="F140" s="3"/>
      <c r="G140" s="4">
        <v>28.3</v>
      </c>
      <c r="H140" s="4">
        <f t="shared" si="2"/>
      </c>
    </row>
    <row r="141" spans="1:8">
      <c r="A141" s="2"/>
      <c r="E141">
        <f>VLOOKUP(TablaObra[[#This Row],[Equipo]],Catalogos!$I$4:$J$46,2,FALSE)</f>
      </c>
      <c r="F141" s="3"/>
      <c r="G141" s="4">
        <v>28.3</v>
      </c>
      <c r="H141" s="4">
        <f t="shared" si="2"/>
      </c>
    </row>
    <row r="142" spans="1:8">
      <c r="A142" s="2"/>
      <c r="E142">
        <f>VLOOKUP(TablaObra[[#This Row],[Equipo]],Catalogos!$I$4:$J$46,2,FALSE)</f>
      </c>
      <c r="F142" s="3"/>
      <c r="G142" s="4">
        <v>28.3</v>
      </c>
      <c r="H142" s="4">
        <f t="shared" si="2"/>
      </c>
    </row>
    <row r="143" spans="1:8">
      <c r="A143" s="2"/>
      <c r="E143">
        <f>VLOOKUP(TablaObra[[#This Row],[Equipo]],Catalogos!$I$4:$J$46,2,FALSE)</f>
      </c>
      <c r="F143" s="3"/>
      <c r="G143" s="4">
        <v>28.3</v>
      </c>
      <c r="H143" s="4">
        <f t="shared" si="2"/>
      </c>
    </row>
    <row r="144" spans="1:8">
      <c r="A144" s="2"/>
      <c r="E144">
        <f>VLOOKUP(TablaObra[[#This Row],[Equipo]],Catalogos!$I$4:$J$46,2,FALSE)</f>
      </c>
      <c r="F144" s="3"/>
      <c r="G144" s="4">
        <v>28.3</v>
      </c>
      <c r="H144" s="4">
        <f t="shared" si="2"/>
      </c>
    </row>
    <row r="145" spans="1:8">
      <c r="A145" s="2"/>
      <c r="E145">
        <f>VLOOKUP(TablaObra[[#This Row],[Equipo]],Catalogos!$I$4:$J$46,2,FALSE)</f>
      </c>
      <c r="F145" s="3"/>
      <c r="G145" s="4">
        <v>28.3</v>
      </c>
      <c r="H145" s="4">
        <f t="shared" si="2"/>
      </c>
    </row>
    <row r="146" spans="1:8">
      <c r="A146" s="2"/>
      <c r="E146">
        <f>VLOOKUP(TablaObra[[#This Row],[Equipo]],Catalogos!$I$4:$J$46,2,FALSE)</f>
      </c>
      <c r="F146" s="3"/>
      <c r="G146" s="4"/>
      <c r="H146" s="4">
        <f t="shared" si="2"/>
      </c>
    </row>
    <row r="147" spans="1:8">
      <c r="A147" s="2"/>
      <c r="E147">
        <f>VLOOKUP(TablaObra[[#This Row],[Equipo]],Catalogos!$I$4:$J$46,2,FALSE)</f>
      </c>
      <c r="F147" s="3"/>
      <c r="G147" s="4"/>
      <c r="H147" s="4">
        <f t="shared" si="2"/>
      </c>
    </row>
    <row r="148" spans="1:8">
      <c r="A148" s="2"/>
      <c r="E148">
        <f>VLOOKUP(TablaObra[[#This Row],[Equipo]],Catalogos!$I$4:$J$46,2,FALSE)</f>
      </c>
      <c r="F148" s="3"/>
      <c r="G148" s="4"/>
      <c r="H148" s="4">
        <f t="shared" si="2"/>
      </c>
    </row>
    <row r="149" spans="1:8">
      <c r="A149" s="2"/>
      <c r="E149">
        <f>VLOOKUP(TablaObra[[#This Row],[Equipo]],Catalogos!$I$4:$J$46,2,FALSE)</f>
      </c>
      <c r="F149" s="3"/>
      <c r="G149" s="4"/>
      <c r="H149" s="4">
        <f t="shared" si="2"/>
      </c>
    </row>
    <row r="150" spans="1:8">
      <c r="A150" s="2"/>
      <c r="E150">
        <f>VLOOKUP(TablaObra[[#This Row],[Equipo]],Catalogos!$I$4:$J$46,2,FALSE)</f>
      </c>
      <c r="F150" s="3"/>
      <c r="G150" s="4"/>
      <c r="H150" s="4">
        <f t="shared" si="2"/>
      </c>
    </row>
    <row r="151" spans="1:8">
      <c r="A151" s="2"/>
      <c r="E151">
        <f>VLOOKUP(TablaObra[[#This Row],[Equipo]],Catalogos!$I$4:$J$46,2,FALSE)</f>
      </c>
      <c r="F151" s="3"/>
      <c r="G151" s="4"/>
      <c r="H151" s="4">
        <f t="shared" si="2"/>
      </c>
    </row>
    <row r="152" spans="1:8">
      <c r="A152" s="2"/>
      <c r="E152">
        <f>VLOOKUP(TablaObra[[#This Row],[Equipo]],Catalogos!$I$4:$J$46,2,FALSE)</f>
      </c>
      <c r="F152" s="3"/>
      <c r="G152" s="4"/>
      <c r="H152" s="4">
        <f t="shared" si="2"/>
      </c>
    </row>
    <row r="153" spans="1:8">
      <c r="A153" s="2"/>
      <c r="E153">
        <f>VLOOKUP(TablaObra[[#This Row],[Equipo]],Catalogos!$I$4:$J$46,2,FALSE)</f>
      </c>
      <c r="F153" s="3"/>
      <c r="G153" s="4"/>
      <c r="H153" s="4">
        <f t="shared" si="2"/>
      </c>
    </row>
    <row r="154" spans="1:8">
      <c r="A154" s="2"/>
      <c r="E154">
        <f>VLOOKUP(TablaObra[[#This Row],[Equipo]],Catalogos!$I$4:$J$46,2,FALSE)</f>
      </c>
      <c r="F154" s="3"/>
      <c r="G154" s="4"/>
      <c r="H154" s="4">
        <f t="shared" si="2"/>
      </c>
    </row>
    <row r="155" spans="1:8">
      <c r="A155" s="2"/>
      <c r="E155">
        <f>VLOOKUP(TablaObra[[#This Row],[Equipo]],Catalogos!$I$4:$J$46,2,FALSE)</f>
      </c>
      <c r="F155" s="3"/>
      <c r="G155" s="4"/>
      <c r="H155" s="4">
        <f t="shared" si="2"/>
      </c>
    </row>
    <row r="156" spans="1:8">
      <c r="A156" s="2"/>
      <c r="E156">
        <f>VLOOKUP(TablaObra[[#This Row],[Equipo]],Catalogos!$I$4:$J$46,2,FALSE)</f>
      </c>
      <c r="F156" s="3"/>
      <c r="G156" s="4"/>
      <c r="H156" s="4">
        <f t="shared" si="2"/>
      </c>
    </row>
    <row r="157" spans="1:8">
      <c r="A157" s="2"/>
      <c r="E157">
        <f>VLOOKUP(TablaObra[[#This Row],[Equipo]],Catalogos!$I$4:$J$46,2,FALSE)</f>
      </c>
      <c r="F157" s="3"/>
      <c r="G157" s="4"/>
      <c r="H157" s="4">
        <f t="shared" si="2"/>
      </c>
    </row>
    <row r="158" spans="1:8">
      <c r="A158" s="2"/>
      <c r="E158">
        <f>VLOOKUP(TablaObra[[#This Row],[Equipo]],Catalogos!$I$4:$J$46,2,FALSE)</f>
      </c>
      <c r="F158" s="3"/>
      <c r="G158" s="4"/>
      <c r="H158" s="4">
        <f t="shared" si="2"/>
      </c>
    </row>
    <row r="159" spans="1:8">
      <c r="A159" s="2"/>
      <c r="E159">
        <f>VLOOKUP(TablaObra[[#This Row],[Equipo]],Catalogos!$I$4:$J$46,2,FALSE)</f>
      </c>
      <c r="F159" s="3"/>
      <c r="G159" s="4"/>
      <c r="H159" s="4">
        <f t="shared" si="2"/>
      </c>
    </row>
    <row r="160" spans="1:8">
      <c r="A160" s="2"/>
      <c r="E160">
        <f>VLOOKUP(TablaObra[[#This Row],[Equipo]],Catalogos!$I$4:$J$46,2,FALSE)</f>
      </c>
      <c r="F160" s="3"/>
      <c r="G160" s="4"/>
      <c r="H160" s="4">
        <f t="shared" si="2"/>
      </c>
    </row>
    <row r="161" spans="1:8">
      <c r="A161" s="2"/>
      <c r="E161">
        <f>VLOOKUP(TablaObra[[#This Row],[Equipo]],Catalogos!$I$4:$J$46,2,FALSE)</f>
      </c>
      <c r="F161" s="3"/>
      <c r="G161" s="4"/>
      <c r="H161" s="4">
        <f t="shared" si="2"/>
      </c>
    </row>
    <row r="162" spans="1:8">
      <c r="A162" s="2"/>
      <c r="E162">
        <f>VLOOKUP(TablaObra[[#This Row],[Equipo]],Catalogos!$I$4:$J$46,2,FALSE)</f>
      </c>
      <c r="F162" s="3"/>
      <c r="G162" s="4"/>
      <c r="H162" s="4">
        <f t="shared" si="2"/>
      </c>
    </row>
    <row r="163" spans="1:8">
      <c r="A163" s="2"/>
      <c r="E163">
        <f>VLOOKUP(TablaObra[[#This Row],[Equipo]],Catalogos!$I$4:$J$46,2,FALSE)</f>
      </c>
      <c r="F163" s="3"/>
      <c r="G163" s="4"/>
      <c r="H163" s="4">
        <f t="shared" si="2"/>
      </c>
    </row>
    <row r="164" spans="1:8">
      <c r="A164" s="2"/>
      <c r="E164">
        <f>VLOOKUP(TablaObra[[#This Row],[Equipo]],Catalogos!$I$4:$J$46,2,FALSE)</f>
      </c>
      <c r="F164" s="3"/>
      <c r="G164" s="4"/>
      <c r="H164" s="4">
        <f t="shared" si="2"/>
      </c>
    </row>
    <row r="165" spans="1:8">
      <c r="A165" s="2"/>
      <c r="E165">
        <f>VLOOKUP(TablaObra[[#This Row],[Equipo]],Catalogos!$I$4:$J$46,2,FALSE)</f>
      </c>
      <c r="F165" s="3"/>
      <c r="G165" s="4"/>
      <c r="H165" s="4">
        <f t="shared" si="2"/>
      </c>
    </row>
    <row r="166" spans="1:8">
      <c r="A166" s="2"/>
      <c r="E166">
        <f>VLOOKUP(TablaObra[[#This Row],[Equipo]],Catalogos!$I$4:$J$46,2,FALSE)</f>
      </c>
      <c r="F166" s="3"/>
      <c r="G166" s="4"/>
      <c r="H166" s="4">
        <f t="shared" si="2"/>
      </c>
    </row>
    <row r="167" spans="1:8">
      <c r="A167" s="2"/>
      <c r="E167">
        <f>VLOOKUP(TablaObra[[#This Row],[Equipo]],Catalogos!$I$4:$J$46,2,FALSE)</f>
      </c>
      <c r="F167" s="3"/>
      <c r="G167" s="4"/>
      <c r="H167" s="4">
        <f t="shared" si="2"/>
      </c>
    </row>
    <row r="168" spans="1:8">
      <c r="A168" s="2"/>
      <c r="E168">
        <f>VLOOKUP(TablaObra[[#This Row],[Equipo]],Catalogos!$I$4:$J$46,2,FALSE)</f>
      </c>
      <c r="F168" s="3"/>
      <c r="G168" s="4"/>
      <c r="H168" s="4">
        <f t="shared" si="2"/>
      </c>
    </row>
    <row r="169" spans="1:8">
      <c r="A169" s="2"/>
      <c r="E169">
        <f>VLOOKUP(TablaObra[[#This Row],[Equipo]],Catalogos!$I$4:$J$46,2,FALSE)</f>
      </c>
      <c r="F169" s="3"/>
      <c r="G169" s="4"/>
      <c r="H169" s="4">
        <f t="shared" si="2"/>
      </c>
    </row>
    <row r="170" spans="1:8">
      <c r="A170" s="2"/>
      <c r="E170">
        <f>VLOOKUP(TablaObra[[#This Row],[Equipo]],Catalogos!$I$4:$J$46,2,FALSE)</f>
      </c>
      <c r="F170" s="3"/>
      <c r="G170" s="4"/>
      <c r="H170" s="4">
        <f t="shared" si="2"/>
      </c>
    </row>
    <row r="171" spans="1:8">
      <c r="A171" s="2"/>
      <c r="E171">
        <f>VLOOKUP(TablaObra[[#This Row],[Equipo]],Catalogos!$I$4:$J$46,2,FALSE)</f>
      </c>
      <c r="F171" s="3"/>
      <c r="G171" s="4"/>
      <c r="H171" s="4">
        <f t="shared" si="2"/>
      </c>
    </row>
    <row r="172" spans="1:8">
      <c r="A172" s="2"/>
      <c r="E172">
        <f>VLOOKUP(TablaObra[[#This Row],[Equipo]],Catalogos!$I$4:$J$46,2,FALSE)</f>
      </c>
      <c r="F172" s="3"/>
      <c r="G172" s="4"/>
      <c r="H172" s="4">
        <f t="shared" si="2"/>
      </c>
    </row>
    <row r="173" spans="1:8">
      <c r="A173" s="2"/>
      <c r="E173">
        <f>VLOOKUP(TablaObra[[#This Row],[Equipo]],Catalogos!$I$4:$J$46,2,FALSE)</f>
      </c>
      <c r="F173" s="3"/>
      <c r="G173" s="4"/>
      <c r="H173" s="4">
        <f t="shared" si="2"/>
      </c>
    </row>
    <row r="174" spans="1:8">
      <c r="A174" s="2"/>
      <c r="E174">
        <f>VLOOKUP(TablaObra[[#This Row],[Equipo]],Catalogos!$I$4:$J$46,2,FALSE)</f>
      </c>
      <c r="F174" s="3"/>
      <c r="G174" s="4"/>
      <c r="H174" s="4">
        <f t="shared" si="2"/>
      </c>
    </row>
    <row r="175" spans="1:8">
      <c r="A175" s="2"/>
      <c r="E175">
        <f>VLOOKUP(TablaObra[[#This Row],[Equipo]],Catalogos!$I$4:$J$46,2,FALSE)</f>
      </c>
      <c r="F175" s="3"/>
      <c r="G175" s="4"/>
      <c r="H175" s="4">
        <f t="shared" si="2"/>
      </c>
    </row>
    <row r="176" spans="1:8">
      <c r="A176" s="2"/>
      <c r="E176">
        <f>VLOOKUP(TablaObra[[#This Row],[Equipo]],Catalogos!$I$4:$J$46,2,FALSE)</f>
      </c>
      <c r="F176" s="3"/>
      <c r="G176" s="4"/>
      <c r="H176" s="4">
        <f t="shared" si="2"/>
      </c>
    </row>
    <row r="177" spans="1:8">
      <c r="A177" s="2"/>
      <c r="E177">
        <f>VLOOKUP(TablaObra[[#This Row],[Equipo]],Catalogos!$I$4:$J$46,2,FALSE)</f>
      </c>
      <c r="F177" s="3"/>
      <c r="G177" s="4"/>
      <c r="H177" s="4">
        <f t="shared" si="2"/>
      </c>
    </row>
    <row r="178" spans="1:8">
      <c r="A178" s="2"/>
      <c r="E178">
        <f>VLOOKUP(TablaObra[[#This Row],[Equipo]],Catalogos!$I$4:$J$46,2,FALSE)</f>
      </c>
      <c r="F178" s="3"/>
      <c r="G178" s="4"/>
      <c r="H178" s="4">
        <f t="shared" si="2"/>
      </c>
    </row>
    <row r="179" spans="1:8">
      <c r="A179" s="2"/>
      <c r="E179">
        <f>VLOOKUP(TablaObra[[#This Row],[Equipo]],Catalogos!$I$4:$J$46,2,FALSE)</f>
      </c>
      <c r="F179" s="3"/>
      <c r="G179" s="4"/>
      <c r="H179" s="4">
        <f t="shared" si="2"/>
      </c>
    </row>
    <row r="180" spans="1:8">
      <c r="A180" s="2"/>
      <c r="E180">
        <f>VLOOKUP(TablaObra[[#This Row],[Equipo]],Catalogos!$I$4:$J$46,2,FALSE)</f>
      </c>
      <c r="F180" s="3"/>
      <c r="G180" s="4"/>
      <c r="H180" s="4">
        <f t="shared" si="2"/>
      </c>
    </row>
    <row r="181" spans="1:8">
      <c r="A181" s="2"/>
      <c r="E181">
        <f>VLOOKUP(TablaObra[[#This Row],[Equipo]],Catalogos!$I$4:$J$46,2,FALSE)</f>
      </c>
      <c r="F181" s="3"/>
      <c r="G181" s="4"/>
      <c r="H181" s="4">
        <f t="shared" si="2"/>
      </c>
    </row>
    <row r="182" spans="1:8">
      <c r="A182" s="2"/>
      <c r="E182">
        <f>VLOOKUP(TablaObra[[#This Row],[Equipo]],Catalogos!$I$4:$J$46,2,FALSE)</f>
      </c>
      <c r="F182" s="3"/>
      <c r="G182" s="4"/>
      <c r="H182" s="4">
        <f t="shared" si="2"/>
      </c>
    </row>
    <row r="183" spans="1:8">
      <c r="A183" s="2"/>
      <c r="E183">
        <f>VLOOKUP(TablaObra[[#This Row],[Equipo]],Catalogos!$I$4:$J$46,2,FALSE)</f>
      </c>
      <c r="F183" s="3"/>
      <c r="G183" s="4"/>
      <c r="H183" s="4">
        <f t="shared" si="2"/>
      </c>
    </row>
    <row r="184" spans="1:8">
      <c r="A184" s="2"/>
      <c r="E184">
        <f>VLOOKUP(TablaObra[[#This Row],[Equipo]],Catalogos!$I$4:$J$46,2,FALSE)</f>
      </c>
      <c r="F184" s="3"/>
      <c r="G184" s="4"/>
      <c r="H184" s="4">
        <f t="shared" si="2"/>
      </c>
    </row>
    <row r="185" spans="1:8">
      <c r="A185" s="2"/>
      <c r="E185">
        <f>VLOOKUP(TablaObra[[#This Row],[Equipo]],Catalogos!$I$4:$J$46,2,FALSE)</f>
      </c>
      <c r="F185" s="3"/>
      <c r="G185" s="4"/>
      <c r="H185" s="4">
        <f t="shared" si="2"/>
      </c>
    </row>
    <row r="186" spans="1:8">
      <c r="A186" s="2"/>
      <c r="E186">
        <f>VLOOKUP(TablaObra[[#This Row],[Equipo]],Catalogos!$I$4:$J$46,2,FALSE)</f>
      </c>
      <c r="F186" s="3"/>
      <c r="G186" s="4"/>
      <c r="H186" s="4">
        <f t="shared" si="2"/>
      </c>
    </row>
    <row r="187" spans="1:8">
      <c r="A187" s="2"/>
      <c r="E187">
        <f>VLOOKUP(TablaObra[[#This Row],[Equipo]],Catalogos!$I$4:$J$46,2,FALSE)</f>
      </c>
      <c r="F187" s="3"/>
      <c r="G187" s="4"/>
      <c r="H187" s="4">
        <f t="shared" si="2"/>
      </c>
    </row>
    <row r="188" spans="1:8">
      <c r="A188" s="2"/>
      <c r="E188">
        <f>VLOOKUP(TablaObra[[#This Row],[Equipo]],Catalogos!$I$4:$J$46,2,FALSE)</f>
      </c>
      <c r="F188" s="3"/>
      <c r="G188" s="4"/>
      <c r="H188" s="4">
        <f t="shared" si="2"/>
      </c>
    </row>
    <row r="189" spans="1:8">
      <c r="A189" s="2"/>
      <c r="E189">
        <f>VLOOKUP(TablaObra[[#This Row],[Equipo]],Catalogos!$I$4:$J$46,2,FALSE)</f>
      </c>
      <c r="F189" s="3"/>
      <c r="G189" s="4"/>
      <c r="H189" s="4">
        <f t="shared" si="2"/>
      </c>
    </row>
    <row r="190" spans="1:8">
      <c r="A190" s="2"/>
      <c r="E190">
        <f>VLOOKUP(TablaObra[[#This Row],[Equipo]],Catalogos!$I$4:$J$46,2,FALSE)</f>
      </c>
      <c r="F190" s="3"/>
      <c r="G190" s="4"/>
      <c r="H190" s="4">
        <f t="shared" si="2"/>
      </c>
    </row>
    <row r="191" spans="1:8">
      <c r="A191" s="2"/>
      <c r="E191">
        <f>VLOOKUP(TablaObra[[#This Row],[Equipo]],Catalogos!$I$4:$J$46,2,FALSE)</f>
      </c>
      <c r="F191" s="3"/>
      <c r="G191" s="4"/>
      <c r="H191" s="4">
        <f t="shared" si="2"/>
      </c>
    </row>
    <row r="192" spans="1:8">
      <c r="A192" s="2"/>
      <c r="E192">
        <f>VLOOKUP(TablaObra[[#This Row],[Equipo]],Catalogos!$I$4:$J$46,2,FALSE)</f>
      </c>
      <c r="F192" s="3"/>
      <c r="G192" s="4"/>
      <c r="H192" s="4">
        <f t="shared" si="2"/>
      </c>
    </row>
    <row r="193" spans="1:8">
      <c r="A193" s="2"/>
      <c r="E193">
        <f>VLOOKUP(TablaObra[[#This Row],[Equipo]],Catalogos!$I$4:$J$46,2,FALSE)</f>
      </c>
      <c r="F193" s="3"/>
      <c r="G193" s="4"/>
      <c r="H193" s="4">
        <f t="shared" si="2"/>
      </c>
    </row>
    <row r="194" spans="1:8">
      <c r="A194" s="2"/>
      <c r="E194">
        <f>VLOOKUP(TablaObra[[#This Row],[Equipo]],Catalogos!$I$4:$J$46,2,FALSE)</f>
      </c>
      <c r="F194" s="3"/>
      <c r="G194" s="4"/>
      <c r="H194" s="4">
        <f t="shared" si="2"/>
      </c>
    </row>
    <row r="195" spans="1:8">
      <c r="A195" s="2"/>
      <c r="E195">
        <f>VLOOKUP(TablaObra[[#This Row],[Equipo]],Catalogos!$I$4:$J$46,2,FALSE)</f>
      </c>
      <c r="F195" s="3"/>
      <c r="G195" s="4"/>
      <c r="H195" s="4">
        <f t="shared" si="2"/>
      </c>
    </row>
    <row r="196" spans="1:8">
      <c r="A196" s="2"/>
      <c r="E196">
        <f>VLOOKUP(TablaObra[[#This Row],[Equipo]],Catalogos!$I$4:$J$46,2,FALSE)</f>
      </c>
      <c r="F196" s="3"/>
      <c r="G196" s="4"/>
      <c r="H196" s="4">
        <f t="shared" si="2"/>
      </c>
    </row>
    <row r="197" spans="1:8">
      <c r="A197" s="2"/>
      <c r="E197">
        <f>VLOOKUP(TablaObra[[#This Row],[Equipo]],Catalogos!$I$4:$J$46,2,FALSE)</f>
      </c>
      <c r="F197" s="3"/>
      <c r="G197" s="4"/>
      <c r="H197" s="4">
        <f t="shared" ref="H197:H260" si="3">IFERROR(F197*G197,0)</f>
      </c>
    </row>
    <row r="198" spans="1:8">
      <c r="A198" s="2"/>
      <c r="E198">
        <f>VLOOKUP(TablaObra[[#This Row],[Equipo]],Catalogos!$I$4:$J$46,2,FALSE)</f>
      </c>
      <c r="F198" s="3"/>
      <c r="G198" s="4"/>
      <c r="H198" s="4">
        <f t="shared" si="3"/>
      </c>
    </row>
    <row r="199" spans="1:8">
      <c r="A199" s="2"/>
      <c r="E199">
        <f>VLOOKUP(TablaObra[[#This Row],[Equipo]],Catalogos!$I$4:$J$46,2,FALSE)</f>
      </c>
      <c r="F199" s="3"/>
      <c r="G199" s="4"/>
      <c r="H199" s="4">
        <f t="shared" si="3"/>
      </c>
    </row>
    <row r="200" spans="1:8">
      <c r="A200" s="2"/>
      <c r="E200">
        <f>VLOOKUP(TablaObra[[#This Row],[Equipo]],Catalogos!$I$4:$J$46,2,FALSE)</f>
      </c>
      <c r="F200" s="3"/>
      <c r="G200" s="4"/>
      <c r="H200" s="4">
        <f t="shared" si="3"/>
      </c>
    </row>
    <row r="201" spans="1:8">
      <c r="A201" s="2"/>
      <c r="E201">
        <f>VLOOKUP(TablaObra[[#This Row],[Equipo]],Catalogos!$I$4:$J$46,2,FALSE)</f>
      </c>
      <c r="F201" s="3"/>
      <c r="G201" s="4"/>
      <c r="H201" s="4">
        <f t="shared" si="3"/>
      </c>
    </row>
    <row r="202" spans="1:8">
      <c r="A202" s="2"/>
      <c r="E202">
        <f>VLOOKUP(TablaObra[[#This Row],[Equipo]],Catalogos!$I$4:$J$46,2,FALSE)</f>
      </c>
      <c r="F202" s="3"/>
      <c r="G202" s="4"/>
      <c r="H202" s="4">
        <f t="shared" si="3"/>
      </c>
    </row>
    <row r="203" spans="1:8">
      <c r="A203" s="2"/>
      <c r="E203">
        <f>VLOOKUP(TablaObra[[#This Row],[Equipo]],Catalogos!$I$4:$J$46,2,FALSE)</f>
      </c>
      <c r="F203" s="3"/>
      <c r="G203" s="4"/>
      <c r="H203" s="4">
        <f t="shared" si="3"/>
      </c>
    </row>
    <row r="204" spans="1:8">
      <c r="A204" s="2"/>
      <c r="E204">
        <f>VLOOKUP(TablaObra[[#This Row],[Equipo]],Catalogos!$I$4:$J$46,2,FALSE)</f>
      </c>
      <c r="F204" s="3"/>
      <c r="G204" s="4"/>
      <c r="H204" s="4">
        <f t="shared" si="3"/>
      </c>
    </row>
    <row r="205" spans="1:8">
      <c r="A205" s="2"/>
      <c r="E205">
        <f>VLOOKUP(TablaObra[[#This Row],[Equipo]],Catalogos!$I$4:$J$46,2,FALSE)</f>
      </c>
      <c r="F205" s="3"/>
      <c r="G205" s="4"/>
      <c r="H205" s="4">
        <f t="shared" si="3"/>
      </c>
    </row>
    <row r="206" spans="1:8">
      <c r="A206" s="2"/>
      <c r="E206">
        <f>VLOOKUP(TablaObra[[#This Row],[Equipo]],Catalogos!$I$4:$J$46,2,FALSE)</f>
      </c>
      <c r="F206" s="3"/>
      <c r="G206" s="4"/>
      <c r="H206" s="4">
        <f t="shared" si="3"/>
      </c>
    </row>
    <row r="207" spans="1:8">
      <c r="A207" s="2"/>
      <c r="E207">
        <f>VLOOKUP(TablaObra[[#This Row],[Equipo]],Catalogos!$I$4:$J$46,2,FALSE)</f>
      </c>
      <c r="F207" s="3"/>
      <c r="G207" s="4"/>
      <c r="H207" s="4">
        <f t="shared" si="3"/>
      </c>
    </row>
    <row r="208" spans="1:8">
      <c r="A208" s="2"/>
      <c r="E208">
        <f>VLOOKUP(TablaObra[[#This Row],[Equipo]],Catalogos!$I$4:$J$46,2,FALSE)</f>
      </c>
      <c r="F208" s="3"/>
      <c r="G208" s="4"/>
      <c r="H208" s="4">
        <f t="shared" si="3"/>
      </c>
    </row>
    <row r="209" spans="1:8">
      <c r="A209" s="2"/>
      <c r="E209">
        <f>VLOOKUP(TablaObra[[#This Row],[Equipo]],Catalogos!$I$4:$J$46,2,FALSE)</f>
      </c>
      <c r="F209" s="3"/>
      <c r="G209" s="4"/>
      <c r="H209" s="4">
        <f t="shared" si="3"/>
      </c>
    </row>
    <row r="210" spans="1:8">
      <c r="A210" s="2"/>
      <c r="E210">
        <f>VLOOKUP(TablaObra[[#This Row],[Equipo]],Catalogos!$I$4:$J$46,2,FALSE)</f>
      </c>
      <c r="F210" s="3"/>
      <c r="G210" s="4"/>
      <c r="H210" s="4">
        <f t="shared" si="3"/>
      </c>
    </row>
    <row r="211" spans="1:8">
      <c r="A211" s="2"/>
      <c r="E211">
        <f>VLOOKUP(TablaObra[[#This Row],[Equipo]],Catalogos!$I$4:$J$46,2,FALSE)</f>
      </c>
      <c r="F211" s="3"/>
      <c r="G211" s="4"/>
      <c r="H211" s="4">
        <f t="shared" si="3"/>
      </c>
    </row>
    <row r="212" spans="1:8">
      <c r="A212" s="2"/>
      <c r="E212">
        <f>VLOOKUP(TablaObra[[#This Row],[Equipo]],Catalogos!$I$4:$J$46,2,FALSE)</f>
      </c>
      <c r="F212" s="3"/>
      <c r="G212" s="4"/>
      <c r="H212" s="4">
        <f t="shared" si="3"/>
      </c>
    </row>
    <row r="213" spans="1:8">
      <c r="A213" s="2"/>
      <c r="E213">
        <f>VLOOKUP(TablaObra[[#This Row],[Equipo]],Catalogos!$I$4:$J$46,2,FALSE)</f>
      </c>
      <c r="F213" s="3"/>
      <c r="G213" s="4"/>
      <c r="H213" s="4">
        <f t="shared" si="3"/>
      </c>
    </row>
    <row r="214" spans="1:8">
      <c r="A214" s="2"/>
      <c r="E214">
        <f>VLOOKUP(TablaObra[[#This Row],[Equipo]],Catalogos!$I$4:$J$46,2,FALSE)</f>
      </c>
      <c r="F214" s="3"/>
      <c r="G214" s="4"/>
      <c r="H214" s="4">
        <f t="shared" si="3"/>
      </c>
    </row>
    <row r="215" spans="1:8">
      <c r="A215" s="2"/>
      <c r="E215">
        <f>VLOOKUP(TablaObra[[#This Row],[Equipo]],Catalogos!$I$4:$J$46,2,FALSE)</f>
      </c>
      <c r="F215" s="3"/>
      <c r="G215" s="4"/>
      <c r="H215" s="4">
        <f t="shared" si="3"/>
      </c>
    </row>
    <row r="216" spans="1:8">
      <c r="A216" s="2"/>
      <c r="E216">
        <f>VLOOKUP(TablaObra[[#This Row],[Equipo]],Catalogos!$I$4:$J$46,2,FALSE)</f>
      </c>
      <c r="F216" s="3"/>
      <c r="G216" s="4"/>
      <c r="H216" s="4">
        <f t="shared" si="3"/>
      </c>
    </row>
    <row r="217" spans="1:8">
      <c r="A217" s="2"/>
      <c r="E217">
        <f>VLOOKUP(TablaObra[[#This Row],[Equipo]],Catalogos!$I$4:$J$46,2,FALSE)</f>
      </c>
      <c r="F217" s="3"/>
      <c r="G217" s="4"/>
      <c r="H217" s="4">
        <f t="shared" si="3"/>
      </c>
    </row>
    <row r="218" spans="1:8">
      <c r="A218" s="2"/>
      <c r="E218">
        <f>VLOOKUP(TablaObra[[#This Row],[Equipo]],Catalogos!$I$4:$J$46,2,FALSE)</f>
      </c>
      <c r="F218" s="3"/>
      <c r="G218" s="4"/>
      <c r="H218" s="4">
        <f t="shared" si="3"/>
      </c>
    </row>
    <row r="219" spans="1:8">
      <c r="A219" s="2"/>
      <c r="E219">
        <f>VLOOKUP(TablaObra[[#This Row],[Equipo]],Catalogos!$I$4:$J$46,2,FALSE)</f>
      </c>
      <c r="F219" s="3"/>
      <c r="G219" s="4"/>
      <c r="H219" s="4">
        <f t="shared" si="3"/>
      </c>
    </row>
    <row r="220" spans="1:8">
      <c r="A220" s="2"/>
      <c r="E220">
        <f>VLOOKUP(TablaObra[[#This Row],[Equipo]],Catalogos!$I$4:$J$46,2,FALSE)</f>
      </c>
      <c r="F220" s="3"/>
      <c r="G220" s="4"/>
      <c r="H220" s="4">
        <f t="shared" si="3"/>
      </c>
    </row>
    <row r="221" spans="1:8">
      <c r="A221" s="2"/>
      <c r="E221">
        <f>VLOOKUP(TablaObra[[#This Row],[Equipo]],Catalogos!$I$4:$J$46,2,FALSE)</f>
      </c>
      <c r="F221" s="3"/>
      <c r="G221" s="4"/>
      <c r="H221" s="4">
        <f t="shared" si="3"/>
      </c>
    </row>
    <row r="222" spans="1:8">
      <c r="A222" s="2"/>
      <c r="E222">
        <f>VLOOKUP(TablaObra[[#This Row],[Equipo]],Catalogos!$I$4:$J$46,2,FALSE)</f>
      </c>
      <c r="F222" s="3"/>
      <c r="G222" s="4"/>
      <c r="H222" s="4">
        <f t="shared" si="3"/>
      </c>
    </row>
    <row r="223" spans="1:8">
      <c r="A223" s="2"/>
      <c r="E223">
        <f>VLOOKUP(TablaObra[[#This Row],[Equipo]],Catalogos!$I$4:$J$46,2,FALSE)</f>
      </c>
      <c r="F223" s="3"/>
      <c r="G223" s="4"/>
      <c r="H223" s="4">
        <f t="shared" si="3"/>
      </c>
    </row>
    <row r="224" spans="1:8">
      <c r="A224" s="2"/>
      <c r="E224">
        <f>VLOOKUP(TablaObra[[#This Row],[Equipo]],Catalogos!$I$4:$J$46,2,FALSE)</f>
      </c>
      <c r="F224" s="3"/>
      <c r="G224" s="4"/>
      <c r="H224" s="4">
        <f t="shared" si="3"/>
      </c>
    </row>
    <row r="225" spans="1:8">
      <c r="A225" s="2"/>
      <c r="E225">
        <f>VLOOKUP(TablaObra[[#This Row],[Equipo]],Catalogos!$I$4:$J$46,2,FALSE)</f>
      </c>
      <c r="F225" s="3"/>
      <c r="G225" s="4"/>
      <c r="H225" s="4">
        <f t="shared" si="3"/>
      </c>
    </row>
    <row r="226" spans="1:8">
      <c r="A226" s="2"/>
      <c r="E226">
        <f>VLOOKUP(TablaObra[[#This Row],[Equipo]],Catalogos!$I$4:$J$46,2,FALSE)</f>
      </c>
      <c r="F226" s="3"/>
      <c r="G226" s="4"/>
      <c r="H226" s="4">
        <f t="shared" si="3"/>
      </c>
    </row>
    <row r="227" spans="1:8">
      <c r="A227" s="2"/>
      <c r="E227">
        <f>VLOOKUP(TablaObra[[#This Row],[Equipo]],Catalogos!$I$4:$J$46,2,FALSE)</f>
      </c>
      <c r="F227" s="3"/>
      <c r="G227" s="4"/>
      <c r="H227" s="4">
        <f t="shared" si="3"/>
      </c>
    </row>
    <row r="228" spans="1:8">
      <c r="A228" s="2"/>
      <c r="E228">
        <f>VLOOKUP(TablaObra[[#This Row],[Equipo]],Catalogos!$I$4:$J$46,2,FALSE)</f>
      </c>
      <c r="F228" s="3"/>
      <c r="G228" s="4"/>
      <c r="H228" s="4">
        <f t="shared" si="3"/>
      </c>
    </row>
    <row r="229" spans="1:8">
      <c r="A229" s="2"/>
      <c r="E229">
        <f>VLOOKUP(TablaObra[[#This Row],[Equipo]],Catalogos!$I$4:$J$46,2,FALSE)</f>
      </c>
      <c r="F229" s="3"/>
      <c r="G229" s="4"/>
      <c r="H229" s="4">
        <f t="shared" si="3"/>
      </c>
    </row>
    <row r="230" spans="1:8">
      <c r="A230" s="2"/>
      <c r="E230">
        <f>VLOOKUP(TablaObra[[#This Row],[Equipo]],Catalogos!$I$4:$J$46,2,FALSE)</f>
      </c>
      <c r="F230" s="3"/>
      <c r="G230" s="4"/>
      <c r="H230" s="4">
        <f t="shared" si="3"/>
      </c>
    </row>
    <row r="231" spans="1:8">
      <c r="A231" s="2"/>
      <c r="E231">
        <f>VLOOKUP(TablaObra[[#This Row],[Equipo]],Catalogos!$I$4:$J$46,2,FALSE)</f>
      </c>
      <c r="F231" s="3"/>
      <c r="G231" s="4"/>
      <c r="H231" s="4">
        <f t="shared" si="3"/>
      </c>
    </row>
    <row r="232" spans="1:8">
      <c r="A232" s="2"/>
      <c r="E232">
        <f>VLOOKUP(TablaObra[[#This Row],[Equipo]],Catalogos!$I$4:$J$46,2,FALSE)</f>
      </c>
      <c r="F232" s="3"/>
      <c r="G232" s="4"/>
      <c r="H232" s="4">
        <f t="shared" si="3"/>
      </c>
    </row>
    <row r="233" spans="1:8">
      <c r="A233" s="2"/>
      <c r="E233">
        <f>VLOOKUP(TablaObra[[#This Row],[Equipo]],Catalogos!$I$4:$J$46,2,FALSE)</f>
      </c>
      <c r="F233" s="3"/>
      <c r="G233" s="4"/>
      <c r="H233" s="4">
        <f t="shared" si="3"/>
      </c>
    </row>
    <row r="234" spans="1:8">
      <c r="A234" s="2"/>
      <c r="E234">
        <f>VLOOKUP(TablaObra[[#This Row],[Equipo]],Catalogos!$I$4:$J$46,2,FALSE)</f>
      </c>
      <c r="F234" s="3"/>
      <c r="G234" s="4"/>
      <c r="H234" s="4">
        <f t="shared" si="3"/>
      </c>
    </row>
    <row r="235" spans="1:8">
      <c r="A235" s="2"/>
      <c r="E235">
        <f>VLOOKUP(TablaObra[[#This Row],[Equipo]],Catalogos!$I$4:$J$46,2,FALSE)</f>
      </c>
      <c r="F235" s="3"/>
      <c r="G235" s="4"/>
      <c r="H235" s="4">
        <f t="shared" si="3"/>
      </c>
    </row>
    <row r="236" spans="1:8">
      <c r="A236" s="2"/>
      <c r="E236">
        <f>VLOOKUP(TablaObra[[#This Row],[Equipo]],Catalogos!$I$4:$J$46,2,FALSE)</f>
      </c>
      <c r="F236" s="3"/>
      <c r="G236" s="4"/>
      <c r="H236" s="4">
        <f t="shared" si="3"/>
      </c>
    </row>
    <row r="237" spans="1:8">
      <c r="A237" s="2"/>
      <c r="E237">
        <f>VLOOKUP(TablaObra[[#This Row],[Equipo]],Catalogos!$I$4:$J$46,2,FALSE)</f>
      </c>
      <c r="F237" s="3"/>
      <c r="G237" s="4"/>
      <c r="H237" s="4">
        <f t="shared" si="3"/>
      </c>
    </row>
    <row r="238" spans="1:8">
      <c r="A238" s="2"/>
      <c r="E238">
        <f>VLOOKUP(TablaObra[[#This Row],[Equipo]],Catalogos!$I$4:$J$46,2,FALSE)</f>
      </c>
      <c r="F238" s="3"/>
      <c r="G238" s="4"/>
      <c r="H238" s="4">
        <f t="shared" si="3"/>
      </c>
    </row>
    <row r="239" spans="1:8">
      <c r="A239" s="2"/>
      <c r="E239">
        <f>VLOOKUP(TablaObra[[#This Row],[Equipo]],Catalogos!$I$4:$J$46,2,FALSE)</f>
      </c>
      <c r="F239" s="3"/>
      <c r="G239" s="4"/>
      <c r="H239" s="4">
        <f t="shared" si="3"/>
      </c>
    </row>
    <row r="240" spans="1:8">
      <c r="A240" s="2"/>
      <c r="E240">
        <f>VLOOKUP(TablaObra[[#This Row],[Equipo]],Catalogos!$I$4:$J$46,2,FALSE)</f>
      </c>
      <c r="F240" s="3"/>
      <c r="G240" s="4"/>
      <c r="H240" s="4">
        <f t="shared" si="3"/>
      </c>
    </row>
    <row r="241" spans="1:8">
      <c r="A241" s="2"/>
      <c r="E241">
        <f>VLOOKUP(TablaObra[[#This Row],[Equipo]],Catalogos!$I$4:$J$46,2,FALSE)</f>
      </c>
      <c r="F241" s="3"/>
      <c r="G241" s="4"/>
      <c r="H241" s="4">
        <f t="shared" si="3"/>
      </c>
    </row>
    <row r="242" spans="1:8">
      <c r="A242" s="2"/>
      <c r="E242">
        <f>VLOOKUP(TablaObra[[#This Row],[Equipo]],Catalogos!$I$4:$J$46,2,FALSE)</f>
      </c>
      <c r="F242" s="3"/>
      <c r="G242" s="4"/>
      <c r="H242" s="4">
        <f t="shared" si="3"/>
      </c>
    </row>
    <row r="243" spans="1:8">
      <c r="A243" s="2"/>
      <c r="E243">
        <f>VLOOKUP(TablaObra[[#This Row],[Equipo]],Catalogos!$I$4:$J$46,2,FALSE)</f>
      </c>
      <c r="F243" s="3"/>
      <c r="G243" s="4"/>
      <c r="H243" s="4">
        <f t="shared" si="3"/>
      </c>
    </row>
    <row r="244" spans="1:8">
      <c r="A244" s="2"/>
      <c r="E244">
        <f>VLOOKUP(TablaObra[[#This Row],[Equipo]],Catalogos!$I$4:$J$46,2,FALSE)</f>
      </c>
      <c r="F244" s="3"/>
      <c r="G244" s="4"/>
      <c r="H244" s="4">
        <f t="shared" si="3"/>
      </c>
    </row>
    <row r="245" spans="1:8">
      <c r="A245" s="2"/>
      <c r="E245">
        <f>VLOOKUP(TablaObra[[#This Row],[Equipo]],Catalogos!$I$4:$J$46,2,FALSE)</f>
      </c>
      <c r="F245" s="3"/>
      <c r="G245" s="4"/>
      <c r="H245" s="4">
        <f t="shared" si="3"/>
      </c>
    </row>
    <row r="246" spans="1:8">
      <c r="A246" s="2"/>
      <c r="E246">
        <f>VLOOKUP(TablaObra[[#This Row],[Equipo]],Catalogos!$I$4:$J$46,2,FALSE)</f>
      </c>
      <c r="F246" s="3"/>
      <c r="G246" s="4"/>
      <c r="H246" s="4">
        <f t="shared" si="3"/>
      </c>
    </row>
    <row r="247" spans="1:8">
      <c r="A247" s="2"/>
      <c r="E247">
        <f>VLOOKUP(TablaObra[[#This Row],[Equipo]],Catalogos!$I$4:$J$46,2,FALSE)</f>
      </c>
      <c r="F247" s="3"/>
      <c r="G247" s="4"/>
      <c r="H247" s="4">
        <f t="shared" si="3"/>
      </c>
    </row>
    <row r="248" spans="1:8">
      <c r="A248" s="2"/>
      <c r="E248">
        <f>VLOOKUP(TablaObra[[#This Row],[Equipo]],Catalogos!$I$4:$J$46,2,FALSE)</f>
      </c>
      <c r="F248" s="3"/>
      <c r="G248" s="4"/>
      <c r="H248" s="4">
        <f t="shared" si="3"/>
      </c>
    </row>
    <row r="249" spans="1:8">
      <c r="A249" s="2"/>
      <c r="E249">
        <f>VLOOKUP(TablaObra[[#This Row],[Equipo]],Catalogos!$I$4:$J$46,2,FALSE)</f>
      </c>
      <c r="F249" s="3"/>
      <c r="G249" s="4"/>
      <c r="H249" s="4">
        <f t="shared" si="3"/>
      </c>
    </row>
    <row r="250" spans="1:8">
      <c r="A250" s="2"/>
      <c r="E250">
        <f>VLOOKUP(TablaObra[[#This Row],[Equipo]],Catalogos!$I$4:$J$46,2,FALSE)</f>
      </c>
      <c r="F250" s="3"/>
      <c r="G250" s="4"/>
      <c r="H250" s="4">
        <f t="shared" si="3"/>
      </c>
    </row>
    <row r="251" spans="1:8">
      <c r="A251" s="2"/>
      <c r="E251">
        <f>VLOOKUP(TablaObra[[#This Row],[Equipo]],Catalogos!$I$4:$J$46,2,FALSE)</f>
      </c>
      <c r="F251" s="3"/>
      <c r="G251" s="4"/>
      <c r="H251" s="4">
        <f t="shared" si="3"/>
      </c>
    </row>
    <row r="252" spans="1:8">
      <c r="A252" s="2"/>
      <c r="E252">
        <f>VLOOKUP(TablaObra[[#This Row],[Equipo]],Catalogos!$I$4:$J$46,2,FALSE)</f>
      </c>
      <c r="F252" s="3"/>
      <c r="G252" s="4"/>
      <c r="H252" s="4">
        <f t="shared" si="3"/>
      </c>
    </row>
    <row r="253" spans="1:8">
      <c r="A253" s="2"/>
      <c r="E253">
        <f>VLOOKUP(TablaObra[[#This Row],[Equipo]],Catalogos!$I$4:$J$46,2,FALSE)</f>
      </c>
      <c r="F253" s="3"/>
      <c r="G253" s="4"/>
      <c r="H253" s="4">
        <f t="shared" si="3"/>
      </c>
    </row>
    <row r="254" spans="1:8">
      <c r="A254" s="2"/>
      <c r="E254">
        <f>VLOOKUP(TablaObra[[#This Row],[Equipo]],Catalogos!$I$4:$J$46,2,FALSE)</f>
      </c>
      <c r="F254" s="3"/>
      <c r="G254" s="4"/>
      <c r="H254" s="4">
        <f t="shared" si="3"/>
      </c>
    </row>
    <row r="255" spans="1:8">
      <c r="A255" s="2"/>
      <c r="E255">
        <f>VLOOKUP(TablaObra[[#This Row],[Equipo]],Catalogos!$I$4:$J$46,2,FALSE)</f>
      </c>
      <c r="F255" s="3"/>
      <c r="G255" s="4"/>
      <c r="H255" s="4">
        <f t="shared" si="3"/>
      </c>
    </row>
    <row r="256" spans="1:8">
      <c r="A256" s="2"/>
      <c r="E256">
        <f>VLOOKUP(TablaObra[[#This Row],[Equipo]],Catalogos!$I$4:$J$46,2,FALSE)</f>
      </c>
      <c r="F256" s="3"/>
      <c r="G256" s="4"/>
      <c r="H256" s="4">
        <f t="shared" si="3"/>
      </c>
    </row>
    <row r="257" spans="1:8">
      <c r="A257" s="2"/>
      <c r="E257">
        <f>VLOOKUP(TablaObra[[#This Row],[Equipo]],Catalogos!$I$4:$J$46,2,FALSE)</f>
      </c>
      <c r="F257" s="3"/>
      <c r="G257" s="4"/>
      <c r="H257" s="4">
        <f t="shared" si="3"/>
      </c>
    </row>
    <row r="258" spans="1:8">
      <c r="A258" s="2"/>
      <c r="E258">
        <f>VLOOKUP(TablaObra[[#This Row],[Equipo]],Catalogos!$I$4:$J$46,2,FALSE)</f>
      </c>
      <c r="F258" s="3"/>
      <c r="G258" s="4"/>
      <c r="H258" s="4">
        <f t="shared" si="3"/>
      </c>
    </row>
    <row r="259" spans="1:8">
      <c r="A259" s="2"/>
      <c r="E259">
        <f>VLOOKUP(TablaObra[[#This Row],[Equipo]],Catalogos!$I$4:$J$46,2,FALSE)</f>
      </c>
      <c r="F259" s="3"/>
      <c r="G259" s="4"/>
      <c r="H259" s="4">
        <f t="shared" si="3"/>
      </c>
    </row>
    <row r="260" spans="1:8">
      <c r="A260" s="2"/>
      <c r="E260">
        <f>VLOOKUP(TablaObra[[#This Row],[Equipo]],Catalogos!$I$4:$J$46,2,FALSE)</f>
      </c>
      <c r="F260" s="3"/>
      <c r="G260" s="4"/>
      <c r="H260" s="4">
        <f t="shared" si="3"/>
      </c>
    </row>
    <row r="261" spans="1:8">
      <c r="A261" s="2"/>
      <c r="E261">
        <f>VLOOKUP(TablaObra[[#This Row],[Equipo]],Catalogos!$I$4:$J$46,2,FALSE)</f>
      </c>
      <c r="F261" s="3"/>
      <c r="G261" s="4"/>
      <c r="H261" s="4">
        <f t="shared" ref="H261:H304" si="4">IFERROR(F261*G261,0)</f>
      </c>
    </row>
    <row r="262" spans="1:8">
      <c r="A262" s="2"/>
      <c r="E262">
        <f>VLOOKUP(TablaObra[[#This Row],[Equipo]],Catalogos!$I$4:$J$46,2,FALSE)</f>
      </c>
      <c r="F262" s="3"/>
      <c r="G262" s="4"/>
      <c r="H262" s="4">
        <f t="shared" si="4"/>
      </c>
    </row>
    <row r="263" spans="1:8">
      <c r="A263" s="2"/>
      <c r="E263">
        <f>VLOOKUP(TablaObra[[#This Row],[Equipo]],Catalogos!$I$4:$J$46,2,FALSE)</f>
      </c>
      <c r="F263" s="3"/>
      <c r="G263" s="4"/>
      <c r="H263" s="4">
        <f t="shared" si="4"/>
      </c>
    </row>
    <row r="264" spans="1:8">
      <c r="A264" s="2"/>
      <c r="E264">
        <f>VLOOKUP(TablaObra[[#This Row],[Equipo]],Catalogos!$I$4:$J$46,2,FALSE)</f>
      </c>
      <c r="F264" s="3"/>
      <c r="G264" s="4"/>
      <c r="H264" s="4">
        <f t="shared" si="4"/>
      </c>
    </row>
    <row r="265" spans="1:8">
      <c r="A265" s="2"/>
      <c r="E265">
        <f>VLOOKUP(TablaObra[[#This Row],[Equipo]],Catalogos!$I$4:$J$46,2,FALSE)</f>
      </c>
      <c r="F265" s="3"/>
      <c r="G265" s="4"/>
      <c r="H265" s="4">
        <f t="shared" si="4"/>
      </c>
    </row>
    <row r="266" spans="1:8">
      <c r="A266" s="2"/>
      <c r="E266">
        <f>VLOOKUP(TablaObra[[#This Row],[Equipo]],Catalogos!$I$4:$J$46,2,FALSE)</f>
      </c>
      <c r="F266" s="3"/>
      <c r="G266" s="4"/>
      <c r="H266" s="4">
        <f t="shared" si="4"/>
      </c>
    </row>
    <row r="267" spans="1:8">
      <c r="A267" s="2"/>
      <c r="E267">
        <f>VLOOKUP(TablaObra[[#This Row],[Equipo]],Catalogos!$I$4:$J$46,2,FALSE)</f>
      </c>
      <c r="F267" s="3"/>
      <c r="G267" s="4"/>
      <c r="H267" s="4">
        <f t="shared" si="4"/>
      </c>
    </row>
    <row r="268" spans="1:8">
      <c r="A268" s="2"/>
      <c r="E268">
        <f>VLOOKUP(TablaObra[[#This Row],[Equipo]],Catalogos!$I$4:$J$46,2,FALSE)</f>
      </c>
      <c r="F268" s="3"/>
      <c r="G268" s="4"/>
      <c r="H268" s="4">
        <f t="shared" si="4"/>
      </c>
    </row>
    <row r="269" spans="1:8">
      <c r="A269" s="2"/>
      <c r="E269">
        <f>VLOOKUP(TablaObra[[#This Row],[Equipo]],Catalogos!$I$4:$J$46,2,FALSE)</f>
      </c>
      <c r="F269" s="3"/>
      <c r="G269" s="4"/>
      <c r="H269" s="4">
        <f t="shared" si="4"/>
      </c>
    </row>
    <row r="270" spans="1:8">
      <c r="A270" s="2"/>
      <c r="E270">
        <f>VLOOKUP(TablaObra[[#This Row],[Equipo]],Catalogos!$I$4:$J$46,2,FALSE)</f>
      </c>
      <c r="F270" s="3"/>
      <c r="G270" s="4"/>
      <c r="H270" s="4">
        <f t="shared" si="4"/>
      </c>
    </row>
    <row r="271" spans="1:8">
      <c r="A271" s="2"/>
      <c r="E271">
        <f>VLOOKUP(TablaObra[[#This Row],[Equipo]],Catalogos!$I$4:$J$46,2,FALSE)</f>
      </c>
      <c r="F271" s="3"/>
      <c r="G271" s="4"/>
      <c r="H271" s="4">
        <f t="shared" si="4"/>
      </c>
    </row>
    <row r="272" spans="1:8">
      <c r="A272" s="2"/>
      <c r="E272">
        <f>VLOOKUP(TablaObra[[#This Row],[Equipo]],Catalogos!$I$4:$J$46,2,FALSE)</f>
      </c>
      <c r="F272" s="3"/>
      <c r="G272" s="4"/>
      <c r="H272" s="4">
        <f t="shared" si="4"/>
      </c>
    </row>
    <row r="273" spans="1:8">
      <c r="A273" s="2"/>
      <c r="E273">
        <f>VLOOKUP(TablaObra[[#This Row],[Equipo]],Catalogos!$I$4:$J$46,2,FALSE)</f>
      </c>
      <c r="F273" s="3"/>
      <c r="G273" s="4"/>
      <c r="H273" s="4">
        <f t="shared" si="4"/>
      </c>
    </row>
    <row r="274" spans="1:8">
      <c r="A274" s="2"/>
      <c r="E274">
        <f>VLOOKUP(TablaObra[[#This Row],[Equipo]],Catalogos!$I$4:$J$46,2,FALSE)</f>
      </c>
      <c r="F274" s="3"/>
      <c r="G274" s="4"/>
      <c r="H274" s="4">
        <f t="shared" si="4"/>
      </c>
    </row>
    <row r="275" spans="1:8">
      <c r="A275" s="2"/>
      <c r="E275">
        <f>VLOOKUP(TablaObra[[#This Row],[Equipo]],Catalogos!$I$4:$J$46,2,FALSE)</f>
      </c>
      <c r="F275" s="3"/>
      <c r="G275" s="4"/>
      <c r="H275" s="4">
        <f t="shared" si="4"/>
      </c>
    </row>
    <row r="276" spans="1:8">
      <c r="A276" s="2"/>
      <c r="E276">
        <f>VLOOKUP(TablaObra[[#This Row],[Equipo]],Catalogos!$I$4:$J$46,2,FALSE)</f>
      </c>
      <c r="F276" s="3"/>
      <c r="G276" s="4"/>
      <c r="H276" s="4">
        <f t="shared" si="4"/>
      </c>
    </row>
    <row r="277" spans="1:8">
      <c r="A277" s="2"/>
      <c r="E277">
        <f>VLOOKUP(TablaObra[[#This Row],[Equipo]],Catalogos!$I$4:$J$46,2,FALSE)</f>
      </c>
      <c r="F277" s="3"/>
      <c r="G277" s="4"/>
      <c r="H277" s="4">
        <f t="shared" si="4"/>
      </c>
    </row>
    <row r="278" spans="1:8">
      <c r="A278" s="2"/>
      <c r="E278">
        <f>VLOOKUP(TablaObra[[#This Row],[Equipo]],Catalogos!$I$4:$J$46,2,FALSE)</f>
      </c>
      <c r="F278" s="3"/>
      <c r="G278" s="4"/>
      <c r="H278" s="4">
        <f t="shared" si="4"/>
      </c>
    </row>
    <row r="279" spans="1:8">
      <c r="A279" s="2"/>
      <c r="E279">
        <f>VLOOKUP(TablaObra[[#This Row],[Equipo]],Catalogos!$I$4:$J$46,2,FALSE)</f>
      </c>
      <c r="F279" s="3"/>
      <c r="G279" s="4"/>
      <c r="H279" s="4">
        <f t="shared" si="4"/>
      </c>
    </row>
    <row r="280" spans="1:8">
      <c r="A280" s="2"/>
      <c r="E280">
        <f>VLOOKUP(TablaObra[[#This Row],[Equipo]],Catalogos!$I$4:$J$46,2,FALSE)</f>
      </c>
      <c r="F280" s="3"/>
      <c r="G280" s="4"/>
      <c r="H280" s="4">
        <f t="shared" si="4"/>
      </c>
    </row>
    <row r="281" spans="1:8">
      <c r="A281" s="2"/>
      <c r="E281">
        <f>VLOOKUP(TablaObra[[#This Row],[Equipo]],Catalogos!$I$4:$J$46,2,FALSE)</f>
      </c>
      <c r="F281" s="3"/>
      <c r="G281" s="4"/>
      <c r="H281" s="4">
        <f t="shared" si="4"/>
      </c>
    </row>
    <row r="282" spans="1:8">
      <c r="A282" s="2"/>
      <c r="E282">
        <f>VLOOKUP(TablaObra[[#This Row],[Equipo]],Catalogos!$I$4:$J$46,2,FALSE)</f>
      </c>
      <c r="F282" s="3"/>
      <c r="G282" s="4"/>
      <c r="H282" s="4">
        <f t="shared" si="4"/>
      </c>
    </row>
    <row r="283" spans="1:8">
      <c r="A283" s="2"/>
      <c r="E283">
        <f>VLOOKUP(TablaObra[[#This Row],[Equipo]],Catalogos!$I$4:$J$46,2,FALSE)</f>
      </c>
      <c r="F283" s="3"/>
      <c r="G283" s="4"/>
      <c r="H283" s="4">
        <f t="shared" si="4"/>
      </c>
    </row>
    <row r="284" spans="1:8">
      <c r="A284" s="2"/>
      <c r="E284">
        <f>VLOOKUP(TablaObra[[#This Row],[Equipo]],Catalogos!$I$4:$J$46,2,FALSE)</f>
      </c>
      <c r="F284" s="3"/>
      <c r="G284" s="4"/>
      <c r="H284" s="4">
        <f t="shared" si="4"/>
      </c>
    </row>
    <row r="285" spans="1:8">
      <c r="A285" s="2"/>
      <c r="E285">
        <f>VLOOKUP(TablaObra[[#This Row],[Equipo]],Catalogos!$I$4:$J$46,2,FALSE)</f>
      </c>
      <c r="F285" s="3"/>
      <c r="G285" s="4"/>
      <c r="H285" s="4">
        <f t="shared" si="4"/>
      </c>
    </row>
    <row r="286" spans="1:8">
      <c r="A286" s="2"/>
      <c r="E286">
        <f>VLOOKUP(TablaObra[[#This Row],[Equipo]],Catalogos!$I$4:$J$46,2,FALSE)</f>
      </c>
      <c r="F286" s="3"/>
      <c r="G286" s="4"/>
      <c r="H286" s="4">
        <f t="shared" si="4"/>
      </c>
    </row>
    <row r="287" spans="1:8">
      <c r="A287" s="2"/>
      <c r="E287">
        <f>VLOOKUP(TablaObra[[#This Row],[Equipo]],Catalogos!$I$4:$J$46,2,FALSE)</f>
      </c>
      <c r="F287" s="3"/>
      <c r="G287" s="4"/>
      <c r="H287" s="4">
        <f t="shared" si="4"/>
      </c>
    </row>
    <row r="288" spans="1:8">
      <c r="A288" s="2"/>
      <c r="E288">
        <f>VLOOKUP(TablaObra[[#This Row],[Equipo]],Catalogos!$I$4:$J$46,2,FALSE)</f>
      </c>
      <c r="F288" s="3"/>
      <c r="G288" s="4"/>
      <c r="H288" s="4">
        <f t="shared" si="4"/>
      </c>
    </row>
    <row r="289" spans="1:8">
      <c r="A289" s="2"/>
      <c r="E289">
        <f>VLOOKUP(TablaObra[[#This Row],[Equipo]],Catalogos!$I$4:$J$46,2,FALSE)</f>
      </c>
      <c r="F289" s="3"/>
      <c r="G289" s="4"/>
      <c r="H289" s="4">
        <f t="shared" si="4"/>
      </c>
    </row>
    <row r="290" spans="1:8">
      <c r="A290" s="2"/>
      <c r="E290">
        <f>VLOOKUP(TablaObra[[#This Row],[Equipo]],Catalogos!$I$4:$J$46,2,FALSE)</f>
      </c>
      <c r="F290" s="3"/>
      <c r="G290" s="4"/>
      <c r="H290" s="4">
        <f t="shared" si="4"/>
      </c>
    </row>
    <row r="291" spans="1:8">
      <c r="A291" s="2"/>
      <c r="E291">
        <f>VLOOKUP(TablaObra[[#This Row],[Equipo]],Catalogos!$I$4:$J$46,2,FALSE)</f>
      </c>
      <c r="F291" s="3"/>
      <c r="G291" s="4"/>
      <c r="H291" s="4">
        <f t="shared" si="4"/>
      </c>
    </row>
    <row r="292" spans="1:8">
      <c r="A292" s="2"/>
      <c r="E292">
        <f>VLOOKUP(TablaObra[[#This Row],[Equipo]],Catalogos!$I$4:$J$46,2,FALSE)</f>
      </c>
      <c r="F292" s="3"/>
      <c r="G292" s="4"/>
      <c r="H292" s="4">
        <f t="shared" si="4"/>
      </c>
    </row>
    <row r="293" spans="1:8">
      <c r="A293" s="2"/>
      <c r="E293">
        <f>VLOOKUP(TablaObra[[#This Row],[Equipo]],Catalogos!$I$4:$J$46,2,FALSE)</f>
      </c>
      <c r="F293" s="3"/>
      <c r="G293" s="4"/>
      <c r="H293" s="4">
        <f t="shared" si="4"/>
      </c>
    </row>
    <row r="294" spans="1:8">
      <c r="A294" s="2"/>
      <c r="E294">
        <f>VLOOKUP(TablaObra[[#This Row],[Equipo]],Catalogos!$I$4:$J$46,2,FALSE)</f>
      </c>
      <c r="F294" s="3"/>
      <c r="G294" s="4"/>
      <c r="H294" s="4">
        <f t="shared" si="4"/>
      </c>
    </row>
    <row r="295" spans="1:8">
      <c r="A295" s="2"/>
      <c r="E295">
        <f>VLOOKUP(TablaObra[[#This Row],[Equipo]],Catalogos!$I$4:$J$46,2,FALSE)</f>
      </c>
      <c r="F295" s="3"/>
      <c r="G295" s="4"/>
      <c r="H295" s="4">
        <f t="shared" si="4"/>
      </c>
    </row>
    <row r="296" spans="1:8">
      <c r="A296" s="2"/>
      <c r="E296">
        <f>VLOOKUP(TablaObra[[#This Row],[Equipo]],Catalogos!$I$4:$J$46,2,FALSE)</f>
      </c>
      <c r="F296" s="3"/>
      <c r="G296" s="4"/>
      <c r="H296" s="4">
        <f t="shared" si="4"/>
      </c>
    </row>
    <row r="297" spans="1:8">
      <c r="A297" s="2"/>
      <c r="E297">
        <f>VLOOKUP(TablaObra[[#This Row],[Equipo]],Catalogos!$I$4:$J$46,2,FALSE)</f>
      </c>
      <c r="F297" s="3"/>
      <c r="G297" s="4"/>
      <c r="H297" s="4">
        <f t="shared" si="4"/>
      </c>
    </row>
    <row r="298" spans="1:8">
      <c r="A298" s="2"/>
      <c r="E298">
        <f>VLOOKUP(TablaObra[[#This Row],[Equipo]],Catalogos!$I$4:$J$46,2,FALSE)</f>
      </c>
      <c r="F298" s="3"/>
      <c r="G298" s="4"/>
      <c r="H298" s="4">
        <f t="shared" si="4"/>
      </c>
    </row>
    <row r="299" spans="1:8">
      <c r="A299" s="2"/>
      <c r="E299">
        <f>VLOOKUP(TablaObra[[#This Row],[Equipo]],Catalogos!$I$4:$J$46,2,FALSE)</f>
      </c>
      <c r="F299" s="3"/>
      <c r="G299" s="4"/>
      <c r="H299" s="4">
        <f t="shared" si="4"/>
      </c>
    </row>
    <row r="300" spans="1:8">
      <c r="A300" s="2"/>
      <c r="E300">
        <f>VLOOKUP(TablaObra[[#This Row],[Equipo]],Catalogos!$I$4:$J$46,2,FALSE)</f>
      </c>
      <c r="F300" s="3"/>
      <c r="G300" s="4"/>
      <c r="H300" s="4">
        <f t="shared" si="4"/>
      </c>
    </row>
    <row r="301" spans="1:8">
      <c r="A301" s="2"/>
      <c r="E301">
        <f>VLOOKUP(TablaObra[[#This Row],[Equipo]],Catalogos!$I$4:$J$46,2,FALSE)</f>
      </c>
      <c r="F301" s="3"/>
      <c r="G301" s="4"/>
      <c r="H301" s="4">
        <f t="shared" si="4"/>
      </c>
    </row>
    <row r="302" spans="1:8">
      <c r="A302" s="2"/>
      <c r="E302">
        <f>VLOOKUP(TablaObra[[#This Row],[Equipo]],Catalogos!$I$4:$J$46,2,FALSE)</f>
      </c>
      <c r="F302" s="3"/>
      <c r="G302" s="4"/>
      <c r="H302" s="4">
        <f t="shared" si="4"/>
      </c>
    </row>
    <row r="303" spans="1:8">
      <c r="A303" s="2"/>
      <c r="E303">
        <f>VLOOKUP(TablaObra[[#This Row],[Equipo]],Catalogos!$I$4:$J$46,2,FALSE)</f>
      </c>
      <c r="F303" s="3"/>
      <c r="G303" s="4"/>
      <c r="H303" s="4">
        <f t="shared" si="4"/>
      </c>
    </row>
    <row r="304" spans="1:8">
      <c r="A304" s="2"/>
      <c r="E304">
        <f>VLOOKUP(TablaObra[[#This Row],[Equipo]],Catalogos!$I$4:$J$46,2,FALSE)</f>
      </c>
      <c r="F304" s="3"/>
      <c r="G304" s="4"/>
      <c r="H304" s="4">
        <f t="shared" si="4"/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2000000}">
          <x14:formula1>
            <xm:f>Catalogos!$J$4:$J$18</xm:f>
          </x14:formula1>
          <xm:sqref>E5:E64 E104:E304</xm:sqref>
        </x14:dataValidation>
        <x14:dataValidation type="list" allowBlank="1" showInputMessage="1" showErrorMessage="1" xr:uid="{7165B4E6-07F6-4B47-844F-B84F1BF80585}">
          <x14:formula1>
            <xm:f>Catalogos!$I$4:$I$49</xm:f>
          </x14:formula1>
          <xm:sqref>D5:D755</xm:sqref>
        </x14:dataValidation>
        <x14:dataValidation type="list" allowBlank="1" showInputMessage="1" showErrorMessage="1" xr:uid="{FC7D1549-965B-4423-A65A-43F2DD241288}">
          <x14:formula1>
            <xm:f>Catalogos!$B$4:$B$18</xm:f>
          </x14:formula1>
          <xm:sqref>B5:B304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sheetPr/>
  <sheetViews>
    <sheetView workbookViewId="0">
      <selection activeCell="D155" sqref="D155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t="s" s="404">
        <v>133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</row>
    <row r="2" spans="1:11">
      <c r="A2" t="s">
        <v>35</v>
      </c>
      <c r="C2" t="s">
        <v>9</v>
      </c>
      <c r="E2" t="s">
        <v>10</v>
      </c>
      <c r="G2" t="s">
        <v>36</v>
      </c>
      <c r="I2" t="s">
        <v>28</v>
      </c>
    </row>
    <row r="4" spans="1:11" ht="27.6">
      <c r="A4" t="s" s="1">
        <v>144</v>
      </c>
      <c r="B4" t="s" s="1">
        <v>1</v>
      </c>
      <c r="C4" t="s" s="1">
        <v>143</v>
      </c>
      <c r="D4" t="s" s="1">
        <v>31</v>
      </c>
      <c r="E4" t="s" s="1">
        <v>32</v>
      </c>
      <c r="F4" t="s" s="1">
        <v>136</v>
      </c>
      <c r="G4" t="s" s="1">
        <v>21</v>
      </c>
      <c r="H4" t="s" s="1">
        <v>22</v>
      </c>
      <c r="I4" t="s" s="1">
        <v>177</v>
      </c>
      <c r="J4" t="s" s="1">
        <v>40</v>
      </c>
      <c r="K4" t="s" s="1">
        <v>23</v>
      </c>
    </row>
    <row r="5" spans="1:11">
      <c r="A5" s="2">
        <v>46180</v>
      </c>
      <c r="B5" t="s">
        <v>3</v>
      </c>
      <c r="C5" s="2">
        <v>46181</v>
      </c>
      <c r="D5" t="s">
        <v>134</v>
      </c>
      <c r="E5">
        <f>VLOOKUP(TablaObra5[[#This Row],[Equipo]],Catalogos!$I$4:$J$39,2,FALSE)</f>
      </c>
      <c r="F5" s="3">
        <v>200</v>
      </c>
      <c r="G5" s="4">
        <v>28.3</v>
      </c>
      <c r="H5" s="4">
        <f t="shared" ref="H5:H70" si="0">IFERROR(F5*G5,0)</f>
      </c>
      <c r="I5">
        <f>VLOOKUP(TablaObra5[[#This Row],[Obra]],Catalogos!$B$3:$C$8,2,FALSE)</f>
      </c>
    </row>
    <row r="6" spans="1:11">
      <c r="A6" s="2">
        <v>46180</v>
      </c>
      <c r="B6" t="s">
        <v>3</v>
      </c>
      <c r="C6" s="2">
        <v>46181</v>
      </c>
      <c r="D6" t="s">
        <v>138</v>
      </c>
      <c r="E6">
        <f>VLOOKUP(TablaObra5[[#This Row],[Equipo]],Catalogos!$I$4:$J$39,2,FALSE)</f>
      </c>
      <c r="F6" s="3">
        <v>300</v>
      </c>
      <c r="G6" s="4">
        <v>28.3</v>
      </c>
      <c r="H6" s="4">
        <f t="shared" si="0"/>
      </c>
      <c r="I6">
        <f>VLOOKUP(TablaObra5[[#This Row],[Obra]],Catalogos!$B$3:$C$8,2,FALSE)</f>
      </c>
    </row>
    <row r="7" spans="1:11">
      <c r="A7" s="2">
        <v>46180</v>
      </c>
      <c r="B7" t="s">
        <v>3</v>
      </c>
      <c r="C7" s="2">
        <v>46181</v>
      </c>
      <c r="D7" t="s">
        <v>81</v>
      </c>
      <c r="E7">
        <f>VLOOKUP(TablaObra5[[#This Row],[Equipo]],Catalogos!$I$4:$J$39,2,FALSE)</f>
      </c>
      <c r="F7" s="3">
        <v>30</v>
      </c>
      <c r="G7" s="4">
        <v>28.3</v>
      </c>
      <c r="H7" s="4">
        <f t="shared" si="0"/>
      </c>
      <c r="I7">
        <f>VLOOKUP(TablaObra5[[#This Row],[Obra]],Catalogos!$B$3:$C$8,2,FALSE)</f>
      </c>
    </row>
    <row r="8" spans="1:11">
      <c r="A8" s="2">
        <v>46180</v>
      </c>
      <c r="B8" t="s">
        <v>3</v>
      </c>
      <c r="C8" s="2">
        <v>46181</v>
      </c>
      <c r="D8" t="s">
        <v>139</v>
      </c>
      <c r="E8">
        <f>VLOOKUP(TablaObra5[[#This Row],[Equipo]],Catalogos!$I$4:$J$39,2,FALSE)</f>
      </c>
      <c r="F8" s="3">
        <v>20</v>
      </c>
      <c r="G8" s="4">
        <v>28.3</v>
      </c>
      <c r="H8" s="4">
        <f t="shared" si="0"/>
      </c>
      <c r="I8">
        <f>VLOOKUP(TablaObra5[[#This Row],[Obra]],Catalogos!$B$3:$C$8,2,FALSE)</f>
      </c>
    </row>
    <row r="9" spans="1:11">
      <c r="A9" s="2">
        <v>46180</v>
      </c>
      <c r="B9" t="s">
        <v>3</v>
      </c>
      <c r="C9" s="2">
        <v>46181</v>
      </c>
      <c r="D9" t="s">
        <v>155</v>
      </c>
      <c r="E9">
        <f>VLOOKUP(TablaObra5[[#This Row],[Equipo]],Catalogos!$I$4:$J$39,2,FALSE)</f>
      </c>
      <c r="F9" s="3">
        <v>30</v>
      </c>
      <c r="G9" s="4">
        <v>28.3</v>
      </c>
      <c r="H9" s="4">
        <f t="shared" si="0"/>
      </c>
      <c r="I9">
        <f>VLOOKUP(TablaObra5[[#This Row],[Obra]],Catalogos!$B$3:$C$8,2,FALSE)</f>
      </c>
    </row>
    <row r="10" spans="1:11">
      <c r="A10" s="2">
        <v>46180</v>
      </c>
      <c r="B10" t="s">
        <v>3</v>
      </c>
      <c r="C10" s="2">
        <v>46181</v>
      </c>
      <c r="D10" t="s">
        <v>72</v>
      </c>
      <c r="E10">
        <f>VLOOKUP(TablaObra5[[#This Row],[Equipo]],Catalogos!$I$4:$J$39,2,FALSE)</f>
      </c>
      <c r="F10" s="3">
        <v>30</v>
      </c>
      <c r="G10" s="4">
        <v>28.3</v>
      </c>
      <c r="H10" s="4">
        <f t="shared" si="0"/>
      </c>
      <c r="I10">
        <f>VLOOKUP(TablaObra5[[#This Row],[Obra]],Catalogos!$B$3:$C$8,2,FALSE)</f>
      </c>
    </row>
    <row r="11" spans="1:11">
      <c r="A11" s="2">
        <v>46180</v>
      </c>
      <c r="B11" t="s">
        <v>3</v>
      </c>
      <c r="C11" s="2">
        <v>46181</v>
      </c>
      <c r="D11" t="s">
        <v>172</v>
      </c>
      <c r="E11">
        <f>VLOOKUP(TablaObra5[[#This Row],[Equipo]],Catalogos!$I$4:$J$39,2,FALSE)</f>
      </c>
      <c r="F11" s="3">
        <v>30</v>
      </c>
      <c r="G11" s="4">
        <v>28.3</v>
      </c>
      <c r="H11" s="4">
        <f t="shared" si="0"/>
      </c>
      <c r="I11">
        <f>VLOOKUP(TablaObra5[[#This Row],[Obra]],Catalogos!$B$3:$C$8,2,FALSE)</f>
      </c>
    </row>
    <row r="12" spans="1:11">
      <c r="A12" s="2">
        <v>46180</v>
      </c>
      <c r="B12" t="s">
        <v>4</v>
      </c>
      <c r="C12" s="2">
        <v>46181</v>
      </c>
      <c r="D12" t="s">
        <v>81</v>
      </c>
      <c r="E12">
        <f>VLOOKUP(TablaObra5[[#This Row],[Equipo]],Catalogos!$I$4:$J$39,2,FALSE)</f>
      </c>
      <c r="F12" s="3">
        <v>50</v>
      </c>
      <c r="G12" s="4">
        <v>28.3</v>
      </c>
      <c r="H12" s="4">
        <f t="shared" si="0"/>
      </c>
      <c r="I12">
        <f>VLOOKUP(TablaObra5[[#This Row],[Obra]],Catalogos!$B$3:$C$8,2,FALSE)</f>
      </c>
    </row>
    <row r="13" spans="1:11">
      <c r="A13" s="2">
        <v>46180</v>
      </c>
      <c r="B13" t="s">
        <v>4</v>
      </c>
      <c r="C13" s="2">
        <v>46181</v>
      </c>
      <c r="D13" t="s">
        <v>155</v>
      </c>
      <c r="E13">
        <f>VLOOKUP(TablaObra5[[#This Row],[Equipo]],Catalogos!$I$4:$J$39,2,FALSE)</f>
      </c>
      <c r="F13" s="3">
        <v>50</v>
      </c>
      <c r="G13" s="4">
        <v>28.3</v>
      </c>
      <c r="H13" s="4">
        <f t="shared" si="0"/>
      </c>
      <c r="I13">
        <f>VLOOKUP(TablaObra5[[#This Row],[Obra]],Catalogos!$B$3:$C$8,2,FALSE)</f>
      </c>
    </row>
    <row r="14" spans="1:11">
      <c r="A14" s="2">
        <v>46180</v>
      </c>
      <c r="B14" t="s">
        <v>4</v>
      </c>
      <c r="C14" s="2">
        <v>46181</v>
      </c>
      <c r="D14" t="s">
        <v>86</v>
      </c>
      <c r="E14">
        <f>VLOOKUP(TablaObra5[[#This Row],[Equipo]],Catalogos!$I$4:$J$39,2,FALSE)</f>
      </c>
      <c r="F14" s="3">
        <v>60</v>
      </c>
      <c r="G14" s="4">
        <v>28.3</v>
      </c>
      <c r="H14" s="4">
        <f t="shared" si="0"/>
      </c>
      <c r="I14">
        <f>VLOOKUP(TablaObra5[[#This Row],[Obra]],Catalogos!$B$3:$C$8,2,FALSE)</f>
      </c>
    </row>
    <row r="15" spans="1:11">
      <c r="A15" s="2">
        <v>46181</v>
      </c>
      <c r="B15" t="s">
        <v>183</v>
      </c>
      <c r="C15" s="2"/>
      <c r="D15" t="s">
        <v>81</v>
      </c>
      <c r="E15">
        <f>VLOOKUP(TablaObra5[[#This Row],[Equipo]],Catalogos!$I$4:$J$39,2,FALSE)</f>
      </c>
      <c r="F15" s="3">
        <v>100</v>
      </c>
      <c r="G15" s="4">
        <v>28.3</v>
      </c>
      <c r="H15" s="4">
        <f>IFERROR(F15*G15,0)</f>
      </c>
      <c r="I15">
        <f>VLOOKUP(TablaObra5[[#This Row],[Obra]],Catalogos!$B$3:$C$8,2,FALSE)</f>
      </c>
    </row>
    <row r="16" spans="1:11">
      <c r="A16" s="2">
        <v>46181</v>
      </c>
      <c r="B16" t="s">
        <v>5</v>
      </c>
      <c r="C16" s="2">
        <v>46181</v>
      </c>
      <c r="D16" t="s">
        <v>145</v>
      </c>
      <c r="E16">
        <f>VLOOKUP(TablaObra5[[#This Row],[Equipo]],Catalogos!$I$4:$J$39,2,FALSE)</f>
      </c>
      <c r="F16" s="3">
        <v>250</v>
      </c>
      <c r="G16" s="4">
        <v>28.3</v>
      </c>
      <c r="H16" s="4">
        <f t="shared" si="0"/>
      </c>
      <c r="I16">
        <f>VLOOKUP(TablaObra5[[#This Row],[Obra]],Catalogos!$B$3:$C$8,2,FALSE)</f>
      </c>
    </row>
    <row r="17" spans="1:9">
      <c r="A17" s="2">
        <v>46181</v>
      </c>
      <c r="B17" t="s">
        <v>5</v>
      </c>
      <c r="C17" s="2">
        <v>46181</v>
      </c>
      <c r="D17" t="s">
        <v>147</v>
      </c>
      <c r="E17">
        <f>VLOOKUP(TablaObra5[[#This Row],[Equipo]],Catalogos!$I$4:$J$39,2,FALSE)</f>
      </c>
      <c r="F17" s="3">
        <v>150</v>
      </c>
      <c r="G17" s="4">
        <v>28.3</v>
      </c>
      <c r="H17" s="4">
        <f t="shared" si="0"/>
      </c>
      <c r="I17">
        <f>VLOOKUP(TablaObra5[[#This Row],[Obra]],Catalogos!$B$3:$C$8,2,FALSE)</f>
      </c>
    </row>
    <row r="18" spans="1:9">
      <c r="A18" s="2">
        <v>46181</v>
      </c>
      <c r="B18" t="s">
        <v>5</v>
      </c>
      <c r="C18" s="2">
        <v>46181</v>
      </c>
      <c r="D18" t="s">
        <v>149</v>
      </c>
      <c r="E18">
        <f>VLOOKUP(TablaObra5[[#This Row],[Equipo]],Catalogos!$I$4:$J$39,2,FALSE)</f>
      </c>
      <c r="F18" s="3">
        <v>40</v>
      </c>
      <c r="G18" s="4">
        <v>28.3</v>
      </c>
      <c r="H18" s="4">
        <f t="shared" si="0"/>
      </c>
      <c r="I18">
        <f>VLOOKUP(TablaObra5[[#This Row],[Obra]],Catalogos!$B$3:$C$8,2,FALSE)</f>
      </c>
    </row>
    <row r="19" spans="1:9">
      <c r="A19" s="2">
        <v>46181</v>
      </c>
      <c r="B19" t="s">
        <v>5</v>
      </c>
      <c r="C19" s="2">
        <v>46181</v>
      </c>
      <c r="D19" t="s">
        <v>151</v>
      </c>
      <c r="E19">
        <f>VLOOKUP(TablaObra5[[#This Row],[Equipo]],Catalogos!$I$4:$J$39,2,FALSE)</f>
      </c>
      <c r="F19" s="3">
        <v>60</v>
      </c>
      <c r="G19" s="4">
        <v>28.3</v>
      </c>
      <c r="H19" s="4">
        <f t="shared" si="0"/>
      </c>
      <c r="I19">
        <f>VLOOKUP(TablaObra5[[#This Row],[Obra]],Catalogos!$B$3:$C$8,2,FALSE)</f>
      </c>
    </row>
    <row r="20" spans="1:9">
      <c r="A20" s="2">
        <v>46181</v>
      </c>
      <c r="B20" t="s">
        <v>5</v>
      </c>
      <c r="C20" s="2">
        <v>46181</v>
      </c>
      <c r="D20" t="s">
        <v>153</v>
      </c>
      <c r="E20">
        <f>VLOOKUP(TablaObra5[[#This Row],[Equipo]],Catalogos!$I$4:$J$39,2,FALSE)</f>
      </c>
      <c r="F20" s="3">
        <v>100</v>
      </c>
      <c r="G20" s="4">
        <v>28.3</v>
      </c>
      <c r="H20" s="4">
        <f t="shared" si="0"/>
      </c>
      <c r="I20">
        <f>VLOOKUP(TablaObra5[[#This Row],[Obra]],Catalogos!$B$3:$C$8,2,FALSE)</f>
      </c>
    </row>
    <row r="21" spans="1:9">
      <c r="A21" s="2">
        <v>46181</v>
      </c>
      <c r="B21" t="s">
        <v>5</v>
      </c>
      <c r="C21" s="2">
        <v>46181</v>
      </c>
      <c r="D21" t="s">
        <v>156</v>
      </c>
      <c r="E21">
        <f>VLOOKUP(TablaObra5[[#This Row],[Equipo]],Catalogos!$I$4:$J$39,2,FALSE)</f>
      </c>
      <c r="F21" s="3">
        <v>100</v>
      </c>
      <c r="G21" s="4">
        <v>28.3</v>
      </c>
      <c r="H21" s="4">
        <f t="shared" si="0"/>
      </c>
      <c r="I21">
        <f>VLOOKUP(TablaObra5[[#This Row],[Obra]],Catalogos!$B$3:$C$8,2,FALSE)</f>
      </c>
    </row>
    <row r="22" spans="1:9">
      <c r="A22" s="2">
        <v>46181</v>
      </c>
      <c r="B22" t="s">
        <v>5</v>
      </c>
      <c r="C22" s="2">
        <v>46181</v>
      </c>
      <c r="D22" t="s">
        <v>172</v>
      </c>
      <c r="E22">
        <f>VLOOKUP(TablaObra5[[#This Row],[Equipo]],Catalogos!$I$4:$J$39,2,FALSE)</f>
      </c>
      <c r="F22" s="3">
        <v>20</v>
      </c>
      <c r="G22" s="4">
        <v>28.3</v>
      </c>
      <c r="H22" s="4">
        <f t="shared" si="0"/>
      </c>
      <c r="I22">
        <f>VLOOKUP(TablaObra5[[#This Row],[Obra]],Catalogos!$B$3:$C$8,2,FALSE)</f>
      </c>
    </row>
    <row r="23" spans="1:9">
      <c r="A23" s="2">
        <v>46181</v>
      </c>
      <c r="B23" t="s">
        <v>5</v>
      </c>
      <c r="C23" s="2">
        <v>46181</v>
      </c>
      <c r="D23" t="s">
        <v>158</v>
      </c>
      <c r="E23">
        <f>VLOOKUP(TablaObra5[[#This Row],[Equipo]],Catalogos!$I$4:$J$39,2,FALSE)</f>
      </c>
      <c r="F23" s="3">
        <v>50</v>
      </c>
      <c r="G23" s="4">
        <v>28.3</v>
      </c>
      <c r="H23" s="4">
        <f t="shared" si="0"/>
      </c>
      <c r="I23">
        <f>VLOOKUP(TablaObra5[[#This Row],[Obra]],Catalogos!$B$3:$C$8,2,FALSE)</f>
      </c>
    </row>
    <row r="24" spans="1:9">
      <c r="A24" s="2">
        <v>46181</v>
      </c>
      <c r="B24" t="s">
        <v>5</v>
      </c>
      <c r="C24" s="2">
        <v>46181</v>
      </c>
      <c r="D24" t="s">
        <v>160</v>
      </c>
      <c r="E24">
        <f>VLOOKUP(TablaObra5[[#This Row],[Equipo]],Catalogos!$I$4:$J$39,2,FALSE)</f>
      </c>
      <c r="F24" s="3">
        <v>50</v>
      </c>
      <c r="G24" s="4">
        <v>28.3</v>
      </c>
      <c r="H24" s="4">
        <f t="shared" si="0"/>
      </c>
      <c r="I24">
        <f>VLOOKUP(TablaObra5[[#This Row],[Obra]],Catalogos!$B$3:$C$8,2,FALSE)</f>
      </c>
    </row>
    <row r="25" spans="1:9">
      <c r="A25" s="2">
        <v>46181</v>
      </c>
      <c r="B25" t="s">
        <v>5</v>
      </c>
      <c r="C25" s="2">
        <v>46181</v>
      </c>
      <c r="D25" t="s">
        <v>162</v>
      </c>
      <c r="E25">
        <f>VLOOKUP(TablaObra5[[#This Row],[Equipo]],Catalogos!$I$4:$J$39,2,FALSE)</f>
      </c>
      <c r="F25" s="3">
        <v>50</v>
      </c>
      <c r="G25" s="4">
        <v>28.3</v>
      </c>
      <c r="H25" s="4">
        <f t="shared" si="0"/>
      </c>
      <c r="I25">
        <f>VLOOKUP(TablaObra5[[#This Row],[Obra]],Catalogos!$B$3:$C$8,2,FALSE)</f>
      </c>
    </row>
    <row r="26" spans="1:9">
      <c r="A26" s="2">
        <v>46181</v>
      </c>
      <c r="B26" t="s">
        <v>5</v>
      </c>
      <c r="C26" s="2">
        <v>46181</v>
      </c>
      <c r="D26" t="s">
        <v>164</v>
      </c>
      <c r="E26">
        <f>VLOOKUP(TablaObra5[[#This Row],[Equipo]],Catalogos!$I$4:$J$39,2,FALSE)</f>
      </c>
      <c r="F26" s="3">
        <v>20</v>
      </c>
      <c r="G26" s="4">
        <v>28.3</v>
      </c>
      <c r="H26" s="4">
        <f t="shared" si="0"/>
      </c>
      <c r="I26">
        <f>VLOOKUP(TablaObra5[[#This Row],[Obra]],Catalogos!$B$3:$C$8,2,FALSE)</f>
      </c>
    </row>
    <row r="27" spans="1:9">
      <c r="A27" s="2">
        <v>46181</v>
      </c>
      <c r="B27" t="s">
        <v>5</v>
      </c>
      <c r="C27" s="2">
        <v>46181</v>
      </c>
      <c r="D27" t="s">
        <v>166</v>
      </c>
      <c r="E27">
        <f>VLOOKUP(TablaObra5[[#This Row],[Equipo]],Catalogos!$I$4:$J$39,2,FALSE)</f>
      </c>
      <c r="F27" s="3">
        <v>50</v>
      </c>
      <c r="G27" s="4">
        <v>28.3</v>
      </c>
      <c r="H27" s="4">
        <f t="shared" si="0"/>
      </c>
      <c r="I27">
        <f>VLOOKUP(TablaObra5[[#This Row],[Obra]],Catalogos!$B$3:$C$8,2,FALSE)</f>
      </c>
    </row>
    <row r="28" spans="1:9">
      <c r="A28" s="2">
        <v>46181</v>
      </c>
      <c r="B28" t="s">
        <v>5</v>
      </c>
      <c r="C28" s="2">
        <v>46181</v>
      </c>
      <c r="D28" t="s">
        <v>168</v>
      </c>
      <c r="E28">
        <f>VLOOKUP(TablaObra5[[#This Row],[Equipo]],Catalogos!$I$4:$J$39,2,FALSE)</f>
      </c>
      <c r="F28" s="3">
        <v>40</v>
      </c>
      <c r="G28" s="4">
        <v>28.3</v>
      </c>
      <c r="H28" s="4">
        <f t="shared" si="0"/>
      </c>
      <c r="I28">
        <f>VLOOKUP(TablaObra5[[#This Row],[Obra]],Catalogos!$B$3:$C$8,2,FALSE)</f>
      </c>
    </row>
    <row r="29" spans="1:9">
      <c r="A29" s="2">
        <v>46181</v>
      </c>
      <c r="B29" t="s">
        <v>5</v>
      </c>
      <c r="C29" s="2">
        <v>46181</v>
      </c>
      <c r="D29" t="s">
        <v>170</v>
      </c>
      <c r="E29">
        <f>VLOOKUP(TablaObra5[[#This Row],[Equipo]],Catalogos!$I$4:$J$39,2,FALSE)</f>
      </c>
      <c r="F29" s="3">
        <v>10</v>
      </c>
      <c r="G29" s="4">
        <v>28.3</v>
      </c>
      <c r="H29" s="4">
        <f t="shared" si="0"/>
      </c>
      <c r="I29">
        <f>VLOOKUP(TablaObra5[[#This Row],[Obra]],Catalogos!$B$3:$C$8,2,FALSE)</f>
      </c>
    </row>
    <row r="30" spans="1:9">
      <c r="A30" s="2">
        <v>46182</v>
      </c>
      <c r="B30" t="s">
        <v>5</v>
      </c>
      <c r="C30" s="2">
        <v>46182</v>
      </c>
      <c r="D30" t="s">
        <v>145</v>
      </c>
      <c r="E30">
        <f>VLOOKUP(TablaObra5[[#This Row],[Equipo]],Catalogos!$I$4:$J$39,2,FALSE)</f>
      </c>
      <c r="F30" s="3">
        <v>250</v>
      </c>
      <c r="G30" s="4">
        <v>28.3</v>
      </c>
      <c r="H30" s="4">
        <f t="shared" si="0"/>
      </c>
      <c r="I30">
        <f>VLOOKUP(TablaObra5[[#This Row],[Obra]],Catalogos!$B$3:$C$8,2,FALSE)</f>
      </c>
    </row>
    <row r="31" spans="1:9">
      <c r="A31" s="2">
        <v>46182</v>
      </c>
      <c r="B31" t="s">
        <v>5</v>
      </c>
      <c r="C31" s="2">
        <v>46182</v>
      </c>
      <c r="D31" t="s">
        <v>149</v>
      </c>
      <c r="E31">
        <f>VLOOKUP(TablaObra5[[#This Row],[Equipo]],Catalogos!$I$4:$J$39,2,FALSE)</f>
      </c>
      <c r="F31" s="3">
        <v>40</v>
      </c>
      <c r="G31" s="4">
        <v>28.3</v>
      </c>
      <c r="H31" s="4">
        <f t="shared" si="0"/>
      </c>
      <c r="I31">
        <f>VLOOKUP(TablaObra5[[#This Row],[Obra]],Catalogos!$B$3:$C$8,2,FALSE)</f>
      </c>
    </row>
    <row r="32" spans="1:9">
      <c r="A32" s="2">
        <v>46182</v>
      </c>
      <c r="B32" t="s">
        <v>5</v>
      </c>
      <c r="C32" s="2">
        <v>46182</v>
      </c>
      <c r="D32" t="s">
        <v>151</v>
      </c>
      <c r="E32">
        <f>VLOOKUP(TablaObra5[[#This Row],[Equipo]],Catalogos!$I$4:$J$39,2,FALSE)</f>
      </c>
      <c r="F32" s="3">
        <v>60</v>
      </c>
      <c r="G32" s="4">
        <v>28.3</v>
      </c>
      <c r="H32" s="4">
        <f t="shared" si="0"/>
      </c>
      <c r="I32">
        <f>VLOOKUP(TablaObra5[[#This Row],[Obra]],Catalogos!$B$3:$C$8,2,FALSE)</f>
      </c>
    </row>
    <row r="33" spans="1:11">
      <c r="A33" s="2">
        <v>46182</v>
      </c>
      <c r="B33" t="s">
        <v>5</v>
      </c>
      <c r="C33" s="2">
        <v>46182</v>
      </c>
      <c r="D33" t="s">
        <v>153</v>
      </c>
      <c r="E33">
        <f>VLOOKUP(TablaObra5[[#This Row],[Equipo]],Catalogos!$I$4:$J$39,2,FALSE)</f>
      </c>
      <c r="F33" s="3">
        <v>100</v>
      </c>
      <c r="G33" s="4">
        <v>28.3</v>
      </c>
      <c r="H33" s="4">
        <f t="shared" si="0"/>
      </c>
      <c r="I33">
        <f>VLOOKUP(TablaObra5[[#This Row],[Obra]],Catalogos!$B$3:$C$8,2,FALSE)</f>
      </c>
    </row>
    <row r="34" spans="1:11">
      <c r="A34" s="2">
        <v>46182</v>
      </c>
      <c r="B34" t="s">
        <v>5</v>
      </c>
      <c r="C34" s="2">
        <v>46182</v>
      </c>
      <c r="D34" t="s">
        <v>156</v>
      </c>
      <c r="E34">
        <f>VLOOKUP(TablaObra5[[#This Row],[Equipo]],Catalogos!$I$4:$J$39,2,FALSE)</f>
      </c>
      <c r="F34" s="3">
        <v>100</v>
      </c>
      <c r="G34" s="4">
        <v>28.3</v>
      </c>
      <c r="H34" s="4">
        <f t="shared" si="0"/>
      </c>
      <c r="I34">
        <f>VLOOKUP(TablaObra5[[#This Row],[Obra]],Catalogos!$B$3:$C$8,2,FALSE)</f>
      </c>
    </row>
    <row r="35" spans="1:11">
      <c r="A35" s="2">
        <v>46182</v>
      </c>
      <c r="B35" t="s">
        <v>5</v>
      </c>
      <c r="C35" s="2">
        <v>46182</v>
      </c>
      <c r="D35" t="s">
        <v>172</v>
      </c>
      <c r="E35">
        <f>VLOOKUP(TablaObra5[[#This Row],[Equipo]],Catalogos!$I$4:$J$39,2,FALSE)</f>
      </c>
      <c r="F35" s="3">
        <v>20</v>
      </c>
      <c r="G35" s="4">
        <v>28.3</v>
      </c>
      <c r="H35" s="4">
        <f t="shared" si="0"/>
      </c>
      <c r="I35">
        <f>VLOOKUP(TablaObra5[[#This Row],[Obra]],Catalogos!$B$3:$C$8,2,FALSE)</f>
      </c>
    </row>
    <row r="36" spans="1:11">
      <c r="A36" s="2">
        <v>46182</v>
      </c>
      <c r="B36" t="s">
        <v>5</v>
      </c>
      <c r="C36" s="2">
        <v>46182</v>
      </c>
      <c r="D36" t="s">
        <v>158</v>
      </c>
      <c r="E36">
        <f>VLOOKUP(TablaObra5[[#This Row],[Equipo]],Catalogos!$I$4:$J$39,2,FALSE)</f>
      </c>
      <c r="F36" s="3">
        <v>50</v>
      </c>
      <c r="G36" s="4">
        <v>28.3</v>
      </c>
      <c r="H36" s="4">
        <f t="shared" si="0"/>
      </c>
      <c r="I36">
        <f>VLOOKUP(TablaObra5[[#This Row],[Obra]],Catalogos!$B$3:$C$8,2,FALSE)</f>
      </c>
    </row>
    <row r="37" spans="1:11">
      <c r="A37" s="2">
        <v>46182</v>
      </c>
      <c r="B37" t="s">
        <v>5</v>
      </c>
      <c r="C37" s="2">
        <v>46182</v>
      </c>
      <c r="D37" t="s">
        <v>160</v>
      </c>
      <c r="E37">
        <f>VLOOKUP(TablaObra5[[#This Row],[Equipo]],Catalogos!$I$4:$J$39,2,FALSE)</f>
      </c>
      <c r="F37" s="3">
        <v>50</v>
      </c>
      <c r="G37" s="4">
        <v>28.3</v>
      </c>
      <c r="H37" s="4">
        <f t="shared" si="0"/>
      </c>
      <c r="I37">
        <f>VLOOKUP(TablaObra5[[#This Row],[Obra]],Catalogos!$B$3:$C$8,2,FALSE)</f>
      </c>
    </row>
    <row r="38" spans="1:11">
      <c r="A38" s="2">
        <v>46182</v>
      </c>
      <c r="B38" t="s">
        <v>5</v>
      </c>
      <c r="C38" s="2">
        <v>46182</v>
      </c>
      <c r="D38" t="s">
        <v>162</v>
      </c>
      <c r="E38">
        <f>VLOOKUP(TablaObra5[[#This Row],[Equipo]],Catalogos!$I$4:$J$39,2,FALSE)</f>
      </c>
      <c r="F38" s="3">
        <v>50</v>
      </c>
      <c r="G38" s="4">
        <v>28.3</v>
      </c>
      <c r="H38" s="4">
        <f t="shared" si="0"/>
      </c>
      <c r="I38">
        <f>VLOOKUP(TablaObra5[[#This Row],[Obra]],Catalogos!$B$3:$C$8,2,FALSE)</f>
      </c>
    </row>
    <row r="39" spans="1:11">
      <c r="A39" s="2">
        <v>46182</v>
      </c>
      <c r="B39" t="s">
        <v>5</v>
      </c>
      <c r="C39" s="2">
        <v>46182</v>
      </c>
      <c r="D39" t="s">
        <v>166</v>
      </c>
      <c r="E39">
        <f>VLOOKUP(TablaObra5[[#This Row],[Equipo]],Catalogos!$I$4:$J$39,2,FALSE)</f>
      </c>
      <c r="F39" s="3">
        <v>40</v>
      </c>
      <c r="G39" s="4">
        <v>28.3</v>
      </c>
      <c r="H39" s="4">
        <f t="shared" si="0"/>
      </c>
      <c r="I39">
        <f>VLOOKUP(TablaObra5[[#This Row],[Obra]],Catalogos!$B$3:$C$8,2,FALSE)</f>
      </c>
    </row>
    <row r="40" spans="1:11">
      <c r="A40" s="2">
        <v>46182</v>
      </c>
      <c r="B40" t="s">
        <v>5</v>
      </c>
      <c r="C40" s="2">
        <v>46182</v>
      </c>
      <c r="D40" t="s">
        <v>168</v>
      </c>
      <c r="E40">
        <f>VLOOKUP(TablaObra5[[#This Row],[Equipo]],Catalogos!$I$4:$J$39,2,FALSE)</f>
      </c>
      <c r="F40" s="3">
        <v>30</v>
      </c>
      <c r="G40" s="4">
        <v>28.3</v>
      </c>
      <c r="H40" s="4">
        <f t="shared" si="0"/>
      </c>
      <c r="I40">
        <f>VLOOKUP(TablaObra5[[#This Row],[Obra]],Catalogos!$B$3:$C$8,2,FALSE)</f>
      </c>
    </row>
    <row r="41" spans="1:11">
      <c r="A41" s="2">
        <v>46182</v>
      </c>
      <c r="B41" t="s">
        <v>4</v>
      </c>
      <c r="C41" s="2">
        <v>46182</v>
      </c>
      <c r="D41" t="s">
        <v>81</v>
      </c>
      <c r="E41">
        <f>VLOOKUP(TablaObra5[[#This Row],[Equipo]],Catalogos!$I$4:$J$39,2,FALSE)</f>
      </c>
      <c r="F41" s="3">
        <v>50</v>
      </c>
      <c r="G41" s="4">
        <v>28.3</v>
      </c>
      <c r="H41" s="4">
        <f t="shared" si="0"/>
      </c>
      <c r="I41">
        <f>VLOOKUP(TablaObra5[[#This Row],[Obra]],Catalogos!$B$3:$C$8,2,FALSE)</f>
      </c>
      <c r="K41" t="s">
        <v>176</v>
      </c>
    </row>
    <row r="42" spans="1:11">
      <c r="A42" s="2">
        <v>46182</v>
      </c>
      <c r="B42" t="s">
        <v>4</v>
      </c>
      <c r="C42" s="2">
        <v>46182</v>
      </c>
      <c r="D42" t="s">
        <v>155</v>
      </c>
      <c r="E42">
        <f>VLOOKUP(TablaObra5[[#This Row],[Equipo]],Catalogos!$I$4:$J$39,2,FALSE)</f>
      </c>
      <c r="F42" s="3">
        <v>50</v>
      </c>
      <c r="G42" s="4">
        <v>28.3</v>
      </c>
      <c r="H42" s="4">
        <f t="shared" si="0"/>
      </c>
      <c r="I42">
        <f>VLOOKUP(TablaObra5[[#This Row],[Obra]],Catalogos!$B$3:$C$8,2,FALSE)</f>
      </c>
    </row>
    <row r="43" spans="1:11">
      <c r="A43" s="2">
        <v>46182</v>
      </c>
      <c r="B43" t="s">
        <v>4</v>
      </c>
      <c r="C43" s="2">
        <v>46182</v>
      </c>
      <c r="D43" t="s">
        <v>86</v>
      </c>
      <c r="E43">
        <f>VLOOKUP(TablaObra5[[#This Row],[Equipo]],Catalogos!$I$4:$J$39,2,FALSE)</f>
      </c>
      <c r="F43" s="3">
        <v>60</v>
      </c>
      <c r="G43" s="4">
        <v>28.3</v>
      </c>
      <c r="H43" s="4">
        <f t="shared" si="0"/>
      </c>
      <c r="I43">
        <f>VLOOKUP(TablaObra5[[#This Row],[Obra]],Catalogos!$B$3:$C$8,2,FALSE)</f>
      </c>
    </row>
    <row r="44" spans="1:11">
      <c r="A44" s="2">
        <v>46182</v>
      </c>
      <c r="B44" t="s">
        <v>4</v>
      </c>
      <c r="C44" s="2">
        <v>46182</v>
      </c>
      <c r="D44" t="s">
        <v>174</v>
      </c>
      <c r="E44">
        <f>VLOOKUP(TablaObra5[[#This Row],[Equipo]],Catalogos!$I$4:$J$39,2,FALSE)</f>
      </c>
      <c r="F44" s="3">
        <v>50</v>
      </c>
      <c r="G44" s="4">
        <v>28.3</v>
      </c>
      <c r="H44" s="4">
        <f t="shared" si="0"/>
      </c>
      <c r="I44">
        <f>VLOOKUP(TablaObra5[[#This Row],[Obra]],Catalogos!$B$3:$C$8,2,FALSE)</f>
      </c>
    </row>
    <row r="45" spans="1:11">
      <c r="A45" s="2">
        <v>46182</v>
      </c>
      <c r="B45" t="s">
        <v>183</v>
      </c>
      <c r="C45" s="2"/>
      <c r="D45" t="s">
        <v>81</v>
      </c>
      <c r="E45">
        <f>VLOOKUP(TablaObra5[[#This Row],[Equipo]],Catalogos!$I$4:$J$39,2,FALSE)</f>
      </c>
      <c r="F45" s="3">
        <v>100</v>
      </c>
      <c r="G45" s="4">
        <v>28.3</v>
      </c>
      <c r="H45" s="4">
        <f>IFERROR(F45*G45,0)</f>
      </c>
      <c r="I45">
        <f>VLOOKUP(TablaObra5[[#This Row],[Obra]],Catalogos!$B$3:$C$8,2,FALSE)</f>
      </c>
    </row>
    <row r="46" spans="1:11">
      <c r="A46" s="2">
        <v>46183</v>
      </c>
      <c r="B46" t="s">
        <v>3</v>
      </c>
      <c r="C46" s="2">
        <v>46183</v>
      </c>
      <c r="D46" t="s">
        <v>138</v>
      </c>
      <c r="E46">
        <f>VLOOKUP(TablaObra5[[#This Row],[Equipo]],Catalogos!$I$4:$J$39,2,FALSE)</f>
      </c>
      <c r="F46" s="3">
        <v>250</v>
      </c>
      <c r="G46" s="4">
        <v>28.3</v>
      </c>
      <c r="H46" s="4">
        <f t="shared" si="0"/>
      </c>
      <c r="I46">
        <f>VLOOKUP(TablaObra5[[#This Row],[Obra]],Catalogos!$B$3:$C$8,2,FALSE)</f>
      </c>
    </row>
    <row r="47" spans="1:11">
      <c r="A47" s="2">
        <v>46183</v>
      </c>
      <c r="B47" t="s">
        <v>3</v>
      </c>
      <c r="C47" s="2">
        <v>46183</v>
      </c>
      <c r="D47" t="s">
        <v>81</v>
      </c>
      <c r="E47">
        <f>VLOOKUP(TablaObra5[[#This Row],[Equipo]],Catalogos!$I$4:$J$39,2,FALSE)</f>
      </c>
      <c r="F47" s="3">
        <v>30</v>
      </c>
      <c r="G47" s="4">
        <v>28.3</v>
      </c>
      <c r="H47" s="4">
        <f t="shared" si="0"/>
      </c>
      <c r="I47">
        <f>VLOOKUP(TablaObra5[[#This Row],[Obra]],Catalogos!$B$3:$C$8,2,FALSE)</f>
      </c>
    </row>
    <row r="48" spans="1:11">
      <c r="A48" s="2">
        <v>46183</v>
      </c>
      <c r="B48" t="s">
        <v>3</v>
      </c>
      <c r="C48" s="2">
        <v>46183</v>
      </c>
      <c r="D48" t="s">
        <v>139</v>
      </c>
      <c r="E48">
        <f>VLOOKUP(TablaObra5[[#This Row],[Equipo]],Catalogos!$I$4:$J$39,2,FALSE)</f>
      </c>
      <c r="F48" s="3">
        <v>20</v>
      </c>
      <c r="G48" s="4">
        <v>28.3</v>
      </c>
      <c r="H48" s="4">
        <f t="shared" si="0"/>
      </c>
      <c r="I48">
        <f>VLOOKUP(TablaObra5[[#This Row],[Obra]],Catalogos!$B$3:$C$8,2,FALSE)</f>
      </c>
    </row>
    <row r="49" spans="1:11">
      <c r="A49" s="2">
        <v>46183</v>
      </c>
      <c r="B49" t="s">
        <v>3</v>
      </c>
      <c r="C49" s="2">
        <v>46183</v>
      </c>
      <c r="D49" t="s">
        <v>166</v>
      </c>
      <c r="E49">
        <f>VLOOKUP(TablaObra5[[#This Row],[Equipo]],Catalogos!$I$4:$J$39,2,FALSE)</f>
      </c>
      <c r="F49" s="3">
        <v>20</v>
      </c>
      <c r="G49" s="4">
        <v>28.3</v>
      </c>
      <c r="H49" s="4">
        <f t="shared" si="0"/>
      </c>
      <c r="I49">
        <f>VLOOKUP(TablaObra5[[#This Row],[Obra]],Catalogos!$B$3:$C$8,2,FALSE)</f>
      </c>
    </row>
    <row r="50" spans="1:11">
      <c r="A50" s="2">
        <v>46184</v>
      </c>
      <c r="B50" t="s">
        <v>4</v>
      </c>
      <c r="C50" s="2">
        <v>46184</v>
      </c>
      <c r="D50" t="s">
        <v>86</v>
      </c>
      <c r="E50">
        <f>VLOOKUP(TablaObra5[[#This Row],[Equipo]],Catalogos!$I$4:$J$39,2,FALSE)</f>
      </c>
      <c r="F50" s="3">
        <v>80</v>
      </c>
      <c r="G50" s="4">
        <v>28.3</v>
      </c>
      <c r="H50" s="4">
        <f t="shared" si="0"/>
      </c>
      <c r="I50">
        <f>VLOOKUP(TablaObra5[[#This Row],[Obra]],Catalogos!$B$3:$C$8,2,FALSE)</f>
      </c>
    </row>
    <row r="51" spans="1:11">
      <c r="A51" s="2">
        <v>46184</v>
      </c>
      <c r="B51" t="s">
        <v>4</v>
      </c>
      <c r="C51" s="2">
        <v>46184</v>
      </c>
      <c r="D51" t="s">
        <v>164</v>
      </c>
      <c r="E51">
        <f>VLOOKUP(TablaObra5[[#This Row],[Equipo]],Catalogos!$I$4:$J$39,2,FALSE)</f>
      </c>
      <c r="F51" s="3">
        <v>80</v>
      </c>
      <c r="G51" s="4">
        <v>28.3</v>
      </c>
      <c r="H51" s="4">
        <f t="shared" si="0"/>
      </c>
      <c r="I51">
        <f>VLOOKUP(TablaObra5[[#This Row],[Obra]],Catalogos!$B$3:$C$8,2,FALSE)</f>
      </c>
    </row>
    <row r="52" spans="1:11">
      <c r="A52" s="2">
        <v>46184</v>
      </c>
      <c r="B52" t="s">
        <v>4</v>
      </c>
      <c r="C52" s="2">
        <v>46184</v>
      </c>
      <c r="D52" t="s">
        <v>81</v>
      </c>
      <c r="E52">
        <f>VLOOKUP(TablaObra5[[#This Row],[Equipo]],Catalogos!$I$4:$J$39,2,FALSE)</f>
      </c>
      <c r="F52" s="3">
        <v>70</v>
      </c>
      <c r="G52" s="4">
        <v>28.3</v>
      </c>
      <c r="H52" s="4">
        <f t="shared" si="0"/>
      </c>
      <c r="I52">
        <f>VLOOKUP(TablaObra5[[#This Row],[Obra]],Catalogos!$B$3:$C$8,2,FALSE)</f>
      </c>
    </row>
    <row r="53" spans="1:11">
      <c r="A53" s="2">
        <v>46184</v>
      </c>
      <c r="B53" t="s">
        <v>4</v>
      </c>
      <c r="C53" s="2">
        <v>46184</v>
      </c>
      <c r="D53" t="s">
        <v>174</v>
      </c>
      <c r="E53">
        <f>VLOOKUP(TablaObra5[[#This Row],[Equipo]],Catalogos!$I$4:$J$39,2,FALSE)</f>
      </c>
      <c r="F53" s="3">
        <v>40</v>
      </c>
      <c r="G53" s="4">
        <v>28.3</v>
      </c>
      <c r="H53" s="4">
        <f t="shared" si="0"/>
      </c>
      <c r="I53">
        <f>VLOOKUP(TablaObra5[[#This Row],[Obra]],Catalogos!$B$3:$C$8,2,FALSE)</f>
      </c>
    </row>
    <row r="54" spans="1:11">
      <c r="A54" s="2">
        <v>46184</v>
      </c>
      <c r="B54" t="s">
        <v>4</v>
      </c>
      <c r="C54" s="2">
        <v>46184</v>
      </c>
      <c r="D54" t="s">
        <v>134</v>
      </c>
      <c r="E54">
        <f>VLOOKUP(TablaObra5[[#This Row],[Equipo]],Catalogos!$I$4:$J$39,2,FALSE)</f>
      </c>
      <c r="F54" s="3">
        <v>150</v>
      </c>
      <c r="G54" s="4">
        <v>28.3</v>
      </c>
      <c r="H54" s="4">
        <f t="shared" si="0"/>
      </c>
      <c r="I54">
        <f>VLOOKUP(TablaObra5[[#This Row],[Obra]],Catalogos!$B$3:$C$8,2,FALSE)</f>
      </c>
    </row>
    <row r="55" spans="1:11">
      <c r="A55" s="2">
        <v>46184</v>
      </c>
      <c r="B55" t="s">
        <v>4</v>
      </c>
      <c r="C55" s="2">
        <v>46184</v>
      </c>
      <c r="D55" t="s">
        <v>172</v>
      </c>
      <c r="E55">
        <f>VLOOKUP(TablaObra5[[#This Row],[Equipo]],Catalogos!$I$4:$J$39,2,FALSE)</f>
      </c>
      <c r="F55" s="3">
        <v>30</v>
      </c>
      <c r="G55" s="4">
        <v>28.3</v>
      </c>
      <c r="H55" s="4">
        <f t="shared" si="0"/>
      </c>
      <c r="I55">
        <f>VLOOKUP(TablaObra5[[#This Row],[Obra]],Catalogos!$B$3:$C$8,2,FALSE)</f>
      </c>
    </row>
    <row r="56" spans="1:11">
      <c r="A56" s="2">
        <v>46184</v>
      </c>
      <c r="B56" t="s">
        <v>4</v>
      </c>
      <c r="C56" s="2">
        <v>46184</v>
      </c>
      <c r="D56" t="s">
        <v>170</v>
      </c>
      <c r="E56">
        <f>VLOOKUP(TablaObra5[[#This Row],[Equipo]],Catalogos!$I$4:$J$39,2,FALSE)</f>
      </c>
      <c r="F56" s="3">
        <v>10</v>
      </c>
      <c r="G56" s="4">
        <v>28.3</v>
      </c>
      <c r="H56" s="4">
        <f t="shared" si="0"/>
      </c>
      <c r="I56">
        <f>VLOOKUP(TablaObra5[[#This Row],[Obra]],Catalogos!$B$3:$C$8,2,FALSE)</f>
      </c>
    </row>
    <row r="57" spans="1:11">
      <c r="A57" s="2">
        <v>46184</v>
      </c>
      <c r="B57" t="s">
        <v>183</v>
      </c>
      <c r="C57" s="2"/>
      <c r="D57" t="s">
        <v>81</v>
      </c>
      <c r="E57">
        <f>VLOOKUP(TablaObra5[[#This Row],[Equipo]],Catalogos!$I$4:$J$39,2,FALSE)</f>
      </c>
      <c r="F57" s="3">
        <v>50</v>
      </c>
      <c r="G57" s="4">
        <v>28.3</v>
      </c>
      <c r="H57" s="4">
        <f t="shared" si="0"/>
      </c>
      <c r="I57">
        <f>VLOOKUP(TablaObra5[[#This Row],[Obra]],Catalogos!$B$3:$C$8,2,FALSE)</f>
      </c>
      <c r="K57" t="s">
        <v>181</v>
      </c>
    </row>
    <row r="58" spans="1:11">
      <c r="A58" s="2">
        <v>46184</v>
      </c>
      <c r="B58" t="s">
        <v>183</v>
      </c>
      <c r="D58" t="s">
        <v>82</v>
      </c>
      <c r="E58">
        <f>VLOOKUP(TablaObra5[[#This Row],[Equipo]],Catalogos!$I$4:$J$39,2,FALSE)</f>
      </c>
      <c r="F58" s="3">
        <v>10</v>
      </c>
      <c r="G58" s="4">
        <v>28.3</v>
      </c>
      <c r="H58" s="4">
        <f t="shared" si="0"/>
      </c>
      <c r="I58">
        <f>VLOOKUP(TablaObra5[[#This Row],[Obra]],Catalogos!$B$3:$C$8,2,FALSE)</f>
      </c>
      <c r="K58" t="s">
        <v>181</v>
      </c>
    </row>
    <row r="59" spans="1:11">
      <c r="A59" s="2">
        <v>46184</v>
      </c>
      <c r="B59" t="s">
        <v>183</v>
      </c>
      <c r="D59" t="s">
        <v>172</v>
      </c>
      <c r="E59">
        <f>VLOOKUP(TablaObra5[[#This Row],[Equipo]],Catalogos!$I$4:$J$39,2,FALSE)</f>
      </c>
      <c r="F59" s="3">
        <v>10</v>
      </c>
      <c r="G59" s="4">
        <v>28.3</v>
      </c>
      <c r="H59" s="4">
        <f t="shared" si="0"/>
      </c>
      <c r="I59">
        <f>VLOOKUP(TablaObra5[[#This Row],[Obra]],Catalogos!$B$3:$C$8,2,FALSE)</f>
      </c>
      <c r="K59" t="s">
        <v>181</v>
      </c>
    </row>
    <row r="60" spans="1:11">
      <c r="A60" s="2">
        <v>46185</v>
      </c>
      <c r="B60" t="s">
        <v>3</v>
      </c>
      <c r="C60" s="2">
        <v>46185</v>
      </c>
      <c r="D60" t="s">
        <v>138</v>
      </c>
      <c r="E60">
        <f>VLOOKUP(TablaObra5[[#This Row],[Equipo]],Catalogos!$I$4:$J$39,2,FALSE)</f>
      </c>
      <c r="F60" s="3">
        <v>250</v>
      </c>
      <c r="G60" s="4">
        <v>28.3</v>
      </c>
      <c r="H60" s="4">
        <f t="shared" si="0"/>
      </c>
      <c r="I60">
        <f>VLOOKUP(TablaObra5[[#This Row],[Obra]],Catalogos!$B$3:$C$8,2,FALSE)</f>
      </c>
    </row>
    <row r="61" spans="1:11">
      <c r="A61" s="2">
        <v>46185</v>
      </c>
      <c r="B61" t="s">
        <v>3</v>
      </c>
      <c r="C61" s="2">
        <v>46185</v>
      </c>
      <c r="D61" t="s">
        <v>134</v>
      </c>
      <c r="E61">
        <f>VLOOKUP(TablaObra5[[#This Row],[Equipo]],Catalogos!$I$4:$J$39,2,FALSE)</f>
      </c>
      <c r="F61" s="3">
        <v>150</v>
      </c>
      <c r="G61" s="4">
        <v>28.3</v>
      </c>
      <c r="H61" s="4">
        <f t="shared" si="0"/>
      </c>
      <c r="I61">
        <f>VLOOKUP(TablaObra5[[#This Row],[Obra]],Catalogos!$B$3:$C$8,2,FALSE)</f>
      </c>
    </row>
    <row r="62" spans="1:11">
      <c r="A62" s="2">
        <v>46185</v>
      </c>
      <c r="B62" t="s">
        <v>3</v>
      </c>
      <c r="C62" s="2">
        <v>46185</v>
      </c>
      <c r="D62" t="s">
        <v>72</v>
      </c>
      <c r="E62">
        <f>VLOOKUP(TablaObra5[[#This Row],[Equipo]],Catalogos!$I$4:$J$39,2,FALSE)</f>
      </c>
      <c r="F62" s="3">
        <v>40</v>
      </c>
      <c r="G62" s="4">
        <v>28.3</v>
      </c>
      <c r="H62" s="4">
        <f t="shared" si="0"/>
      </c>
      <c r="I62">
        <f>VLOOKUP(TablaObra5[[#This Row],[Obra]],Catalogos!$B$3:$C$8,2,FALSE)</f>
      </c>
    </row>
    <row r="63" spans="1:11">
      <c r="A63" s="2">
        <v>46185</v>
      </c>
      <c r="B63" t="s">
        <v>3</v>
      </c>
      <c r="C63" s="2">
        <v>46185</v>
      </c>
      <c r="D63" t="s">
        <v>155</v>
      </c>
      <c r="E63">
        <f>VLOOKUP(TablaObra5[[#This Row],[Equipo]],Catalogos!$I$4:$J$39,2,FALSE)</f>
      </c>
      <c r="F63" s="3">
        <v>30</v>
      </c>
      <c r="G63" s="4">
        <v>28.3</v>
      </c>
      <c r="H63" s="4">
        <f t="shared" si="0"/>
      </c>
      <c r="I63">
        <f>VLOOKUP(TablaObra5[[#This Row],[Obra]],Catalogos!$B$3:$C$8,2,FALSE)</f>
      </c>
    </row>
    <row r="64" spans="1:11">
      <c r="A64" s="2">
        <v>46185</v>
      </c>
      <c r="B64" t="s">
        <v>3</v>
      </c>
      <c r="C64" s="2">
        <v>46185</v>
      </c>
      <c r="D64" t="s">
        <v>81</v>
      </c>
      <c r="E64">
        <f>VLOOKUP(TablaObra5[[#This Row],[Equipo]],Catalogos!$I$4:$J$39,2,FALSE)</f>
      </c>
      <c r="F64" s="3">
        <v>30</v>
      </c>
      <c r="G64" s="4">
        <v>28.3</v>
      </c>
      <c r="H64" s="4">
        <f t="shared" si="0"/>
      </c>
      <c r="I64">
        <f>VLOOKUP(TablaObra5[[#This Row],[Obra]],Catalogos!$B$3:$C$8,2,FALSE)</f>
      </c>
    </row>
    <row r="65" spans="1:9">
      <c r="A65" s="2">
        <v>46185</v>
      </c>
      <c r="B65" t="s">
        <v>3</v>
      </c>
      <c r="C65" s="2">
        <v>46185</v>
      </c>
      <c r="D65" t="s">
        <v>139</v>
      </c>
      <c r="E65">
        <f>VLOOKUP(TablaObra5[[#This Row],[Equipo]],Catalogos!$I$4:$J$39,2,FALSE)</f>
      </c>
      <c r="F65" s="3">
        <v>20</v>
      </c>
      <c r="G65" s="4">
        <v>28.3</v>
      </c>
      <c r="H65" s="4">
        <f t="shared" si="0"/>
      </c>
      <c r="I65">
        <f>VLOOKUP(TablaObra5[[#This Row],[Obra]],Catalogos!$B$3:$C$8,2,FALSE)</f>
      </c>
    </row>
    <row r="66" spans="1:9">
      <c r="A66" s="2">
        <v>46185</v>
      </c>
      <c r="B66" t="s">
        <v>3</v>
      </c>
      <c r="C66" s="2">
        <v>46185</v>
      </c>
      <c r="D66" t="s">
        <v>166</v>
      </c>
      <c r="E66">
        <f>VLOOKUP(TablaObra5[[#This Row],[Equipo]],Catalogos!$I$4:$J$39,2,FALSE)</f>
      </c>
      <c r="F66" s="3">
        <v>20</v>
      </c>
      <c r="G66" s="4">
        <v>28.3</v>
      </c>
      <c r="H66" s="4">
        <f t="shared" si="0"/>
      </c>
      <c r="I66">
        <f>VLOOKUP(TablaObra5[[#This Row],[Obra]],Catalogos!$B$3:$C$8,2,FALSE)</f>
      </c>
    </row>
    <row r="67" spans="1:9">
      <c r="A67" s="2">
        <v>46185</v>
      </c>
      <c r="B67" t="s">
        <v>5</v>
      </c>
      <c r="C67" s="2">
        <v>46185</v>
      </c>
      <c r="D67" t="s">
        <v>145</v>
      </c>
      <c r="E67">
        <f>VLOOKUP(TablaObra5[[#This Row],[Equipo]],Catalogos!$I$4:$J$39,2,FALSE)</f>
      </c>
      <c r="F67" s="3">
        <v>250</v>
      </c>
      <c r="G67" s="4">
        <v>28.3</v>
      </c>
      <c r="H67" s="4">
        <f t="shared" si="0"/>
      </c>
      <c r="I67">
        <f>VLOOKUP(TablaObra5[[#This Row],[Obra]],Catalogos!$B$3:$C$8,2,FALSE)</f>
      </c>
    </row>
    <row r="68" spans="1:9">
      <c r="A68" s="2">
        <v>46185</v>
      </c>
      <c r="B68" t="s">
        <v>5</v>
      </c>
      <c r="C68" s="2">
        <v>46185</v>
      </c>
      <c r="D68" t="s">
        <v>149</v>
      </c>
      <c r="E68">
        <f>VLOOKUP(TablaObra5[[#This Row],[Equipo]],Catalogos!$I$4:$J$39,2,FALSE)</f>
      </c>
      <c r="F68" s="3">
        <v>40</v>
      </c>
      <c r="G68" s="4">
        <v>28.3</v>
      </c>
      <c r="H68" s="4">
        <f t="shared" si="0"/>
      </c>
      <c r="I68">
        <f>VLOOKUP(TablaObra5[[#This Row],[Obra]],Catalogos!$B$3:$C$8,2,FALSE)</f>
      </c>
    </row>
    <row r="69" spans="1:9">
      <c r="A69" s="2">
        <v>46185</v>
      </c>
      <c r="B69" t="s">
        <v>5</v>
      </c>
      <c r="C69" s="2">
        <v>46185</v>
      </c>
      <c r="D69" t="s">
        <v>151</v>
      </c>
      <c r="E69">
        <f>VLOOKUP(TablaObra5[[#This Row],[Equipo]],Catalogos!$I$4:$J$39,2,FALSE)</f>
      </c>
      <c r="F69" s="3">
        <v>60</v>
      </c>
      <c r="G69" s="4">
        <v>28.3</v>
      </c>
      <c r="H69" s="4">
        <f t="shared" si="0"/>
      </c>
      <c r="I69">
        <f>VLOOKUP(TablaObra5[[#This Row],[Obra]],Catalogos!$B$3:$C$8,2,FALSE)</f>
      </c>
    </row>
    <row r="70" spans="1:9">
      <c r="A70" s="2">
        <v>46185</v>
      </c>
      <c r="B70" t="s">
        <v>5</v>
      </c>
      <c r="C70" s="2">
        <v>46185</v>
      </c>
      <c r="D70" t="s">
        <v>156</v>
      </c>
      <c r="E70">
        <f>VLOOKUP(TablaObra5[[#This Row],[Equipo]],Catalogos!$I$4:$J$39,2,FALSE)</f>
      </c>
      <c r="F70" s="3">
        <v>100</v>
      </c>
      <c r="G70" s="4">
        <v>28.3</v>
      </c>
      <c r="H70" s="4">
        <f t="shared" si="0"/>
      </c>
      <c r="I70">
        <f>VLOOKUP(TablaObra5[[#This Row],[Obra]],Catalogos!$B$3:$C$8,2,FALSE)</f>
      </c>
    </row>
    <row r="71" spans="1:9">
      <c r="A71" s="2">
        <v>46185</v>
      </c>
      <c r="B71" t="s">
        <v>5</v>
      </c>
      <c r="C71" s="2">
        <v>46185</v>
      </c>
      <c r="D71" t="s">
        <v>172</v>
      </c>
      <c r="E71">
        <f>VLOOKUP(TablaObra5[[#This Row],[Equipo]],Catalogos!$I$4:$J$39,2,FALSE)</f>
      </c>
      <c r="F71" s="3">
        <v>20</v>
      </c>
      <c r="G71" s="4">
        <v>28.3</v>
      </c>
      <c r="H71" s="4">
        <f t="shared" ref="H71:H134" si="1">IFERROR(F71*G71,0)</f>
      </c>
      <c r="I71">
        <f>VLOOKUP(TablaObra5[[#This Row],[Obra]],Catalogos!$B$3:$C$8,2,FALSE)</f>
      </c>
    </row>
    <row r="72" spans="1:9">
      <c r="A72" s="2">
        <v>46185</v>
      </c>
      <c r="B72" t="s">
        <v>5</v>
      </c>
      <c r="C72" s="2">
        <v>46185</v>
      </c>
      <c r="D72" t="s">
        <v>158</v>
      </c>
      <c r="E72">
        <f>VLOOKUP(TablaObra5[[#This Row],[Equipo]],Catalogos!$I$4:$J$39,2,FALSE)</f>
      </c>
      <c r="F72" s="3">
        <v>50</v>
      </c>
      <c r="G72" s="4">
        <v>28.3</v>
      </c>
      <c r="H72" s="4">
        <f t="shared" si="1"/>
      </c>
      <c r="I72">
        <f>VLOOKUP(TablaObra5[[#This Row],[Obra]],Catalogos!$B$3:$C$8,2,FALSE)</f>
      </c>
    </row>
    <row r="73" spans="1:9">
      <c r="A73" s="2">
        <v>46185</v>
      </c>
      <c r="B73" t="s">
        <v>5</v>
      </c>
      <c r="C73" s="2">
        <v>46185</v>
      </c>
      <c r="D73" t="s">
        <v>160</v>
      </c>
      <c r="E73">
        <f>VLOOKUP(TablaObra5[[#This Row],[Equipo]],Catalogos!$I$4:$J$39,2,FALSE)</f>
      </c>
      <c r="F73" s="3">
        <v>50</v>
      </c>
      <c r="G73" s="4">
        <v>28.3</v>
      </c>
      <c r="H73" s="4">
        <f t="shared" si="1"/>
      </c>
      <c r="I73">
        <f>VLOOKUP(TablaObra5[[#This Row],[Obra]],Catalogos!$B$3:$C$8,2,FALSE)</f>
      </c>
    </row>
    <row r="74" spans="1:9">
      <c r="A74" s="2">
        <v>46185</v>
      </c>
      <c r="B74" t="s">
        <v>5</v>
      </c>
      <c r="C74" s="2">
        <v>46185</v>
      </c>
      <c r="D74" t="s">
        <v>162</v>
      </c>
      <c r="E74">
        <f>VLOOKUP(TablaObra5[[#This Row],[Equipo]],Catalogos!$I$4:$J$39,2,FALSE)</f>
      </c>
      <c r="F74" s="3">
        <v>50</v>
      </c>
      <c r="G74" s="4">
        <v>28.3</v>
      </c>
      <c r="H74" s="4">
        <f t="shared" si="1"/>
      </c>
      <c r="I74">
        <f>VLOOKUP(TablaObra5[[#This Row],[Obra]],Catalogos!$B$3:$C$8,2,FALSE)</f>
      </c>
    </row>
    <row r="75" spans="1:9">
      <c r="A75" s="2">
        <v>46187</v>
      </c>
      <c r="B75" t="s">
        <v>3</v>
      </c>
      <c r="C75" s="2">
        <v>46188</v>
      </c>
      <c r="D75" t="s">
        <v>145</v>
      </c>
      <c r="E75">
        <f>VLOOKUP(TablaObra5[[#This Row],[Equipo]],Catalogos!$I$4:$J$39,2,FALSE)</f>
      </c>
      <c r="F75" s="3">
        <v>250</v>
      </c>
      <c r="G75" s="4">
        <v>28.3</v>
      </c>
      <c r="H75" s="4">
        <f t="shared" si="1"/>
      </c>
      <c r="I75">
        <f>VLOOKUP(TablaObra5[[#This Row],[Obra]],Catalogos!$B$3:$C$8,2,FALSE)</f>
      </c>
    </row>
    <row r="76" spans="1:9">
      <c r="A76" s="2">
        <v>46187</v>
      </c>
      <c r="B76" t="s">
        <v>3</v>
      </c>
      <c r="C76" s="2">
        <v>46188</v>
      </c>
      <c r="D76" t="s">
        <v>156</v>
      </c>
      <c r="E76">
        <f>VLOOKUP(TablaObra5[[#This Row],[Equipo]],Catalogos!$I$4:$J$39,2,FALSE)</f>
      </c>
      <c r="F76" s="3">
        <v>100</v>
      </c>
      <c r="G76" s="4">
        <v>28.3</v>
      </c>
      <c r="H76" s="4">
        <f t="shared" si="1"/>
      </c>
      <c r="I76">
        <f>VLOOKUP(TablaObra5[[#This Row],[Obra]],Catalogos!$B$3:$C$8,2,FALSE)</f>
      </c>
    </row>
    <row r="77" spans="1:9">
      <c r="A77" s="2">
        <v>46187</v>
      </c>
      <c r="B77" t="s">
        <v>3</v>
      </c>
      <c r="C77" s="2">
        <v>46188</v>
      </c>
      <c r="D77" t="s">
        <v>158</v>
      </c>
      <c r="E77">
        <f>VLOOKUP(TablaObra5[[#This Row],[Equipo]],Catalogos!$I$4:$J$39,2,FALSE)</f>
      </c>
      <c r="F77" s="3">
        <v>50</v>
      </c>
      <c r="G77" s="4">
        <v>28.3</v>
      </c>
      <c r="H77" s="4">
        <f t="shared" si="1"/>
      </c>
      <c r="I77">
        <f>VLOOKUP(TablaObra5[[#This Row],[Obra]],Catalogos!$B$3:$C$8,2,FALSE)</f>
      </c>
    </row>
    <row r="78" spans="1:9">
      <c r="A78" s="2">
        <v>46187</v>
      </c>
      <c r="B78" t="s">
        <v>3</v>
      </c>
      <c r="C78" s="2">
        <v>46188</v>
      </c>
      <c r="D78" t="s">
        <v>172</v>
      </c>
      <c r="E78">
        <f>VLOOKUP(TablaObra5[[#This Row],[Equipo]],Catalogos!$I$4:$J$39,2,FALSE)</f>
      </c>
      <c r="F78" s="3">
        <v>20</v>
      </c>
      <c r="G78" s="4">
        <v>28.3</v>
      </c>
      <c r="H78" s="4">
        <f t="shared" si="1"/>
      </c>
      <c r="I78">
        <f>VLOOKUP(TablaObra5[[#This Row],[Obra]],Catalogos!$B$3:$C$8,2,FALSE)</f>
      </c>
    </row>
    <row r="79" spans="1:9">
      <c r="A79" s="2">
        <v>46187</v>
      </c>
      <c r="B79" t="s">
        <v>3</v>
      </c>
      <c r="C79" s="2">
        <v>46188</v>
      </c>
      <c r="D79" t="s">
        <v>160</v>
      </c>
      <c r="E79">
        <f>VLOOKUP(TablaObra5[[#This Row],[Equipo]],Catalogos!$I$4:$J$39,2,FALSE)</f>
      </c>
      <c r="F79" s="3">
        <v>50</v>
      </c>
      <c r="G79" s="4">
        <v>28.3</v>
      </c>
      <c r="H79" s="4">
        <f t="shared" si="1"/>
      </c>
      <c r="I79">
        <f>VLOOKUP(TablaObra5[[#This Row],[Obra]],Catalogos!$B$3:$C$8,2,FALSE)</f>
      </c>
    </row>
    <row r="80" spans="1:9">
      <c r="A80" s="2">
        <v>46187</v>
      </c>
      <c r="B80" t="s">
        <v>3</v>
      </c>
      <c r="C80" s="2">
        <v>46188</v>
      </c>
      <c r="D80" t="s">
        <v>149</v>
      </c>
      <c r="E80">
        <f>VLOOKUP(TablaObra5[[#This Row],[Equipo]],Catalogos!$I$4:$J$39,2,FALSE)</f>
      </c>
      <c r="F80" s="3">
        <v>40</v>
      </c>
      <c r="G80" s="4">
        <v>28.3</v>
      </c>
      <c r="H80" s="4">
        <f t="shared" si="1"/>
      </c>
      <c r="I80">
        <f>VLOOKUP(TablaObra5[[#This Row],[Obra]],Catalogos!$B$3:$C$8,2,FALSE)</f>
      </c>
    </row>
    <row r="81" spans="1:9">
      <c r="A81" s="2">
        <v>46187</v>
      </c>
      <c r="B81" t="s">
        <v>3</v>
      </c>
      <c r="C81" s="2">
        <v>46188</v>
      </c>
      <c r="D81" t="s">
        <v>81</v>
      </c>
      <c r="E81">
        <f>VLOOKUP(TablaObra5[[#This Row],[Equipo]],Catalogos!$I$4:$J$39,2,FALSE)</f>
      </c>
      <c r="F81" s="3">
        <v>60</v>
      </c>
      <c r="G81" s="4">
        <v>28.3</v>
      </c>
      <c r="H81" s="4">
        <f t="shared" si="1"/>
      </c>
      <c r="I81">
        <f>VLOOKUP(TablaObra5[[#This Row],[Obra]],Catalogos!$B$3:$C$8,2,FALSE)</f>
      </c>
    </row>
    <row r="82" spans="1:9">
      <c r="A82" s="2">
        <v>46187</v>
      </c>
      <c r="B82" t="s">
        <v>3</v>
      </c>
      <c r="C82" s="2">
        <v>46188</v>
      </c>
      <c r="D82" t="s">
        <v>162</v>
      </c>
      <c r="E82">
        <f>VLOOKUP(TablaObra5[[#This Row],[Equipo]],Catalogos!$I$4:$J$39,2,FALSE)</f>
      </c>
      <c r="F82" s="3">
        <v>50</v>
      </c>
      <c r="G82" s="4">
        <v>28.3</v>
      </c>
      <c r="H82" s="4">
        <f t="shared" si="1"/>
      </c>
      <c r="I82">
        <f>VLOOKUP(TablaObra5[[#This Row],[Obra]],Catalogos!$B$3:$C$8,2,FALSE)</f>
      </c>
    </row>
    <row r="83" spans="1:9">
      <c r="A83" s="2">
        <v>46187</v>
      </c>
      <c r="B83" t="s">
        <v>4</v>
      </c>
      <c r="C83" s="2">
        <v>46188</v>
      </c>
      <c r="D83" t="s">
        <v>134</v>
      </c>
      <c r="E83">
        <f>VLOOKUP(TablaObra5[[#This Row],[Equipo]],Catalogos!$I$4:$J$39,2,FALSE)</f>
      </c>
      <c r="F83" s="3">
        <v>90</v>
      </c>
      <c r="G83" s="4">
        <v>28.3</v>
      </c>
      <c r="H83" s="4">
        <f t="shared" si="1"/>
      </c>
      <c r="I83">
        <f>VLOOKUP(TablaObra5[[#This Row],[Obra]],Catalogos!$B$3:$C$8,2,FALSE)</f>
      </c>
    </row>
    <row r="84" spans="1:9">
      <c r="A84" s="2">
        <v>46187</v>
      </c>
      <c r="B84" t="s">
        <v>4</v>
      </c>
      <c r="C84" s="2">
        <v>46188</v>
      </c>
      <c r="D84" t="s">
        <v>155</v>
      </c>
      <c r="E84">
        <f>VLOOKUP(TablaObra5[[#This Row],[Equipo]],Catalogos!$I$4:$J$39,2,FALSE)</f>
      </c>
      <c r="F84" s="3">
        <v>40</v>
      </c>
      <c r="G84" s="4">
        <v>28.3</v>
      </c>
      <c r="H84" s="4">
        <f t="shared" si="1"/>
      </c>
      <c r="I84">
        <f>VLOOKUP(TablaObra5[[#This Row],[Obra]],Catalogos!$B$3:$C$8,2,FALSE)</f>
      </c>
    </row>
    <row r="85" spans="1:9">
      <c r="A85" s="2">
        <v>46187</v>
      </c>
      <c r="B85" t="s">
        <v>4</v>
      </c>
      <c r="C85" s="2">
        <v>46188</v>
      </c>
      <c r="D85" t="s">
        <v>139</v>
      </c>
      <c r="E85">
        <f>VLOOKUP(TablaObra5[[#This Row],[Equipo]],Catalogos!$I$4:$J$39,2,FALSE)</f>
      </c>
      <c r="F85" s="3">
        <v>40</v>
      </c>
      <c r="G85" s="4">
        <v>28.3</v>
      </c>
      <c r="H85" s="4">
        <f t="shared" si="1"/>
      </c>
      <c r="I85">
        <f>VLOOKUP(TablaObra5[[#This Row],[Obra]],Catalogos!$B$3:$C$8,2,FALSE)</f>
      </c>
    </row>
    <row r="86" spans="1:9">
      <c r="A86" s="2">
        <v>46188</v>
      </c>
      <c r="B86" t="s">
        <v>183</v>
      </c>
      <c r="C86" s="2"/>
      <c r="D86" t="s">
        <v>81</v>
      </c>
      <c r="E86">
        <f>VLOOKUP(TablaObra5[[#This Row],[Equipo]],Catalogos!$I$4:$J$39,2,FALSE)</f>
      </c>
      <c r="F86" s="3">
        <v>70</v>
      </c>
      <c r="G86" s="4">
        <v>28.3</v>
      </c>
      <c r="H86" s="4">
        <f t="shared" si="1"/>
      </c>
      <c r="I86">
        <f>VLOOKUP(TablaObra5[[#This Row],[Obra]],Catalogos!$B$3:$C$8,2,FALSE)</f>
      </c>
    </row>
    <row r="87" spans="1:9">
      <c r="A87" s="2">
        <v>46188</v>
      </c>
      <c r="B87" t="s">
        <v>183</v>
      </c>
      <c r="D87" t="s">
        <v>138</v>
      </c>
      <c r="E87">
        <f>VLOOKUP(TablaObra5[[#This Row],[Equipo]],Catalogos!$I$4:$J$39,2,FALSE)</f>
      </c>
      <c r="F87" s="3">
        <v>200</v>
      </c>
      <c r="G87" s="4">
        <v>28.3</v>
      </c>
      <c r="H87" s="4">
        <f t="shared" si="1"/>
      </c>
      <c r="I87">
        <f>VLOOKUP(TablaObra5[[#This Row],[Obra]],Catalogos!$B$3:$C$8,2,FALSE)</f>
      </c>
    </row>
    <row r="88" spans="1:9">
      <c r="A88" s="2">
        <v>46188</v>
      </c>
      <c r="B88" t="s">
        <v>183</v>
      </c>
      <c r="D88" t="s">
        <v>174</v>
      </c>
      <c r="E88">
        <f>VLOOKUP(TablaObra5[[#This Row],[Equipo]],Catalogos!$I$4:$J$39,2,FALSE)</f>
      </c>
      <c r="F88" s="3">
        <v>40</v>
      </c>
      <c r="G88" s="4">
        <v>28.3</v>
      </c>
      <c r="H88" s="4">
        <f t="shared" si="1"/>
      </c>
      <c r="I88">
        <f>VLOOKUP(TablaObra5[[#This Row],[Obra]],Catalogos!$B$3:$C$8,2,FALSE)</f>
      </c>
    </row>
    <row r="89" spans="1:9">
      <c r="A89" s="2">
        <v>46188</v>
      </c>
      <c r="B89" t="s">
        <v>4</v>
      </c>
      <c r="C89" s="2">
        <v>46189</v>
      </c>
      <c r="D89" t="s">
        <v>172</v>
      </c>
      <c r="E89">
        <f>VLOOKUP(TablaObra5[[#This Row],[Equipo]],Catalogos!$I$4:$J$39,2,FALSE)</f>
      </c>
      <c r="F89" s="3">
        <v>25</v>
      </c>
      <c r="G89" s="4">
        <v>28.3</v>
      </c>
      <c r="H89" s="4">
        <f t="shared" si="1"/>
      </c>
      <c r="I89">
        <f>VLOOKUP(TablaObra5[[#This Row],[Obra]],Catalogos!$B$3:$C$8,2,FALSE)</f>
      </c>
    </row>
    <row r="90" spans="1:9">
      <c r="A90" s="2">
        <v>46188</v>
      </c>
      <c r="B90" t="s">
        <v>4</v>
      </c>
      <c r="C90" s="2">
        <v>46189</v>
      </c>
      <c r="D90" t="s">
        <v>86</v>
      </c>
      <c r="E90">
        <f>VLOOKUP(TablaObra5[[#This Row],[Equipo]],Catalogos!$I$4:$J$39,2,FALSE)</f>
      </c>
      <c r="F90" s="3">
        <v>60</v>
      </c>
      <c r="G90" s="4">
        <v>28.3</v>
      </c>
      <c r="H90" s="4">
        <f t="shared" si="1"/>
      </c>
      <c r="I90">
        <f>VLOOKUP(TablaObra5[[#This Row],[Obra]],Catalogos!$B$3:$C$8,2,FALSE)</f>
      </c>
    </row>
    <row r="91" spans="1:9">
      <c r="A91" s="2">
        <v>46188</v>
      </c>
      <c r="B91" t="s">
        <v>4</v>
      </c>
      <c r="C91" s="2">
        <v>46189</v>
      </c>
      <c r="D91" t="s">
        <v>158</v>
      </c>
      <c r="E91">
        <f>VLOOKUP(TablaObra5[[#This Row],[Equipo]],Catalogos!$I$4:$J$39,2,FALSE)</f>
      </c>
      <c r="F91" s="3">
        <v>50</v>
      </c>
      <c r="G91" s="4">
        <v>28.3</v>
      </c>
      <c r="H91" s="4">
        <f t="shared" si="1"/>
      </c>
      <c r="I91">
        <f>VLOOKUP(TablaObra5[[#This Row],[Obra]],Catalogos!$B$3:$C$8,2,FALSE)</f>
      </c>
    </row>
    <row r="92" spans="1:9">
      <c r="A92" s="2">
        <v>46188</v>
      </c>
      <c r="B92" t="s">
        <v>4</v>
      </c>
      <c r="C92" s="2">
        <v>46189</v>
      </c>
      <c r="D92" t="s">
        <v>138</v>
      </c>
      <c r="E92">
        <f>VLOOKUP(TablaObra5[[#This Row],[Equipo]],Catalogos!$I$4:$J$39,2,FALSE)</f>
      </c>
      <c r="F92" s="3">
        <v>250</v>
      </c>
      <c r="G92" s="4">
        <v>28.3</v>
      </c>
      <c r="H92" s="4">
        <f t="shared" si="1"/>
      </c>
      <c r="I92">
        <f>VLOOKUP(TablaObra5[[#This Row],[Obra]],Catalogos!$B$3:$C$8,2,FALSE)</f>
      </c>
    </row>
    <row r="93" spans="1:9">
      <c r="A93" s="2">
        <v>46188</v>
      </c>
      <c r="B93" t="s">
        <v>4</v>
      </c>
      <c r="C93" s="2">
        <v>46189</v>
      </c>
      <c r="D93" t="s">
        <v>139</v>
      </c>
      <c r="E93">
        <f>VLOOKUP(TablaObra5[[#This Row],[Equipo]],Catalogos!$I$4:$J$39,2,FALSE)</f>
      </c>
      <c r="F93" s="3">
        <v>70</v>
      </c>
      <c r="G93" s="4">
        <v>28.3</v>
      </c>
      <c r="H93" s="4">
        <f t="shared" si="1"/>
      </c>
      <c r="I93">
        <f>VLOOKUP(TablaObra5[[#This Row],[Obra]],Catalogos!$B$3:$C$8,2,FALSE)</f>
      </c>
    </row>
    <row r="94" spans="1:9">
      <c r="A94" s="2">
        <v>46188</v>
      </c>
      <c r="B94" t="s">
        <v>4</v>
      </c>
      <c r="C94" s="2">
        <v>46189</v>
      </c>
      <c r="D94" t="s">
        <v>81</v>
      </c>
      <c r="E94">
        <f>VLOOKUP(TablaObra5[[#This Row],[Equipo]],Catalogos!$I$4:$J$39,2,FALSE)</f>
      </c>
      <c r="F94" s="3">
        <v>50</v>
      </c>
      <c r="G94" s="4">
        <v>28.3</v>
      </c>
      <c r="H94" s="4">
        <f t="shared" si="1"/>
      </c>
      <c r="I94">
        <f>VLOOKUP(TablaObra5[[#This Row],[Obra]],Catalogos!$B$3:$C$8,2,FALSE)</f>
      </c>
    </row>
    <row r="95" spans="1:9">
      <c r="A95" s="2">
        <v>46188</v>
      </c>
      <c r="B95" t="s">
        <v>3</v>
      </c>
      <c r="C95" s="2">
        <v>46189</v>
      </c>
      <c r="D95" t="s">
        <v>145</v>
      </c>
      <c r="E95">
        <f>VLOOKUP(TablaObra5[[#This Row],[Equipo]],Catalogos!$I$4:$J$39,2,FALSE)</f>
      </c>
      <c r="F95" s="3">
        <v>250</v>
      </c>
      <c r="G95" s="4">
        <v>28.3</v>
      </c>
      <c r="H95" s="4">
        <f t="shared" si="1"/>
      </c>
      <c r="I95">
        <f>VLOOKUP(TablaObra5[[#This Row],[Obra]],Catalogos!$B$3:$C$8,2,FALSE)</f>
      </c>
    </row>
    <row r="96" spans="1:9">
      <c r="A96" s="2">
        <v>46188</v>
      </c>
      <c r="B96" t="s">
        <v>3</v>
      </c>
      <c r="C96" s="2">
        <v>46189</v>
      </c>
      <c r="D96" t="s">
        <v>156</v>
      </c>
      <c r="E96">
        <f>VLOOKUP(TablaObra5[[#This Row],[Equipo]],Catalogos!$I$4:$J$39,2,FALSE)</f>
      </c>
      <c r="F96" s="3">
        <v>200</v>
      </c>
      <c r="G96" s="4">
        <v>28.3</v>
      </c>
      <c r="H96" s="4">
        <f t="shared" si="1"/>
      </c>
      <c r="I96">
        <f>VLOOKUP(TablaObra5[[#This Row],[Obra]],Catalogos!$B$3:$C$8,2,FALSE)</f>
      </c>
    </row>
    <row r="97" spans="1:9">
      <c r="A97" s="2">
        <v>46188</v>
      </c>
      <c r="B97" t="s">
        <v>3</v>
      </c>
      <c r="C97" s="2">
        <v>46189</v>
      </c>
      <c r="D97" t="s">
        <v>172</v>
      </c>
      <c r="E97">
        <f>VLOOKUP(TablaObra5[[#This Row],[Equipo]],Catalogos!$I$4:$J$39,2,FALSE)</f>
      </c>
      <c r="F97" s="3">
        <v>20</v>
      </c>
      <c r="G97" s="4">
        <v>28.3</v>
      </c>
      <c r="H97" s="4">
        <f t="shared" si="1"/>
      </c>
      <c r="I97">
        <f>VLOOKUP(TablaObra5[[#This Row],[Obra]],Catalogos!$B$3:$C$8,2,FALSE)</f>
      </c>
    </row>
    <row r="98" spans="1:9">
      <c r="A98" s="2">
        <v>46188</v>
      </c>
      <c r="B98" t="s">
        <v>3</v>
      </c>
      <c r="C98" s="2">
        <v>46189</v>
      </c>
      <c r="D98" t="s">
        <v>158</v>
      </c>
      <c r="E98">
        <f>VLOOKUP(TablaObra5[[#This Row],[Equipo]],Catalogos!$I$4:$J$39,2,FALSE)</f>
      </c>
      <c r="F98" s="3">
        <v>50</v>
      </c>
      <c r="G98" s="4">
        <v>28.3</v>
      </c>
      <c r="H98" s="4">
        <f t="shared" si="1"/>
      </c>
      <c r="I98">
        <f>VLOOKUP(TablaObra5[[#This Row],[Obra]],Catalogos!$B$3:$C$8,2,FALSE)</f>
      </c>
    </row>
    <row r="99" spans="1:9">
      <c r="A99" s="2">
        <v>46188</v>
      </c>
      <c r="B99" t="s">
        <v>3</v>
      </c>
      <c r="C99" s="2">
        <v>46189</v>
      </c>
      <c r="D99" t="s">
        <v>155</v>
      </c>
      <c r="E99">
        <f>VLOOKUP(TablaObra5[[#This Row],[Equipo]],Catalogos!$I$4:$J$39,2,FALSE)</f>
      </c>
      <c r="F99" s="3">
        <v>50</v>
      </c>
      <c r="G99" s="4">
        <v>28.3</v>
      </c>
      <c r="H99" s="4">
        <f t="shared" si="1"/>
      </c>
      <c r="I99">
        <f>VLOOKUP(TablaObra5[[#This Row],[Obra]],Catalogos!$B$3:$C$8,2,FALSE)</f>
      </c>
    </row>
    <row r="100" spans="1:9">
      <c r="A100" s="2">
        <v>46188</v>
      </c>
      <c r="B100" t="s">
        <v>3</v>
      </c>
      <c r="C100" s="2">
        <v>46189</v>
      </c>
      <c r="D100" t="s">
        <v>149</v>
      </c>
      <c r="E100">
        <f>VLOOKUP(TablaObra5[[#This Row],[Equipo]],Catalogos!$I$4:$J$39,2,FALSE)</f>
      </c>
      <c r="F100" s="3">
        <v>40</v>
      </c>
      <c r="G100" s="4">
        <v>28.3</v>
      </c>
      <c r="H100" s="4">
        <f t="shared" si="1"/>
      </c>
      <c r="I100">
        <f>VLOOKUP(TablaObra5[[#This Row],[Obra]],Catalogos!$B$3:$C$8,2,FALSE)</f>
      </c>
    </row>
    <row r="101" spans="1:9">
      <c r="A101" s="2">
        <v>46188</v>
      </c>
      <c r="B101" t="s">
        <v>3</v>
      </c>
      <c r="C101" s="2">
        <v>46189</v>
      </c>
      <c r="D101" t="s">
        <v>81</v>
      </c>
      <c r="E101">
        <f>VLOOKUP(TablaObra5[[#This Row],[Equipo]],Catalogos!$I$4:$J$39,2,FALSE)</f>
      </c>
      <c r="F101" s="3">
        <v>50</v>
      </c>
      <c r="G101" s="4">
        <v>28.3</v>
      </c>
      <c r="H101" s="4">
        <f t="shared" si="1"/>
      </c>
      <c r="I101">
        <f>VLOOKUP(TablaObra5[[#This Row],[Obra]],Catalogos!$B$3:$C$8,2,FALSE)</f>
      </c>
    </row>
    <row r="102" spans="1:9">
      <c r="A102" s="2">
        <v>46188</v>
      </c>
      <c r="B102" t="s">
        <v>3</v>
      </c>
      <c r="C102" s="2">
        <v>46189</v>
      </c>
      <c r="D102" t="s">
        <v>162</v>
      </c>
      <c r="E102">
        <f>VLOOKUP(TablaObra5[[#This Row],[Equipo]],Catalogos!$I$4:$J$39,2,FALSE)</f>
      </c>
      <c r="F102" s="3">
        <v>50</v>
      </c>
      <c r="G102" s="4">
        <v>28.3</v>
      </c>
      <c r="H102" s="4">
        <f t="shared" si="1"/>
      </c>
      <c r="I102">
        <f>VLOOKUP(TablaObra5[[#This Row],[Obra]],Catalogos!$B$3:$C$8,2,FALSE)</f>
      </c>
    </row>
    <row r="103" spans="1:9">
      <c r="A103" s="2">
        <v>46189</v>
      </c>
      <c r="B103" t="s">
        <v>4</v>
      </c>
      <c r="C103" s="2">
        <v>46190</v>
      </c>
      <c r="D103" t="s">
        <v>88</v>
      </c>
      <c r="E103">
        <f>VLOOKUP(TablaObra5[[#This Row],[Equipo]],Catalogos!$I$4:$J$39,2,FALSE)</f>
      </c>
      <c r="F103" s="3">
        <v>50</v>
      </c>
      <c r="G103" s="4">
        <v>28.3</v>
      </c>
      <c r="H103" s="4">
        <f t="shared" si="1"/>
      </c>
      <c r="I103">
        <f>VLOOKUP(TablaObra5[[#This Row],[Obra]],Catalogos!$B$3:$C$8,2,FALSE)</f>
      </c>
    </row>
    <row r="104" spans="1:9">
      <c r="A104" s="2">
        <v>46189</v>
      </c>
      <c r="B104" t="s">
        <v>4</v>
      </c>
      <c r="C104" s="2">
        <v>46190</v>
      </c>
      <c r="D104" t="s">
        <v>155</v>
      </c>
      <c r="E104">
        <f>VLOOKUP(TablaObra5[[#This Row],[Equipo]],Catalogos!$I$4:$J$39,2,FALSE)</f>
      </c>
      <c r="F104" s="3">
        <v>30</v>
      </c>
      <c r="G104" s="4">
        <v>28.3</v>
      </c>
      <c r="H104" s="4">
        <f t="shared" si="1"/>
      </c>
      <c r="I104">
        <f>VLOOKUP(TablaObra5[[#This Row],[Obra]],Catalogos!$B$3:$C$8,2,FALSE)</f>
      </c>
    </row>
    <row r="105" spans="1:9">
      <c r="A105" s="2">
        <v>46189</v>
      </c>
      <c r="B105" t="s">
        <v>4</v>
      </c>
      <c r="C105" s="2">
        <v>46190</v>
      </c>
      <c r="D105" t="s">
        <v>174</v>
      </c>
      <c r="E105">
        <f>VLOOKUP(TablaObra5[[#This Row],[Equipo]],Catalogos!$I$4:$J$39,2,FALSE)</f>
      </c>
      <c r="F105" s="3">
        <v>50</v>
      </c>
      <c r="G105" s="4">
        <v>28.3</v>
      </c>
      <c r="H105" s="4">
        <f t="shared" si="1"/>
      </c>
      <c r="I105">
        <f>VLOOKUP(TablaObra5[[#This Row],[Obra]],Catalogos!$B$3:$C$8,2,FALSE)</f>
      </c>
    </row>
    <row r="106" spans="1:9">
      <c r="A106" s="2">
        <v>46189</v>
      </c>
      <c r="B106" t="s">
        <v>4</v>
      </c>
      <c r="C106" s="2">
        <v>46190</v>
      </c>
      <c r="D106" t="s">
        <v>134</v>
      </c>
      <c r="E106">
        <f>VLOOKUP(TablaObra5[[#This Row],[Equipo]],Catalogos!$I$4:$J$39,2,FALSE)</f>
      </c>
      <c r="F106" s="3">
        <v>130</v>
      </c>
      <c r="G106" s="4">
        <v>28.3</v>
      </c>
      <c r="H106" s="4">
        <f t="shared" si="1"/>
      </c>
      <c r="I106">
        <f>VLOOKUP(TablaObra5[[#This Row],[Obra]],Catalogos!$B$3:$C$8,2,FALSE)</f>
      </c>
    </row>
    <row r="107" spans="1:9">
      <c r="A107" s="2">
        <v>46189</v>
      </c>
      <c r="B107" t="s">
        <v>4</v>
      </c>
      <c r="C107" s="2">
        <v>46190</v>
      </c>
      <c r="D107" t="s">
        <v>172</v>
      </c>
      <c r="E107">
        <f>VLOOKUP(TablaObra5[[#This Row],[Equipo]],Catalogos!$I$4:$J$39,2,FALSE)</f>
      </c>
      <c r="F107" s="3">
        <v>20</v>
      </c>
      <c r="G107" s="4">
        <v>28.3</v>
      </c>
      <c r="H107" s="4">
        <f t="shared" si="1"/>
      </c>
      <c r="I107">
        <f>VLOOKUP(TablaObra5[[#This Row],[Obra]],Catalogos!$B$3:$C$8,2,FALSE)</f>
      </c>
    </row>
    <row r="108" spans="1:9">
      <c r="A108" s="2">
        <v>46189</v>
      </c>
      <c r="B108" t="s">
        <v>4</v>
      </c>
      <c r="C108" s="2">
        <v>46190</v>
      </c>
      <c r="D108" t="s">
        <v>170</v>
      </c>
      <c r="E108">
        <f>VLOOKUP(TablaObra5[[#This Row],[Equipo]],Catalogos!$I$4:$J$39,2,FALSE)</f>
      </c>
      <c r="F108" s="3">
        <v>160</v>
      </c>
      <c r="G108" s="4">
        <v>28.3</v>
      </c>
      <c r="H108" s="4">
        <f t="shared" si="1"/>
      </c>
      <c r="I108">
        <f>VLOOKUP(TablaObra5[[#This Row],[Obra]],Catalogos!$B$3:$C$8,2,FALSE)</f>
      </c>
    </row>
    <row r="109" spans="1:9">
      <c r="A109" s="2">
        <v>46189</v>
      </c>
      <c r="B109" t="s">
        <v>4</v>
      </c>
      <c r="C109" s="2">
        <v>46190</v>
      </c>
      <c r="D109" t="s">
        <v>86</v>
      </c>
      <c r="E109">
        <f>VLOOKUP(TablaObra5[[#This Row],[Equipo]],Catalogos!$I$4:$J$39,2,FALSE)</f>
      </c>
      <c r="F109" s="3">
        <v>70</v>
      </c>
      <c r="G109" s="4">
        <v>28.3</v>
      </c>
      <c r="H109" s="4">
        <f t="shared" si="1"/>
      </c>
      <c r="I109">
        <f>VLOOKUP(TablaObra5[[#This Row],[Obra]],Catalogos!$B$3:$C$8,2,FALSE)</f>
      </c>
    </row>
    <row r="110" spans="1:9">
      <c r="A110" s="2">
        <v>46189</v>
      </c>
      <c r="B110" t="s">
        <v>4</v>
      </c>
      <c r="C110" s="2">
        <v>46190</v>
      </c>
      <c r="D110" t="s">
        <v>138</v>
      </c>
      <c r="E110">
        <f>VLOOKUP(TablaObra5[[#This Row],[Equipo]],Catalogos!$I$4:$J$39,2,FALSE)</f>
      </c>
      <c r="F110" s="3">
        <v>250</v>
      </c>
      <c r="G110" s="4">
        <v>28.3</v>
      </c>
      <c r="H110" s="4">
        <f t="shared" si="1"/>
      </c>
      <c r="I110">
        <f>VLOOKUP(TablaObra5[[#This Row],[Obra]],Catalogos!$B$3:$C$8,2,FALSE)</f>
      </c>
    </row>
    <row r="111" spans="1:9">
      <c r="A111" s="2">
        <v>46189</v>
      </c>
      <c r="B111" t="s">
        <v>4</v>
      </c>
      <c r="C111" s="2">
        <v>46190</v>
      </c>
      <c r="D111" t="s">
        <v>88</v>
      </c>
      <c r="E111">
        <f>VLOOKUP(TablaObra5[[#This Row],[Equipo]],Catalogos!$I$4:$J$39,2,FALSE)</f>
      </c>
      <c r="F111" s="3">
        <v>150</v>
      </c>
      <c r="G111" s="4">
        <v>28.3</v>
      </c>
      <c r="H111" s="4">
        <f t="shared" si="1"/>
      </c>
      <c r="I111">
        <f>VLOOKUP(TablaObra5[[#This Row],[Obra]],Catalogos!$B$3:$C$8,2,FALSE)</f>
      </c>
    </row>
    <row r="112" spans="1:9">
      <c r="A112" s="2">
        <v>46190</v>
      </c>
      <c r="B112" t="s">
        <v>3</v>
      </c>
      <c r="C112" s="2">
        <v>46190</v>
      </c>
      <c r="D112" t="s">
        <v>145</v>
      </c>
      <c r="E112">
        <f>VLOOKUP(TablaObra5[[#This Row],[Equipo]],Catalogos!$I$4:$J$39,2,FALSE)</f>
      </c>
      <c r="F112" s="3">
        <v>250</v>
      </c>
      <c r="G112" s="4">
        <v>28.3</v>
      </c>
      <c r="H112" s="4">
        <f t="shared" si="1"/>
      </c>
      <c r="I112">
        <f>VLOOKUP(TablaObra5[[#This Row],[Obra]],Catalogos!$B$3:$C$8,2,FALSE)</f>
      </c>
    </row>
    <row r="113" spans="1:9">
      <c r="A113" s="2">
        <v>46190</v>
      </c>
      <c r="B113" t="s">
        <v>3</v>
      </c>
      <c r="C113" s="2">
        <v>46190</v>
      </c>
      <c r="D113" t="s">
        <v>156</v>
      </c>
      <c r="E113">
        <f>VLOOKUP(TablaObra5[[#This Row],[Equipo]],Catalogos!$I$4:$J$39,2,FALSE)</f>
      </c>
      <c r="F113" s="3">
        <v>100</v>
      </c>
      <c r="G113" s="4">
        <v>28.3</v>
      </c>
      <c r="H113" s="4">
        <f t="shared" si="1"/>
      </c>
      <c r="I113">
        <f>VLOOKUP(TablaObra5[[#This Row],[Obra]],Catalogos!$B$3:$C$8,2,FALSE)</f>
      </c>
    </row>
    <row r="114" spans="1:9">
      <c r="A114" s="2">
        <v>46190</v>
      </c>
      <c r="B114" t="s">
        <v>3</v>
      </c>
      <c r="C114" s="2">
        <v>46190</v>
      </c>
      <c r="D114" t="s">
        <v>172</v>
      </c>
      <c r="E114">
        <f>VLOOKUP(TablaObra5[[#This Row],[Equipo]],Catalogos!$I$4:$J$39,2,FALSE)</f>
      </c>
      <c r="F114" s="3">
        <v>20</v>
      </c>
      <c r="G114" s="4">
        <v>28.3</v>
      </c>
      <c r="H114" s="4">
        <f t="shared" si="1"/>
      </c>
      <c r="I114">
        <f>VLOOKUP(TablaObra5[[#This Row],[Obra]],Catalogos!$B$3:$C$8,2,FALSE)</f>
      </c>
    </row>
    <row r="115" spans="1:9">
      <c r="A115" s="2">
        <v>46190</v>
      </c>
      <c r="B115" t="s">
        <v>3</v>
      </c>
      <c r="C115" s="2">
        <v>46190</v>
      </c>
      <c r="D115" t="s">
        <v>158</v>
      </c>
      <c r="E115">
        <f>VLOOKUP(TablaObra5[[#This Row],[Equipo]],Catalogos!$I$4:$J$39,2,FALSE)</f>
      </c>
      <c r="F115" s="3">
        <v>50</v>
      </c>
      <c r="G115" s="4">
        <v>28.3</v>
      </c>
      <c r="H115" s="4">
        <f t="shared" si="1"/>
      </c>
      <c r="I115">
        <f>VLOOKUP(TablaObra5[[#This Row],[Obra]],Catalogos!$B$3:$C$8,2,FALSE)</f>
      </c>
    </row>
    <row r="116" spans="1:9">
      <c r="A116" s="2">
        <v>46190</v>
      </c>
      <c r="B116" t="s">
        <v>3</v>
      </c>
      <c r="C116" s="2">
        <v>46190</v>
      </c>
      <c r="D116" t="s">
        <v>155</v>
      </c>
      <c r="E116">
        <f>VLOOKUP(TablaObra5[[#This Row],[Equipo]],Catalogos!$I$4:$J$39,2,FALSE)</f>
      </c>
      <c r="F116" s="3">
        <v>50</v>
      </c>
      <c r="G116" s="4">
        <v>28.3</v>
      </c>
      <c r="H116" s="4">
        <f t="shared" si="1"/>
      </c>
      <c r="I116">
        <f>VLOOKUP(TablaObra5[[#This Row],[Obra]],Catalogos!$B$3:$C$8,2,FALSE)</f>
      </c>
    </row>
    <row r="117" spans="1:9">
      <c r="A117" s="2">
        <v>46190</v>
      </c>
      <c r="B117" t="s">
        <v>3</v>
      </c>
      <c r="C117" s="2">
        <v>46190</v>
      </c>
      <c r="D117" t="s">
        <v>149</v>
      </c>
      <c r="E117">
        <f>VLOOKUP(TablaObra5[[#This Row],[Equipo]],Catalogos!$I$4:$J$39,2,FALSE)</f>
      </c>
      <c r="F117" s="3">
        <v>30</v>
      </c>
      <c r="G117" s="4">
        <v>28.3</v>
      </c>
      <c r="H117" s="4">
        <f t="shared" si="1"/>
      </c>
      <c r="I117">
        <f>VLOOKUP(TablaObra5[[#This Row],[Obra]],Catalogos!$B$3:$C$8,2,FALSE)</f>
      </c>
    </row>
    <row r="118" spans="1:9">
      <c r="A118" s="2">
        <v>46190</v>
      </c>
      <c r="B118" t="s">
        <v>3</v>
      </c>
      <c r="C118" s="2">
        <v>46190</v>
      </c>
      <c r="D118" t="s">
        <v>81</v>
      </c>
      <c r="E118">
        <f>VLOOKUP(TablaObra5[[#This Row],[Equipo]],Catalogos!$I$4:$J$39,2,FALSE)</f>
      </c>
      <c r="F118" s="3">
        <v>80</v>
      </c>
      <c r="G118" s="4">
        <v>28.3</v>
      </c>
      <c r="H118" s="4">
        <f t="shared" si="1"/>
      </c>
      <c r="I118">
        <f>VLOOKUP(TablaObra5[[#This Row],[Obra]],Catalogos!$B$3:$C$8,2,FALSE)</f>
      </c>
    </row>
    <row r="119" spans="1:9">
      <c r="A119" s="2">
        <v>46190</v>
      </c>
      <c r="B119" t="s">
        <v>3</v>
      </c>
      <c r="C119" s="2">
        <v>46190</v>
      </c>
      <c r="D119" t="s">
        <v>162</v>
      </c>
      <c r="E119">
        <f>VLOOKUP(TablaObra5[[#This Row],[Equipo]],Catalogos!$I$4:$J$39,2,FALSE)</f>
      </c>
      <c r="F119" s="3">
        <v>50</v>
      </c>
      <c r="G119" s="4">
        <v>28.3</v>
      </c>
      <c r="H119" s="4">
        <f t="shared" si="1"/>
      </c>
      <c r="I119">
        <f>VLOOKUP(TablaObra5[[#This Row],[Obra]],Catalogos!$B$3:$C$8,2,FALSE)</f>
      </c>
    </row>
    <row r="120" spans="1:9">
      <c r="A120" s="2">
        <v>46190</v>
      </c>
      <c r="B120" t="s">
        <v>183</v>
      </c>
      <c r="C120" s="2">
        <v>46190</v>
      </c>
      <c r="D120" t="s">
        <v>81</v>
      </c>
      <c r="E120">
        <f>VLOOKUP(TablaObra5[[#This Row],[Equipo]],Catalogos!$I$4:$J$39,2,FALSE)</f>
      </c>
      <c r="F120" s="3">
        <v>70</v>
      </c>
      <c r="G120" s="4">
        <v>28.3</v>
      </c>
      <c r="H120" s="4">
        <f t="shared" si="1"/>
      </c>
      <c r="I120">
        <f>VLOOKUP(TablaObra5[[#This Row],[Obra]],Catalogos!$B$3:$C$8,2,FALSE)</f>
      </c>
    </row>
    <row r="121" spans="1:9">
      <c r="A121" s="2">
        <v>46190</v>
      </c>
      <c r="B121" t="s">
        <v>183</v>
      </c>
      <c r="C121" s="2">
        <v>46190</v>
      </c>
      <c r="D121" t="s">
        <v>81</v>
      </c>
      <c r="E121">
        <f>VLOOKUP(TablaObra5[[#This Row],[Equipo]],Catalogos!$I$4:$J$39,2,FALSE)</f>
      </c>
      <c r="F121" s="3">
        <v>70</v>
      </c>
      <c r="G121" s="4">
        <v>28.3</v>
      </c>
      <c r="H121" s="4">
        <f t="shared" si="1"/>
      </c>
      <c r="I121">
        <f>VLOOKUP(TablaObra5[[#This Row],[Obra]],Catalogos!$B$3:$C$8,2,FALSE)</f>
      </c>
    </row>
    <row r="122" spans="1:9">
      <c r="A122" s="2">
        <v>46190</v>
      </c>
      <c r="B122" t="s">
        <v>183</v>
      </c>
      <c r="C122" s="2">
        <v>46190</v>
      </c>
      <c r="D122" t="s">
        <v>138</v>
      </c>
      <c r="E122">
        <f>VLOOKUP(TablaObra5[[#This Row],[Equipo]],Catalogos!$I$4:$J$39,2,FALSE)</f>
      </c>
      <c r="F122" s="3">
        <v>200</v>
      </c>
      <c r="G122" s="4">
        <v>28.3</v>
      </c>
      <c r="H122" s="4">
        <f t="shared" si="1"/>
      </c>
      <c r="I122">
        <f>VLOOKUP(TablaObra5[[#This Row],[Obra]],Catalogos!$B$3:$C$8,2,FALSE)</f>
      </c>
    </row>
    <row r="123" spans="1:9">
      <c r="A123" s="2">
        <v>46190</v>
      </c>
      <c r="B123" t="s">
        <v>183</v>
      </c>
      <c r="C123" s="2">
        <v>46190</v>
      </c>
      <c r="D123" t="s">
        <v>174</v>
      </c>
      <c r="E123">
        <f>VLOOKUP(TablaObra5[[#This Row],[Equipo]],Catalogos!$I$4:$J$39,2,FALSE)</f>
      </c>
      <c r="F123" s="3">
        <v>20</v>
      </c>
      <c r="G123" s="4">
        <v>28.3</v>
      </c>
      <c r="H123" s="4">
        <f t="shared" si="1"/>
      </c>
      <c r="I123">
        <f>VLOOKUP(TablaObra5[[#This Row],[Obra]],Catalogos!$B$3:$C$8,2,FALSE)</f>
      </c>
    </row>
    <row r="124" spans="1:9">
      <c r="A124" s="2">
        <v>46190</v>
      </c>
      <c r="B124" t="s">
        <v>3</v>
      </c>
      <c r="C124" s="2">
        <v>46191</v>
      </c>
      <c r="D124" t="s">
        <v>145</v>
      </c>
      <c r="E124">
        <f>VLOOKUP(TablaObra5[[#This Row],[Equipo]],Catalogos!$I$4:$J$39,2,FALSE)</f>
      </c>
      <c r="F124" s="3">
        <v>250</v>
      </c>
      <c r="G124" s="4">
        <v>28.3</v>
      </c>
      <c r="H124" s="4">
        <f t="shared" si="1"/>
      </c>
      <c r="I124">
        <f>VLOOKUP(TablaObra5[[#This Row],[Obra]],Catalogos!$B$3:$C$8,2,FALSE)</f>
      </c>
    </row>
    <row r="125" spans="1:9">
      <c r="A125" s="2">
        <v>46190</v>
      </c>
      <c r="B125" t="s">
        <v>3</v>
      </c>
      <c r="C125" s="2">
        <v>46191</v>
      </c>
      <c r="D125" t="s">
        <v>156</v>
      </c>
      <c r="E125">
        <f>VLOOKUP(TablaObra5[[#This Row],[Equipo]],Catalogos!$I$4:$J$39,2,FALSE)</f>
      </c>
      <c r="F125" s="3">
        <v>100</v>
      </c>
      <c r="G125" s="4">
        <v>28.3</v>
      </c>
      <c r="H125" s="4">
        <f t="shared" si="1"/>
      </c>
      <c r="I125">
        <f>VLOOKUP(TablaObra5[[#This Row],[Obra]],Catalogos!$B$3:$C$8,2,FALSE)</f>
      </c>
    </row>
    <row r="126" spans="1:9">
      <c r="A126" s="2">
        <v>46190</v>
      </c>
      <c r="B126" t="s">
        <v>3</v>
      </c>
      <c r="C126" s="2">
        <v>46191</v>
      </c>
      <c r="D126" t="s">
        <v>172</v>
      </c>
      <c r="E126">
        <f>VLOOKUP(TablaObra5[[#This Row],[Equipo]],Catalogos!$I$4:$J$39,2,FALSE)</f>
      </c>
      <c r="F126" s="3">
        <v>20</v>
      </c>
      <c r="G126" s="4">
        <v>28.3</v>
      </c>
      <c r="H126" s="4">
        <f t="shared" si="1"/>
      </c>
      <c r="I126">
        <f>VLOOKUP(TablaObra5[[#This Row],[Obra]],Catalogos!$B$3:$C$8,2,FALSE)</f>
      </c>
    </row>
    <row r="127" spans="1:9">
      <c r="A127" s="2">
        <v>46190</v>
      </c>
      <c r="B127" t="s">
        <v>3</v>
      </c>
      <c r="C127" s="2">
        <v>46191</v>
      </c>
      <c r="D127" t="s">
        <v>158</v>
      </c>
      <c r="E127">
        <f>VLOOKUP(TablaObra5[[#This Row],[Equipo]],Catalogos!$I$4:$J$39,2,FALSE)</f>
      </c>
      <c r="F127" s="3">
        <v>40</v>
      </c>
      <c r="G127" s="4">
        <v>28.3</v>
      </c>
      <c r="H127" s="4">
        <f t="shared" si="1"/>
      </c>
      <c r="I127">
        <f>VLOOKUP(TablaObra5[[#This Row],[Obra]],Catalogos!$B$3:$C$8,2,FALSE)</f>
      </c>
    </row>
    <row r="128" spans="1:9">
      <c r="A128" s="2">
        <v>46190</v>
      </c>
      <c r="B128" t="s">
        <v>3</v>
      </c>
      <c r="C128" s="2">
        <v>46191</v>
      </c>
      <c r="D128" t="s">
        <v>155</v>
      </c>
      <c r="E128">
        <f>VLOOKUP(TablaObra5[[#This Row],[Equipo]],Catalogos!$I$4:$J$39,2,FALSE)</f>
      </c>
      <c r="F128" s="3">
        <v>40</v>
      </c>
      <c r="G128" s="4">
        <v>28.3</v>
      </c>
      <c r="H128" s="4">
        <f t="shared" si="1"/>
      </c>
      <c r="I128">
        <f>VLOOKUP(TablaObra5[[#This Row],[Obra]],Catalogos!$B$3:$C$8,2,FALSE)</f>
      </c>
    </row>
    <row r="129" spans="1:9">
      <c r="A129" s="2">
        <v>46190</v>
      </c>
      <c r="B129" t="s">
        <v>3</v>
      </c>
      <c r="C129" s="2">
        <v>46191</v>
      </c>
      <c r="D129" t="s">
        <v>149</v>
      </c>
      <c r="E129">
        <f>VLOOKUP(TablaObra5[[#This Row],[Equipo]],Catalogos!$I$4:$J$39,2,FALSE)</f>
      </c>
      <c r="F129" s="3">
        <v>30</v>
      </c>
      <c r="G129" s="4">
        <v>28.3</v>
      </c>
      <c r="H129" s="4">
        <f t="shared" si="1"/>
      </c>
      <c r="I129">
        <f>VLOOKUP(TablaObra5[[#This Row],[Obra]],Catalogos!$B$3:$C$8,2,FALSE)</f>
      </c>
    </row>
    <row r="130" spans="1:9">
      <c r="A130" s="2">
        <v>46190</v>
      </c>
      <c r="B130" t="s">
        <v>3</v>
      </c>
      <c r="C130" s="2">
        <v>46191</v>
      </c>
      <c r="D130" t="s">
        <v>81</v>
      </c>
      <c r="E130">
        <f>VLOOKUP(TablaObra5[[#This Row],[Equipo]],Catalogos!$I$4:$J$39,2,FALSE)</f>
      </c>
      <c r="F130" s="3">
        <v>70</v>
      </c>
      <c r="G130" s="4">
        <v>28.3</v>
      </c>
      <c r="H130" s="4">
        <f t="shared" si="1"/>
      </c>
      <c r="I130">
        <f>VLOOKUP(TablaObra5[[#This Row],[Obra]],Catalogos!$B$3:$C$8,2,FALSE)</f>
      </c>
    </row>
    <row r="131" spans="1:9">
      <c r="A131" s="2">
        <v>46190</v>
      </c>
      <c r="B131" t="s">
        <v>3</v>
      </c>
      <c r="C131" s="2">
        <v>46191</v>
      </c>
      <c r="D131" t="s">
        <v>162</v>
      </c>
      <c r="E131">
        <f>VLOOKUP(TablaObra5[[#This Row],[Equipo]],Catalogos!$I$4:$J$39,2,FALSE)</f>
      </c>
      <c r="F131" s="3">
        <v>40</v>
      </c>
      <c r="G131" s="4">
        <v>28.3</v>
      </c>
      <c r="H131" s="4">
        <f t="shared" si="1"/>
      </c>
      <c r="I131">
        <f>VLOOKUP(TablaObra5[[#This Row],[Obra]],Catalogos!$B$3:$C$8,2,FALSE)</f>
      </c>
    </row>
    <row r="132" spans="1:9">
      <c r="A132" s="2">
        <v>46190</v>
      </c>
      <c r="B132" t="s">
        <v>4</v>
      </c>
      <c r="C132" s="2">
        <v>46191</v>
      </c>
      <c r="D132" t="s">
        <v>164</v>
      </c>
      <c r="E132">
        <f>VLOOKUP(TablaObra5[[#This Row],[Equipo]],Catalogos!$I$4:$J$39,2,FALSE)</f>
      </c>
      <c r="F132" s="3">
        <v>80</v>
      </c>
      <c r="G132" s="4">
        <v>28.3</v>
      </c>
      <c r="H132" s="4">
        <f t="shared" si="1"/>
      </c>
      <c r="I132">
        <f>VLOOKUP(TablaObra5[[#This Row],[Obra]],Catalogos!$B$3:$C$8,2,FALSE)</f>
      </c>
    </row>
    <row r="133" spans="1:9">
      <c r="A133" s="2">
        <v>46191</v>
      </c>
      <c r="B133" t="s">
        <v>196</v>
      </c>
      <c r="C133" s="2">
        <v>38887</v>
      </c>
      <c r="D133" t="s">
        <v>166</v>
      </c>
      <c r="E133">
        <f>VLOOKUP(TablaObra5[[#This Row],[Equipo]],Catalogos!$I$4:$J$39,2,FALSE)</f>
      </c>
      <c r="F133" s="3">
        <v>100</v>
      </c>
      <c r="G133" s="4">
        <v>28.3</v>
      </c>
      <c r="H133" s="4">
        <f t="shared" si="1"/>
      </c>
      <c r="I133">
        <f>VLOOKUP(TablaObra5[[#This Row],[Obra]],Catalogos!$B$3:$C$8,2,FALSE)</f>
      </c>
    </row>
    <row r="134" spans="1:9">
      <c r="A134" s="2">
        <v>46191</v>
      </c>
      <c r="B134" t="s">
        <v>196</v>
      </c>
      <c r="C134" s="2">
        <v>38887</v>
      </c>
      <c r="D134" t="s">
        <v>256</v>
      </c>
      <c r="E134">
        <f>VLOOKUP(TablaObra5[[#This Row],[Equipo]],Catalogos!$I$4:$J$39,2,FALSE)</f>
      </c>
      <c r="F134" s="3">
        <v>200</v>
      </c>
      <c r="G134" s="4">
        <v>28.3</v>
      </c>
      <c r="H134" s="4">
        <f t="shared" si="1"/>
      </c>
      <c r="I134">
        <f>VLOOKUP(TablaObra5[[#This Row],[Obra]],Catalogos!$B$3:$C$8,2,FALSE)</f>
      </c>
    </row>
    <row r="135" spans="1:9">
      <c r="A135" s="2">
        <v>46191</v>
      </c>
      <c r="B135" t="s">
        <v>196</v>
      </c>
      <c r="C135" s="2">
        <v>38887</v>
      </c>
      <c r="D135" t="s">
        <v>189</v>
      </c>
      <c r="E135">
        <f>VLOOKUP(TablaObra5[[#This Row],[Equipo]],Catalogos!$I$4:$J$39,2,FALSE)</f>
      </c>
      <c r="F135" s="3">
        <v>100</v>
      </c>
      <c r="G135" s="4">
        <v>28.3</v>
      </c>
      <c r="H135" s="4">
        <f t="shared" ref="H135:H198" si="2">IFERROR(F135*G135,0)</f>
      </c>
      <c r="I135">
        <f>VLOOKUP(TablaObra5[[#This Row],[Obra]],Catalogos!$B$3:$C$8,2,FALSE)</f>
      </c>
    </row>
    <row r="136" spans="1:9">
      <c r="A136" s="2">
        <v>46191</v>
      </c>
      <c r="B136" t="s">
        <v>196</v>
      </c>
      <c r="C136" s="2">
        <v>38887</v>
      </c>
      <c r="D136" t="s">
        <v>258</v>
      </c>
      <c r="E136">
        <f>VLOOKUP(TablaObra5[[#This Row],[Equipo]],Catalogos!$I$4:$J$39,2,FALSE)</f>
      </c>
      <c r="F136" s="3">
        <v>100</v>
      </c>
      <c r="G136" s="4">
        <v>28.3</v>
      </c>
      <c r="H136" s="4">
        <f t="shared" si="2"/>
      </c>
      <c r="I136">
        <f>VLOOKUP(TablaObra5[[#This Row],[Obra]],Catalogos!$B$3:$C$8,2,FALSE)</f>
      </c>
    </row>
    <row r="137" spans="1:9">
      <c r="A137" s="2">
        <v>46191</v>
      </c>
      <c r="B137" t="s">
        <v>4</v>
      </c>
      <c r="C137" s="2">
        <v>38887</v>
      </c>
      <c r="D137" t="s">
        <v>81</v>
      </c>
      <c r="E137">
        <f>VLOOKUP(TablaObra5[[#This Row],[Equipo]],Catalogos!$I$4:$J$39,2,FALSE)</f>
      </c>
      <c r="F137" s="3">
        <v>80</v>
      </c>
      <c r="G137" s="4">
        <v>28.3</v>
      </c>
      <c r="H137" s="4">
        <f t="shared" si="2"/>
      </c>
      <c r="I137">
        <f>VLOOKUP(TablaObra5[[#This Row],[Obra]],Catalogos!$B$3:$C$8,2,FALSE)</f>
      </c>
    </row>
    <row r="138" spans="1:9">
      <c r="A138" s="2">
        <v>46191</v>
      </c>
      <c r="B138" t="s">
        <v>4</v>
      </c>
      <c r="C138" s="2">
        <v>38887</v>
      </c>
      <c r="D138" t="s">
        <v>158</v>
      </c>
      <c r="E138">
        <f>VLOOKUP(TablaObra5[[#This Row],[Equipo]],Catalogos!$I$4:$J$39,2,FALSE)</f>
      </c>
      <c r="F138" s="3">
        <v>50</v>
      </c>
      <c r="G138" s="4">
        <v>28.3</v>
      </c>
      <c r="H138" s="4">
        <f t="shared" si="2"/>
      </c>
      <c r="I138">
        <f>VLOOKUP(TablaObra5[[#This Row],[Obra]],Catalogos!$B$3:$C$8,2,FALSE)</f>
      </c>
    </row>
    <row r="139" spans="1:9">
      <c r="A139" s="2">
        <v>46191</v>
      </c>
      <c r="B139" t="s">
        <v>4</v>
      </c>
      <c r="C139" s="2">
        <v>38887</v>
      </c>
      <c r="D139" t="s">
        <v>160</v>
      </c>
      <c r="E139">
        <f>VLOOKUP(TablaObra5[[#This Row],[Equipo]],Catalogos!$I$4:$J$39,2,FALSE)</f>
      </c>
      <c r="F139" s="3">
        <v>30</v>
      </c>
      <c r="G139" s="4">
        <v>28.3</v>
      </c>
      <c r="H139" s="4">
        <f t="shared" si="2"/>
      </c>
      <c r="I139">
        <f>VLOOKUP(TablaObra5[[#This Row],[Obra]],Catalogos!$B$3:$C$8,2,FALSE)</f>
      </c>
    </row>
    <row r="140" spans="1:9">
      <c r="A140" s="2">
        <v>46191</v>
      </c>
      <c r="B140" t="s">
        <v>4</v>
      </c>
      <c r="C140" s="2">
        <v>38887</v>
      </c>
      <c r="D140" t="s">
        <v>139</v>
      </c>
      <c r="E140">
        <f>VLOOKUP(TablaObra5[[#This Row],[Equipo]],Catalogos!$I$4:$J$39,2,FALSE)</f>
      </c>
      <c r="F140" s="3">
        <v>50</v>
      </c>
      <c r="G140" s="4">
        <v>28.3</v>
      </c>
      <c r="H140" s="4">
        <f t="shared" si="2"/>
      </c>
      <c r="I140">
        <f>VLOOKUP(TablaObra5[[#This Row],[Obra]],Catalogos!$B$3:$C$8,2,FALSE)</f>
      </c>
    </row>
    <row r="141" spans="1:9">
      <c r="A141" s="2">
        <v>46191</v>
      </c>
      <c r="B141" t="s">
        <v>4</v>
      </c>
      <c r="C141" s="2">
        <v>38887</v>
      </c>
      <c r="D141" t="s">
        <v>88</v>
      </c>
      <c r="E141">
        <f>VLOOKUP(TablaObra5[[#This Row],[Equipo]],Catalogos!$I$4:$J$39,2,FALSE)</f>
      </c>
      <c r="F141" s="3">
        <v>50</v>
      </c>
      <c r="G141" s="4">
        <v>28.3</v>
      </c>
      <c r="H141" s="4">
        <f t="shared" si="2"/>
      </c>
      <c r="I141">
        <f>VLOOKUP(TablaObra5[[#This Row],[Obra]],Catalogos!$B$3:$C$8,2,FALSE)</f>
      </c>
    </row>
    <row r="142" spans="1:9">
      <c r="A142" s="2">
        <v>46191</v>
      </c>
      <c r="B142" t="s">
        <v>4</v>
      </c>
      <c r="C142" s="2">
        <v>38887</v>
      </c>
      <c r="D142" t="s">
        <v>138</v>
      </c>
      <c r="E142">
        <f>VLOOKUP(TablaObra5[[#This Row],[Equipo]],Catalogos!$I$4:$J$39,2,FALSE)</f>
      </c>
      <c r="F142" s="3">
        <v>200</v>
      </c>
      <c r="G142" s="4">
        <v>28.3</v>
      </c>
      <c r="H142" s="4">
        <f t="shared" si="2"/>
      </c>
      <c r="I142">
        <f>VLOOKUP(TablaObra5[[#This Row],[Obra]],Catalogos!$B$3:$C$8,2,FALSE)</f>
      </c>
    </row>
    <row r="143" spans="1:9">
      <c r="A143" s="2">
        <v>46191</v>
      </c>
      <c r="B143" t="s">
        <v>4</v>
      </c>
      <c r="C143" s="2">
        <v>38887</v>
      </c>
      <c r="D143" t="s">
        <v>134</v>
      </c>
      <c r="E143">
        <f>VLOOKUP(TablaObra5[[#This Row],[Equipo]],Catalogos!$I$4:$J$39,2,FALSE)</f>
      </c>
      <c r="F143" s="3">
        <v>130</v>
      </c>
      <c r="G143" s="4">
        <v>28.3</v>
      </c>
      <c r="H143" s="4">
        <f t="shared" si="2"/>
      </c>
      <c r="I143">
        <f>VLOOKUP(TablaObra5[[#This Row],[Obra]],Catalogos!$B$3:$C$8,2,FALSE)</f>
      </c>
    </row>
    <row r="144" spans="1:9">
      <c r="A144" s="2">
        <v>46191</v>
      </c>
      <c r="B144" t="s">
        <v>4</v>
      </c>
      <c r="C144" s="2">
        <v>38887</v>
      </c>
      <c r="D144" t="s">
        <v>172</v>
      </c>
      <c r="E144">
        <f>VLOOKUP(TablaObra5[[#This Row],[Equipo]],Catalogos!$I$4:$J$39,2,FALSE)</f>
      </c>
      <c r="F144" s="3">
        <v>20</v>
      </c>
      <c r="G144" s="4">
        <v>28.3</v>
      </c>
      <c r="H144" s="4">
        <f t="shared" si="2"/>
      </c>
      <c r="I144">
        <f>VLOOKUP(TablaObra5[[#This Row],[Obra]],Catalogos!$B$3:$C$8,2,FALSE)</f>
      </c>
    </row>
    <row r="145" spans="1:9">
      <c r="A145" s="2">
        <v>46191</v>
      </c>
      <c r="B145" t="s">
        <v>4</v>
      </c>
      <c r="C145" s="2">
        <v>38887</v>
      </c>
      <c r="D145" t="s">
        <v>170</v>
      </c>
      <c r="E145">
        <f>VLOOKUP(TablaObra5[[#This Row],[Equipo]],Catalogos!$I$4:$J$39,2,FALSE)</f>
      </c>
      <c r="F145" s="3">
        <v>10</v>
      </c>
      <c r="G145" s="4">
        <v>28.3</v>
      </c>
      <c r="H145" s="4">
        <f t="shared" si="2"/>
      </c>
      <c r="I145">
        <f>VLOOKUP(TablaObra5[[#This Row],[Obra]],Catalogos!$B$3:$C$8,2,FALSE)</f>
      </c>
    </row>
    <row r="146" spans="1:9">
      <c r="A146" s="2">
        <v>46191</v>
      </c>
      <c r="B146" t="s">
        <v>4</v>
      </c>
      <c r="C146" s="2">
        <v>38887</v>
      </c>
      <c r="D146" t="s">
        <v>86</v>
      </c>
      <c r="E146">
        <f>VLOOKUP(TablaObra5[[#This Row],[Equipo]],Catalogos!$I$4:$J$39,2,FALSE)</f>
      </c>
      <c r="F146" s="3">
        <v>80</v>
      </c>
      <c r="G146" s="4">
        <v>28.3</v>
      </c>
      <c r="H146" s="4">
        <f t="shared" si="2"/>
      </c>
      <c r="I146">
        <f>VLOOKUP(TablaObra5[[#This Row],[Obra]],Catalogos!$B$3:$C$8,2,FALSE)</f>
      </c>
    </row>
    <row r="147" spans="1:9">
      <c r="A147" s="2">
        <v>46192</v>
      </c>
      <c r="B147" t="s">
        <v>3</v>
      </c>
      <c r="C147" s="2">
        <v>46192</v>
      </c>
      <c r="D147" t="s">
        <v>156</v>
      </c>
      <c r="E147">
        <f>VLOOKUP(TablaObra5[[#This Row],[Equipo]],Catalogos!$I$4:$J$39,2,FALSE)</f>
      </c>
      <c r="F147" s="3">
        <v>100</v>
      </c>
      <c r="G147" s="4">
        <v>28.3</v>
      </c>
      <c r="H147" s="4">
        <f t="shared" si="2"/>
      </c>
      <c r="I147">
        <f>VLOOKUP(TablaObra5[[#This Row],[Obra]],Catalogos!$B$3:$C$8,2,FALSE)</f>
      </c>
    </row>
    <row r="148" spans="1:9">
      <c r="A148" s="2">
        <v>46192</v>
      </c>
      <c r="B148" t="s">
        <v>3</v>
      </c>
      <c r="C148" s="2">
        <v>46192</v>
      </c>
      <c r="D148" t="s">
        <v>172</v>
      </c>
      <c r="E148">
        <f>VLOOKUP(TablaObra5[[#This Row],[Equipo]],Catalogos!$I$4:$J$39,2,FALSE)</f>
      </c>
      <c r="F148" s="3">
        <v>20</v>
      </c>
      <c r="G148" s="4">
        <v>28.3</v>
      </c>
      <c r="H148" s="4">
        <f t="shared" si="2"/>
      </c>
      <c r="I148">
        <f>VLOOKUP(TablaObra5[[#This Row],[Obra]],Catalogos!$B$3:$C$8,2,FALSE)</f>
      </c>
    </row>
    <row r="149" spans="1:9">
      <c r="A149" s="2">
        <v>46192</v>
      </c>
      <c r="B149" t="s">
        <v>3</v>
      </c>
      <c r="C149" s="2">
        <v>46192</v>
      </c>
      <c r="D149" t="s">
        <v>259</v>
      </c>
      <c r="E149">
        <f>VLOOKUP(TablaObra5[[#This Row],[Equipo]],Catalogos!$I$4:$J$39,2,FALSE)</f>
      </c>
      <c r="F149" s="3">
        <v>60</v>
      </c>
      <c r="G149" s="4">
        <v>28.3</v>
      </c>
      <c r="H149" s="4">
        <f t="shared" si="2"/>
      </c>
      <c r="I149">
        <f>VLOOKUP(TablaObra5[[#This Row],[Obra]],Catalogos!$B$3:$C$8,2,FALSE)</f>
      </c>
    </row>
    <row r="150" spans="1:9">
      <c r="A150" s="2">
        <v>46192</v>
      </c>
      <c r="B150" t="s">
        <v>3</v>
      </c>
      <c r="C150" s="2">
        <v>46192</v>
      </c>
      <c r="D150" t="s">
        <v>155</v>
      </c>
      <c r="E150">
        <f>VLOOKUP(TablaObra5[[#This Row],[Equipo]],Catalogos!$I$4:$J$39,2,FALSE)</f>
      </c>
      <c r="F150" s="3">
        <v>80</v>
      </c>
      <c r="G150" s="4">
        <v>28.3</v>
      </c>
      <c r="H150" s="4">
        <f t="shared" si="2"/>
      </c>
      <c r="I150">
        <f>VLOOKUP(TablaObra5[[#This Row],[Obra]],Catalogos!$B$3:$C$8,2,FALSE)</f>
      </c>
    </row>
    <row r="151" spans="1:9">
      <c r="A151" s="2">
        <v>46192</v>
      </c>
      <c r="B151" t="s">
        <v>3</v>
      </c>
      <c r="C151" s="2">
        <v>46192</v>
      </c>
      <c r="D151" t="s">
        <v>149</v>
      </c>
      <c r="E151">
        <f>VLOOKUP(TablaObra5[[#This Row],[Equipo]],Catalogos!$I$4:$J$39,2,FALSE)</f>
      </c>
      <c r="F151" s="3">
        <v>40</v>
      </c>
      <c r="G151" s="4">
        <v>28.3</v>
      </c>
      <c r="H151" s="4">
        <f t="shared" si="2"/>
      </c>
      <c r="I151">
        <f>VLOOKUP(TablaObra5[[#This Row],[Obra]],Catalogos!$B$3:$C$8,2,FALSE)</f>
      </c>
    </row>
    <row r="152" spans="1:9">
      <c r="A152" s="2">
        <v>46192</v>
      </c>
      <c r="B152" t="s">
        <v>3</v>
      </c>
      <c r="C152" s="2">
        <v>46192</v>
      </c>
      <c r="D152" t="s">
        <v>81</v>
      </c>
      <c r="E152">
        <f>VLOOKUP(TablaObra5[[#This Row],[Equipo]],Catalogos!$I$4:$J$39,2,FALSE)</f>
      </c>
      <c r="F152" s="3">
        <v>80</v>
      </c>
      <c r="G152" s="4">
        <v>28.3</v>
      </c>
      <c r="H152" s="4">
        <f t="shared" si="2"/>
      </c>
      <c r="I152">
        <f>VLOOKUP(TablaObra5[[#This Row],[Obra]],Catalogos!$B$3:$C$8,2,FALSE)</f>
      </c>
    </row>
    <row r="153" spans="1:9">
      <c r="A153" s="2">
        <v>46192</v>
      </c>
      <c r="B153" t="s">
        <v>3</v>
      </c>
      <c r="C153" s="2">
        <v>46192</v>
      </c>
      <c r="D153" t="s">
        <v>86</v>
      </c>
      <c r="E153">
        <f>VLOOKUP(TablaObra5[[#This Row],[Equipo]],Catalogos!$I$4:$J$39,2,FALSE)</f>
      </c>
      <c r="F153" s="3">
        <v>50</v>
      </c>
      <c r="G153" s="4">
        <v>28.3</v>
      </c>
      <c r="H153" s="4">
        <f t="shared" si="2"/>
      </c>
      <c r="I153">
        <f>VLOOKUP(TablaObra5[[#This Row],[Obra]],Catalogos!$B$3:$C$8,2,FALSE)</f>
      </c>
    </row>
    <row r="154" spans="1:9">
      <c r="A154" s="2"/>
      <c r="E154">
        <f>VLOOKUP(TablaObra5[[#This Row],[Equipo]],Catalogos!$I$4:$J$39,2,FALSE)</f>
      </c>
      <c r="F154" s="3"/>
      <c r="G154" s="4">
        <v>28.3</v>
      </c>
      <c r="H154" s="4">
        <f t="shared" si="2"/>
      </c>
      <c r="I154">
        <f>VLOOKUP(TablaObra5[[#This Row],[Obra]],Catalogos!$B$3:$C$8,2,FALSE)</f>
      </c>
    </row>
    <row r="155" spans="1:9">
      <c r="A155" s="2"/>
      <c r="E155">
        <f>VLOOKUP(TablaObra5[[#This Row],[Equipo]],Catalogos!$I$4:$J$39,2,FALSE)</f>
      </c>
      <c r="F155" s="3"/>
      <c r="G155" s="4">
        <v>28.3</v>
      </c>
      <c r="H155" s="4">
        <f t="shared" si="2"/>
      </c>
      <c r="I155">
        <f>VLOOKUP(TablaObra5[[#This Row],[Obra]],Catalogos!$B$3:$C$8,2,FALSE)</f>
      </c>
    </row>
    <row r="156" spans="1:9">
      <c r="A156" s="2"/>
      <c r="E156">
        <f>VLOOKUP(TablaObra5[[#This Row],[Equipo]],Catalogos!$I$4:$J$39,2,FALSE)</f>
      </c>
      <c r="F156" s="3"/>
      <c r="G156" s="4">
        <v>28.3</v>
      </c>
      <c r="H156" s="4">
        <f t="shared" si="2"/>
      </c>
      <c r="I156">
        <f>VLOOKUP(TablaObra5[[#This Row],[Obra]],Catalogos!$B$3:$C$8,2,FALSE)</f>
      </c>
    </row>
    <row r="157" spans="1:9">
      <c r="A157" s="2"/>
      <c r="E157">
        <f>VLOOKUP(TablaObra5[[#This Row],[Equipo]],Catalogos!$I$4:$J$39,2,FALSE)</f>
      </c>
      <c r="F157" s="3"/>
      <c r="G157" s="4">
        <v>28.3</v>
      </c>
      <c r="H157" s="4">
        <f t="shared" si="2"/>
      </c>
      <c r="I157">
        <f>VLOOKUP(TablaObra5[[#This Row],[Obra]],Catalogos!$B$3:$C$8,2,FALSE)</f>
      </c>
    </row>
    <row r="158" spans="1:9">
      <c r="A158" s="2"/>
      <c r="E158">
        <f>VLOOKUP(TablaObra5[[#This Row],[Equipo]],Catalogos!$I$4:$J$39,2,FALSE)</f>
      </c>
      <c r="F158" s="3"/>
      <c r="G158" s="4">
        <v>28.3</v>
      </c>
      <c r="H158" s="4">
        <f t="shared" si="2"/>
      </c>
      <c r="I158">
        <f>VLOOKUP(TablaObra5[[#This Row],[Obra]],Catalogos!$B$3:$C$8,2,FALSE)</f>
      </c>
    </row>
    <row r="159" spans="1:9">
      <c r="A159" s="2"/>
      <c r="E159">
        <f>VLOOKUP(TablaObra5[[#This Row],[Equipo]],Catalogos!$I$4:$J$39,2,FALSE)</f>
      </c>
      <c r="F159" s="3"/>
      <c r="G159" s="4">
        <v>28.3</v>
      </c>
      <c r="H159" s="4">
        <f t="shared" si="2"/>
      </c>
      <c r="I159">
        <f>VLOOKUP(TablaObra5[[#This Row],[Obra]],Catalogos!$B$3:$C$8,2,FALSE)</f>
      </c>
    </row>
    <row r="160" spans="1:9">
      <c r="A160" s="2"/>
      <c r="E160">
        <f>VLOOKUP(TablaObra5[[#This Row],[Equipo]],Catalogos!$I$4:$J$39,2,FALSE)</f>
      </c>
      <c r="F160" s="3"/>
      <c r="G160" s="4">
        <v>28.3</v>
      </c>
      <c r="H160" s="4">
        <f t="shared" si="2"/>
      </c>
      <c r="I160">
        <f>VLOOKUP(TablaObra5[[#This Row],[Obra]],Catalogos!$B$3:$C$8,2,FALSE)</f>
      </c>
    </row>
    <row r="161" spans="1:9">
      <c r="A161" s="2"/>
      <c r="E161">
        <f>VLOOKUP(TablaObra5[[#This Row],[Equipo]],Catalogos!$I$4:$J$39,2,FALSE)</f>
      </c>
      <c r="F161" s="3"/>
      <c r="G161" s="4">
        <v>28.3</v>
      </c>
      <c r="H161" s="4">
        <f t="shared" si="2"/>
      </c>
      <c r="I161">
        <f>VLOOKUP(TablaObra5[[#This Row],[Obra]],Catalogos!$B$3:$C$8,2,FALSE)</f>
      </c>
    </row>
    <row r="162" spans="1:9">
      <c r="A162" s="2"/>
      <c r="E162">
        <f>VLOOKUP(TablaObra5[[#This Row],[Equipo]],Catalogos!$I$4:$J$39,2,FALSE)</f>
      </c>
      <c r="F162" s="3"/>
      <c r="G162" s="4">
        <v>28.3</v>
      </c>
      <c r="H162" s="4">
        <f t="shared" si="2"/>
      </c>
      <c r="I162">
        <f>VLOOKUP(TablaObra5[[#This Row],[Obra]],Catalogos!$B$3:$C$8,2,FALSE)</f>
      </c>
    </row>
    <row r="163" spans="1:9">
      <c r="A163" s="2"/>
      <c r="E163">
        <f>VLOOKUP(TablaObra5[[#This Row],[Equipo]],Catalogos!$I$4:$J$39,2,FALSE)</f>
      </c>
      <c r="F163" s="3"/>
      <c r="G163" s="4">
        <v>28.3</v>
      </c>
      <c r="H163" s="4">
        <f t="shared" si="2"/>
      </c>
      <c r="I163">
        <f>VLOOKUP(TablaObra5[[#This Row],[Obra]],Catalogos!$B$3:$C$8,2,FALSE)</f>
      </c>
    </row>
    <row r="164" spans="1:9">
      <c r="A164" s="2"/>
      <c r="E164">
        <f>VLOOKUP(TablaObra5[[#This Row],[Equipo]],Catalogos!$I$4:$J$39,2,FALSE)</f>
      </c>
      <c r="F164" s="3"/>
      <c r="G164" s="4">
        <v>28.3</v>
      </c>
      <c r="H164" s="4">
        <f t="shared" si="2"/>
      </c>
      <c r="I164">
        <f>VLOOKUP(TablaObra5[[#This Row],[Obra]],Catalogos!$B$3:$C$8,2,FALSE)</f>
      </c>
    </row>
    <row r="165" spans="1:9">
      <c r="A165" s="2"/>
      <c r="E165">
        <f>VLOOKUP(TablaObra5[[#This Row],[Equipo]],Catalogos!$I$4:$J$39,2,FALSE)</f>
      </c>
      <c r="F165" s="3"/>
      <c r="G165" s="4">
        <v>28.3</v>
      </c>
      <c r="H165" s="4">
        <f t="shared" si="2"/>
      </c>
      <c r="I165">
        <f>VLOOKUP(TablaObra5[[#This Row],[Obra]],Catalogos!$B$3:$C$8,2,FALSE)</f>
      </c>
    </row>
    <row r="166" spans="1:9">
      <c r="A166" s="2"/>
      <c r="E166">
        <f>VLOOKUP(TablaObra5[[#This Row],[Equipo]],Catalogos!$I$4:$J$39,2,FALSE)</f>
      </c>
      <c r="F166" s="3"/>
      <c r="G166" s="4">
        <v>28.3</v>
      </c>
      <c r="H166" s="4">
        <f t="shared" si="2"/>
      </c>
      <c r="I166">
        <f>VLOOKUP(TablaObra5[[#This Row],[Obra]],Catalogos!$B$3:$C$8,2,FALSE)</f>
      </c>
    </row>
    <row r="167" spans="1:9">
      <c r="A167" s="2"/>
      <c r="E167">
        <f>VLOOKUP(TablaObra5[[#This Row],[Equipo]],Catalogos!$I$4:$J$39,2,FALSE)</f>
      </c>
      <c r="F167" s="3"/>
      <c r="G167" s="4">
        <v>28.3</v>
      </c>
      <c r="H167" s="4">
        <f t="shared" si="2"/>
      </c>
      <c r="I167">
        <f>VLOOKUP(TablaObra5[[#This Row],[Obra]],Catalogos!$B$3:$C$8,2,FALSE)</f>
      </c>
    </row>
    <row r="168" spans="1:9">
      <c r="A168" s="2"/>
      <c r="E168">
        <f>VLOOKUP(TablaObra5[[#This Row],[Equipo]],Catalogos!$I$4:$J$39,2,FALSE)</f>
      </c>
      <c r="F168" s="3"/>
      <c r="G168" s="4">
        <v>28.3</v>
      </c>
      <c r="H168" s="4">
        <f t="shared" si="2"/>
      </c>
      <c r="I168">
        <f>VLOOKUP(TablaObra5[[#This Row],[Obra]],Catalogos!$B$3:$C$8,2,FALSE)</f>
      </c>
    </row>
    <row r="169" spans="1:9">
      <c r="A169" s="2"/>
      <c r="E169">
        <f>VLOOKUP(TablaObra5[[#This Row],[Equipo]],Catalogos!$I$4:$J$39,2,FALSE)</f>
      </c>
      <c r="F169" s="3"/>
      <c r="G169" s="4">
        <v>28.3</v>
      </c>
      <c r="H169" s="4">
        <f t="shared" si="2"/>
      </c>
      <c r="I169">
        <f>VLOOKUP(TablaObra5[[#This Row],[Obra]],Catalogos!$B$3:$C$8,2,FALSE)</f>
      </c>
    </row>
    <row r="170" spans="1:9">
      <c r="A170" s="2"/>
      <c r="E170">
        <f>VLOOKUP(TablaObra5[[#This Row],[Equipo]],Catalogos!$I$4:$J$39,2,FALSE)</f>
      </c>
      <c r="F170" s="3"/>
      <c r="G170" s="4">
        <v>28.3</v>
      </c>
      <c r="H170" s="4">
        <f t="shared" si="2"/>
      </c>
      <c r="I170">
        <f>VLOOKUP(TablaObra5[[#This Row],[Obra]],Catalogos!$B$3:$C$8,2,FALSE)</f>
      </c>
    </row>
    <row r="171" spans="1:9">
      <c r="A171" s="2"/>
      <c r="E171">
        <f>VLOOKUP(TablaObra5[[#This Row],[Equipo]],Catalogos!$I$4:$J$39,2,FALSE)</f>
      </c>
      <c r="F171" s="3"/>
      <c r="G171" s="4">
        <v>28.3</v>
      </c>
      <c r="H171" s="4">
        <f t="shared" si="2"/>
      </c>
      <c r="I171">
        <f>VLOOKUP(TablaObra5[[#This Row],[Obra]],Catalogos!$B$3:$C$8,2,FALSE)</f>
      </c>
    </row>
    <row r="172" spans="1:9">
      <c r="A172" s="2"/>
      <c r="E172">
        <f>VLOOKUP(TablaObra5[[#This Row],[Equipo]],Catalogos!$I$4:$J$39,2,FALSE)</f>
      </c>
      <c r="F172" s="3"/>
      <c r="G172" s="4">
        <v>28.3</v>
      </c>
      <c r="H172" s="4">
        <f t="shared" si="2"/>
      </c>
      <c r="I172">
        <f>VLOOKUP(TablaObra5[[#This Row],[Obra]],Catalogos!$B$3:$C$8,2,FALSE)</f>
      </c>
    </row>
    <row r="173" spans="1:9">
      <c r="A173" s="2"/>
      <c r="E173">
        <f>VLOOKUP(TablaObra5[[#This Row],[Equipo]],Catalogos!$I$4:$J$39,2,FALSE)</f>
      </c>
      <c r="F173" s="3"/>
      <c r="G173" s="4">
        <v>28.3</v>
      </c>
      <c r="H173" s="4">
        <f t="shared" si="2"/>
      </c>
      <c r="I173">
        <f>VLOOKUP(TablaObra5[[#This Row],[Obra]],Catalogos!$B$3:$C$8,2,FALSE)</f>
      </c>
    </row>
    <row r="174" spans="1:9">
      <c r="A174" s="2"/>
      <c r="E174">
        <f>VLOOKUP(TablaObra5[[#This Row],[Equipo]],Catalogos!$I$4:$J$39,2,FALSE)</f>
      </c>
      <c r="F174" s="3"/>
      <c r="G174" s="4">
        <v>28.3</v>
      </c>
      <c r="H174" s="4">
        <f t="shared" si="2"/>
      </c>
      <c r="I174">
        <f>VLOOKUP(TablaObra5[[#This Row],[Obra]],Catalogos!$B$3:$C$8,2,FALSE)</f>
      </c>
    </row>
    <row r="175" spans="1:9">
      <c r="A175" s="2"/>
      <c r="E175">
        <f>VLOOKUP(TablaObra5[[#This Row],[Equipo]],Catalogos!$I$4:$J$39,2,FALSE)</f>
      </c>
      <c r="F175" s="3"/>
      <c r="G175" s="4">
        <v>28.3</v>
      </c>
      <c r="H175" s="4">
        <f t="shared" si="2"/>
      </c>
      <c r="I175">
        <f>VLOOKUP(TablaObra5[[#This Row],[Obra]],Catalogos!$B$3:$C$8,2,FALSE)</f>
      </c>
    </row>
    <row r="176" spans="1:9">
      <c r="A176" s="2"/>
      <c r="E176">
        <f>VLOOKUP(TablaObra5[[#This Row],[Equipo]],Catalogos!$I$4:$J$39,2,FALSE)</f>
      </c>
      <c r="F176" s="3"/>
      <c r="G176" s="4">
        <v>28.3</v>
      </c>
      <c r="H176" s="4">
        <f t="shared" si="2"/>
      </c>
      <c r="I176">
        <f>VLOOKUP(TablaObra5[[#This Row],[Obra]],Catalogos!$B$3:$C$8,2,FALSE)</f>
      </c>
    </row>
    <row r="177" spans="1:9">
      <c r="A177" s="2"/>
      <c r="E177">
        <f>VLOOKUP(TablaObra5[[#This Row],[Equipo]],Catalogos!$I$4:$J$39,2,FALSE)</f>
      </c>
      <c r="F177" s="3"/>
      <c r="G177" s="4">
        <v>28.3</v>
      </c>
      <c r="H177" s="4">
        <f t="shared" si="2"/>
      </c>
      <c r="I177">
        <f>VLOOKUP(TablaObra5[[#This Row],[Obra]],Catalogos!$B$3:$C$8,2,FALSE)</f>
      </c>
    </row>
    <row r="178" spans="1:9">
      <c r="A178" s="2"/>
      <c r="E178">
        <f>VLOOKUP(TablaObra5[[#This Row],[Equipo]],Catalogos!$I$4:$J$39,2,FALSE)</f>
      </c>
      <c r="F178" s="3"/>
      <c r="G178" s="4">
        <v>28.3</v>
      </c>
      <c r="H178" s="4">
        <f t="shared" si="2"/>
      </c>
      <c r="I178">
        <f>VLOOKUP(TablaObra5[[#This Row],[Obra]],Catalogos!$B$3:$C$8,2,FALSE)</f>
      </c>
    </row>
    <row r="179" spans="1:9">
      <c r="A179" s="2"/>
      <c r="E179">
        <f>VLOOKUP(TablaObra5[[#This Row],[Equipo]],Catalogos!$I$4:$J$39,2,FALSE)</f>
      </c>
      <c r="F179" s="3"/>
      <c r="G179" s="4">
        <v>28.3</v>
      </c>
      <c r="H179" s="4">
        <f t="shared" si="2"/>
      </c>
      <c r="I179">
        <f>VLOOKUP(TablaObra5[[#This Row],[Obra]],Catalogos!$B$3:$C$8,2,FALSE)</f>
      </c>
    </row>
    <row r="180" spans="1:9">
      <c r="A180" s="2"/>
      <c r="E180">
        <f>VLOOKUP(TablaObra5[[#This Row],[Equipo]],Catalogos!$I$4:$J$39,2,FALSE)</f>
      </c>
      <c r="F180" s="3"/>
      <c r="G180" s="4">
        <v>28.3</v>
      </c>
      <c r="H180" s="4">
        <f t="shared" si="2"/>
      </c>
      <c r="I180">
        <f>VLOOKUP(TablaObra5[[#This Row],[Obra]],Catalogos!$B$3:$C$8,2,FALSE)</f>
      </c>
    </row>
    <row r="181" spans="1:9">
      <c r="A181" s="2"/>
      <c r="E181">
        <f>VLOOKUP(TablaObra5[[#This Row],[Equipo]],Catalogos!$I$4:$J$39,2,FALSE)</f>
      </c>
      <c r="F181" s="3"/>
      <c r="G181" s="4">
        <v>28.3</v>
      </c>
      <c r="H181" s="4">
        <f t="shared" si="2"/>
      </c>
      <c r="I181">
        <f>VLOOKUP(TablaObra5[[#This Row],[Obra]],Catalogos!$B$3:$C$8,2,FALSE)</f>
      </c>
    </row>
    <row r="182" spans="1:9">
      <c r="A182" s="2"/>
      <c r="E182">
        <f>VLOOKUP(TablaObra5[[#This Row],[Equipo]],Catalogos!$I$4:$J$39,2,FALSE)</f>
      </c>
      <c r="F182" s="3"/>
      <c r="G182" s="4">
        <v>28.3</v>
      </c>
      <c r="H182" s="4">
        <f t="shared" si="2"/>
      </c>
      <c r="I182">
        <f>VLOOKUP(TablaObra5[[#This Row],[Obra]],Catalogos!$B$3:$C$8,2,FALSE)</f>
      </c>
    </row>
    <row r="183" spans="1:9">
      <c r="A183" s="2"/>
      <c r="E183">
        <f>VLOOKUP(TablaObra5[[#This Row],[Equipo]],Catalogos!$I$4:$J$39,2,FALSE)</f>
      </c>
      <c r="F183" s="3"/>
      <c r="G183" s="4">
        <v>28.3</v>
      </c>
      <c r="H183" s="4">
        <f t="shared" si="2"/>
      </c>
      <c r="I183">
        <f>VLOOKUP(TablaObra5[[#This Row],[Obra]],Catalogos!$B$3:$C$8,2,FALSE)</f>
      </c>
    </row>
    <row r="184" spans="1:9">
      <c r="A184" s="2"/>
      <c r="E184">
        <f>VLOOKUP(TablaObra5[[#This Row],[Equipo]],Catalogos!$I$4:$J$39,2,FALSE)</f>
      </c>
      <c r="F184" s="3"/>
      <c r="G184" s="4">
        <v>28.3</v>
      </c>
      <c r="H184" s="4">
        <f t="shared" si="2"/>
      </c>
      <c r="I184">
        <f>VLOOKUP(TablaObra5[[#This Row],[Obra]],Catalogos!$B$3:$C$8,2,FALSE)</f>
      </c>
    </row>
    <row r="185" spans="1:9">
      <c r="A185" s="2"/>
      <c r="E185">
        <f>VLOOKUP(TablaObra5[[#This Row],[Equipo]],Catalogos!$I$4:$J$39,2,FALSE)</f>
      </c>
      <c r="F185" s="3"/>
      <c r="G185" s="4">
        <v>28.3</v>
      </c>
      <c r="H185" s="4">
        <f t="shared" si="2"/>
      </c>
      <c r="I185">
        <f>VLOOKUP(TablaObra5[[#This Row],[Obra]],Catalogos!$B$3:$C$8,2,FALSE)</f>
      </c>
    </row>
    <row r="186" spans="1:9">
      <c r="A186" s="2"/>
      <c r="E186">
        <f>VLOOKUP(TablaObra5[[#This Row],[Equipo]],Catalogos!$I$4:$J$39,2,FALSE)</f>
      </c>
      <c r="F186" s="3"/>
      <c r="G186" s="4">
        <v>28.3</v>
      </c>
      <c r="H186" s="4">
        <f t="shared" si="2"/>
      </c>
      <c r="I186">
        <f>VLOOKUP(TablaObra5[[#This Row],[Obra]],Catalogos!$B$3:$C$8,2,FALSE)</f>
      </c>
    </row>
    <row r="187" spans="1:9">
      <c r="A187" s="2"/>
      <c r="E187">
        <f>VLOOKUP(TablaObra5[[#This Row],[Equipo]],Catalogos!$I$4:$J$39,2,FALSE)</f>
      </c>
      <c r="F187" s="3"/>
      <c r="G187" s="4">
        <v>28.3</v>
      </c>
      <c r="H187" s="4">
        <f t="shared" si="2"/>
      </c>
      <c r="I187">
        <f>VLOOKUP(TablaObra5[[#This Row],[Obra]],Catalogos!$B$3:$C$8,2,FALSE)</f>
      </c>
    </row>
    <row r="188" spans="1:9">
      <c r="A188" s="2"/>
      <c r="E188">
        <f>VLOOKUP(TablaObra5[[#This Row],[Equipo]],Catalogos!$I$4:$J$39,2,FALSE)</f>
      </c>
      <c r="F188" s="3"/>
      <c r="G188" s="4">
        <v>28.3</v>
      </c>
      <c r="H188" s="4">
        <f t="shared" si="2"/>
      </c>
      <c r="I188">
        <f>VLOOKUP(TablaObra5[[#This Row],[Obra]],Catalogos!$B$3:$C$8,2,FALSE)</f>
      </c>
    </row>
    <row r="189" spans="1:9">
      <c r="A189" s="2"/>
      <c r="E189">
        <f>VLOOKUP(TablaObra5[[#This Row],[Equipo]],Catalogos!$I$4:$J$39,2,FALSE)</f>
      </c>
      <c r="F189" s="3"/>
      <c r="G189" s="4">
        <v>28.3</v>
      </c>
      <c r="H189" s="4">
        <f t="shared" si="2"/>
      </c>
      <c r="I189">
        <f>VLOOKUP(TablaObra5[[#This Row],[Obra]],Catalogos!$B$3:$C$8,2,FALSE)</f>
      </c>
    </row>
    <row r="190" spans="1:9">
      <c r="A190" s="2"/>
      <c r="E190">
        <f>VLOOKUP(TablaObra5[[#This Row],[Equipo]],Catalogos!$I$4:$J$39,2,FALSE)</f>
      </c>
      <c r="F190" s="3"/>
      <c r="G190" s="4">
        <v>28.3</v>
      </c>
      <c r="H190" s="4">
        <f t="shared" si="2"/>
      </c>
      <c r="I190">
        <f>VLOOKUP(TablaObra5[[#This Row],[Obra]],Catalogos!$B$3:$C$8,2,FALSE)</f>
      </c>
    </row>
    <row r="191" spans="1:9">
      <c r="A191" s="2"/>
      <c r="E191">
        <f>VLOOKUP(TablaObra5[[#This Row],[Equipo]],Catalogos!$I$4:$J$39,2,FALSE)</f>
      </c>
      <c r="F191" s="3"/>
      <c r="G191" s="4">
        <v>28.3</v>
      </c>
      <c r="H191" s="4">
        <f t="shared" si="2"/>
      </c>
      <c r="I191">
        <f>VLOOKUP(TablaObra5[[#This Row],[Obra]],Catalogos!$B$3:$C$8,2,FALSE)</f>
      </c>
    </row>
    <row r="192" spans="1:9">
      <c r="A192" s="2"/>
      <c r="E192">
        <f>VLOOKUP(TablaObra5[[#This Row],[Equipo]],Catalogos!$I$4:$J$39,2,FALSE)</f>
      </c>
      <c r="F192" s="3"/>
      <c r="G192" s="4">
        <v>28.3</v>
      </c>
      <c r="H192" s="4">
        <f t="shared" si="2"/>
      </c>
      <c r="I192">
        <f>VLOOKUP(TablaObra5[[#This Row],[Obra]],Catalogos!$B$3:$C$8,2,FALSE)</f>
      </c>
    </row>
    <row r="193" spans="1:9">
      <c r="A193" s="2"/>
      <c r="E193">
        <f>VLOOKUP(TablaObra5[[#This Row],[Equipo]],Catalogos!$I$4:$J$39,2,FALSE)</f>
      </c>
      <c r="F193" s="3"/>
      <c r="G193" s="4">
        <v>28.3</v>
      </c>
      <c r="H193" s="4">
        <f t="shared" si="2"/>
      </c>
      <c r="I193">
        <f>VLOOKUP(TablaObra5[[#This Row],[Obra]],Catalogos!$B$3:$C$8,2,FALSE)</f>
      </c>
    </row>
    <row r="194" spans="1:9">
      <c r="A194" s="2"/>
      <c r="E194">
        <f>VLOOKUP(TablaObra5[[#This Row],[Equipo]],Catalogos!$I$4:$J$39,2,FALSE)</f>
      </c>
      <c r="F194" s="3"/>
      <c r="G194" s="4">
        <v>28.3</v>
      </c>
      <c r="H194" s="4">
        <f t="shared" si="2"/>
      </c>
      <c r="I194">
        <f>VLOOKUP(TablaObra5[[#This Row],[Obra]],Catalogos!$B$3:$C$8,2,FALSE)</f>
      </c>
    </row>
    <row r="195" spans="1:9">
      <c r="A195" s="2"/>
      <c r="E195">
        <f>VLOOKUP(TablaObra5[[#This Row],[Equipo]],Catalogos!$I$4:$J$39,2,FALSE)</f>
      </c>
      <c r="F195" s="3"/>
      <c r="G195" s="4">
        <v>28.3</v>
      </c>
      <c r="H195" s="4">
        <f t="shared" si="2"/>
      </c>
      <c r="I195">
        <f>VLOOKUP(TablaObra5[[#This Row],[Obra]],Catalogos!$B$3:$C$8,2,FALSE)</f>
      </c>
    </row>
    <row r="196" spans="1:9">
      <c r="A196" s="2"/>
      <c r="E196">
        <f>VLOOKUP(TablaObra5[[#This Row],[Equipo]],Catalogos!$I$4:$J$39,2,FALSE)</f>
      </c>
      <c r="F196" s="3"/>
      <c r="G196" s="4">
        <v>28.3</v>
      </c>
      <c r="H196" s="4">
        <f t="shared" si="2"/>
      </c>
      <c r="I196">
        <f>VLOOKUP(TablaObra5[[#This Row],[Obra]],Catalogos!$B$3:$C$8,2,FALSE)</f>
      </c>
    </row>
    <row r="197" spans="1:9">
      <c r="A197" s="2"/>
      <c r="E197">
        <f>VLOOKUP(TablaObra5[[#This Row],[Equipo]],Catalogos!$I$4:$J$39,2,FALSE)</f>
      </c>
      <c r="F197" s="3"/>
      <c r="G197" s="4">
        <v>28.3</v>
      </c>
      <c r="H197" s="4">
        <f t="shared" si="2"/>
      </c>
      <c r="I197">
        <f>VLOOKUP(TablaObra5[[#This Row],[Obra]],Catalogos!$B$3:$C$8,2,FALSE)</f>
      </c>
    </row>
    <row r="198" spans="1:9">
      <c r="A198" s="2"/>
      <c r="E198">
        <f>VLOOKUP(TablaObra5[[#This Row],[Equipo]],Catalogos!$I$4:$J$39,2,FALSE)</f>
      </c>
      <c r="F198" s="3"/>
      <c r="G198" s="4">
        <v>28.3</v>
      </c>
      <c r="H198" s="4">
        <f t="shared" si="2"/>
      </c>
      <c r="I198">
        <f>VLOOKUP(TablaObra5[[#This Row],[Obra]],Catalogos!$B$3:$C$8,2,FALSE)</f>
      </c>
    </row>
    <row r="199" spans="1:9">
      <c r="A199" s="2"/>
      <c r="E199">
        <f>VLOOKUP(TablaObra5[[#This Row],[Equipo]],Catalogos!$I$4:$J$39,2,FALSE)</f>
      </c>
      <c r="F199" s="3"/>
      <c r="G199" s="4">
        <v>28.3</v>
      </c>
      <c r="H199" s="4">
        <f t="shared" ref="H199:H262" si="3">IFERROR(F199*G199,0)</f>
      </c>
      <c r="I199">
        <f>VLOOKUP(TablaObra5[[#This Row],[Obra]],Catalogos!$B$3:$C$8,2,FALSE)</f>
      </c>
    </row>
    <row r="200" spans="1:9">
      <c r="A200" s="2"/>
      <c r="E200">
        <f>VLOOKUP(TablaObra5[[#This Row],[Equipo]],Catalogos!$I$4:$J$39,2,FALSE)</f>
      </c>
      <c r="F200" s="3"/>
      <c r="G200" s="4">
        <v>28.3</v>
      </c>
      <c r="H200" s="4">
        <f t="shared" si="3"/>
      </c>
      <c r="I200">
        <f>VLOOKUP(TablaObra5[[#This Row],[Obra]],Catalogos!$B$3:$C$8,2,FALSE)</f>
      </c>
    </row>
    <row r="201" spans="1:9">
      <c r="A201" s="2"/>
      <c r="E201">
        <f>VLOOKUP(TablaObra5[[#This Row],[Equipo]],Catalogos!$I$4:$J$39,2,FALSE)</f>
      </c>
      <c r="F201" s="3"/>
      <c r="G201" s="4">
        <v>28.3</v>
      </c>
      <c r="H201" s="4">
        <f t="shared" si="3"/>
      </c>
      <c r="I201">
        <f>VLOOKUP(TablaObra5[[#This Row],[Obra]],Catalogos!$B$3:$C$8,2,FALSE)</f>
      </c>
    </row>
    <row r="202" spans="1:9">
      <c r="A202" s="2"/>
      <c r="E202">
        <f>VLOOKUP(TablaObra5[[#This Row],[Equipo]],Catalogos!$I$4:$J$39,2,FALSE)</f>
      </c>
      <c r="F202" s="3"/>
      <c r="G202" s="4">
        <v>28.3</v>
      </c>
      <c r="H202" s="4">
        <f t="shared" si="3"/>
      </c>
      <c r="I202">
        <f>VLOOKUP(TablaObra5[[#This Row],[Obra]],Catalogos!$B$3:$C$8,2,FALSE)</f>
      </c>
    </row>
    <row r="203" spans="1:9">
      <c r="A203" s="2"/>
      <c r="E203">
        <f>VLOOKUP(TablaObra5[[#This Row],[Equipo]],Catalogos!$I$4:$J$39,2,FALSE)</f>
      </c>
      <c r="F203" s="3"/>
      <c r="G203" s="4">
        <v>28.3</v>
      </c>
      <c r="H203" s="4">
        <f t="shared" si="3"/>
      </c>
      <c r="I203">
        <f>VLOOKUP(TablaObra5[[#This Row],[Obra]],Catalogos!$B$3:$C$8,2,FALSE)</f>
      </c>
    </row>
    <row r="204" spans="1:9">
      <c r="A204" s="2"/>
      <c r="E204">
        <f>VLOOKUP(TablaObra5[[#This Row],[Equipo]],Catalogos!$I$4:$J$39,2,FALSE)</f>
      </c>
      <c r="F204" s="3"/>
      <c r="G204" s="4">
        <v>28.3</v>
      </c>
      <c r="H204" s="4">
        <f t="shared" si="3"/>
      </c>
      <c r="I204">
        <f>VLOOKUP(TablaObra5[[#This Row],[Obra]],Catalogos!$B$3:$C$8,2,FALSE)</f>
      </c>
    </row>
    <row r="205" spans="1:9">
      <c r="A205" s="2"/>
      <c r="E205">
        <f>VLOOKUP(TablaObra5[[#This Row],[Equipo]],Catalogos!$I$4:$J$39,2,FALSE)</f>
      </c>
      <c r="F205" s="3"/>
      <c r="G205" s="4">
        <v>28.3</v>
      </c>
      <c r="H205" s="4">
        <f t="shared" si="3"/>
      </c>
      <c r="I205">
        <f>VLOOKUP(TablaObra5[[#This Row],[Obra]],Catalogos!$B$3:$C$8,2,FALSE)</f>
      </c>
    </row>
    <row r="206" spans="1:9">
      <c r="A206" s="2"/>
      <c r="E206">
        <f>VLOOKUP(TablaObra5[[#This Row],[Equipo]],Catalogos!$I$4:$J$39,2,FALSE)</f>
      </c>
      <c r="F206" s="3"/>
      <c r="G206" s="4">
        <v>28.3</v>
      </c>
      <c r="H206" s="4">
        <f t="shared" si="3"/>
      </c>
      <c r="I206">
        <f>VLOOKUP(TablaObra5[[#This Row],[Obra]],Catalogos!$B$3:$C$8,2,FALSE)</f>
      </c>
    </row>
    <row r="207" spans="1:9">
      <c r="A207" s="2"/>
      <c r="E207">
        <f>VLOOKUP(TablaObra5[[#This Row],[Equipo]],Catalogos!$I$4:$J$39,2,FALSE)</f>
      </c>
      <c r="F207" s="3"/>
      <c r="G207" s="4">
        <v>28.3</v>
      </c>
      <c r="H207" s="4">
        <f t="shared" si="3"/>
      </c>
      <c r="I207">
        <f>VLOOKUP(TablaObra5[[#This Row],[Obra]],Catalogos!$B$3:$C$8,2,FALSE)</f>
      </c>
    </row>
    <row r="208" spans="1:9">
      <c r="A208" s="2"/>
      <c r="E208">
        <f>VLOOKUP(TablaObra5[[#This Row],[Equipo]],Catalogos!$I$4:$J$39,2,FALSE)</f>
      </c>
      <c r="F208" s="3"/>
      <c r="G208" s="4">
        <v>28.3</v>
      </c>
      <c r="H208" s="4">
        <f t="shared" si="3"/>
      </c>
      <c r="I208">
        <f>VLOOKUP(TablaObra5[[#This Row],[Obra]],Catalogos!$B$3:$C$8,2,FALSE)</f>
      </c>
    </row>
    <row r="209" spans="1:9">
      <c r="A209" s="2"/>
      <c r="E209">
        <f>VLOOKUP(TablaObra5[[#This Row],[Equipo]],Catalogos!$I$4:$J$39,2,FALSE)</f>
      </c>
      <c r="F209" s="3"/>
      <c r="G209" s="4">
        <v>28.3</v>
      </c>
      <c r="H209" s="4">
        <f t="shared" si="3"/>
      </c>
      <c r="I209">
        <f>VLOOKUP(TablaObra5[[#This Row],[Obra]],Catalogos!$B$3:$C$8,2,FALSE)</f>
      </c>
    </row>
    <row r="210" spans="1:9">
      <c r="A210" s="2"/>
      <c r="E210">
        <f>VLOOKUP(TablaObra5[[#This Row],[Equipo]],Catalogos!$I$4:$J$39,2,FALSE)</f>
      </c>
      <c r="F210" s="3"/>
      <c r="G210" s="4">
        <v>28.3</v>
      </c>
      <c r="H210" s="4">
        <f t="shared" si="3"/>
      </c>
      <c r="I210">
        <f>VLOOKUP(TablaObra5[[#This Row],[Obra]],Catalogos!$B$3:$C$8,2,FALSE)</f>
      </c>
    </row>
    <row r="211" spans="1:9">
      <c r="A211" s="2"/>
      <c r="E211">
        <f>VLOOKUP(TablaObra5[[#This Row],[Equipo]],Catalogos!$I$4:$J$39,2,FALSE)</f>
      </c>
      <c r="F211" s="3"/>
      <c r="G211" s="4">
        <v>28.3</v>
      </c>
      <c r="H211" s="4">
        <f t="shared" si="3"/>
      </c>
      <c r="I211">
        <f>VLOOKUP(TablaObra5[[#This Row],[Obra]],Catalogos!$B$3:$C$8,2,FALSE)</f>
      </c>
    </row>
    <row r="212" spans="1:9">
      <c r="A212" s="2"/>
      <c r="E212">
        <f>VLOOKUP(TablaObra5[[#This Row],[Equipo]],Catalogos!$I$4:$J$39,2,FALSE)</f>
      </c>
      <c r="F212" s="3"/>
      <c r="G212" s="4">
        <v>28.3</v>
      </c>
      <c r="H212" s="4">
        <f t="shared" si="3"/>
      </c>
      <c r="I212">
        <f>VLOOKUP(TablaObra5[[#This Row],[Obra]],Catalogos!$B$3:$C$8,2,FALSE)</f>
      </c>
    </row>
    <row r="213" spans="1:9">
      <c r="A213" s="2"/>
      <c r="E213">
        <f>VLOOKUP(TablaObra5[[#This Row],[Equipo]],Catalogos!$I$4:$J$39,2,FALSE)</f>
      </c>
      <c r="F213" s="3"/>
      <c r="G213" s="4">
        <v>28.3</v>
      </c>
      <c r="H213" s="4">
        <f t="shared" si="3"/>
      </c>
      <c r="I213">
        <f>VLOOKUP(TablaObra5[[#This Row],[Obra]],Catalogos!$B$3:$C$8,2,FALSE)</f>
      </c>
    </row>
    <row r="214" spans="1:9">
      <c r="A214" s="2"/>
      <c r="E214">
        <f>VLOOKUP(TablaObra5[[#This Row],[Equipo]],Catalogos!$I$4:$J$39,2,FALSE)</f>
      </c>
      <c r="F214" s="3"/>
      <c r="G214" s="4">
        <v>28.3</v>
      </c>
      <c r="H214" s="4">
        <f t="shared" si="3"/>
      </c>
      <c r="I214">
        <f>VLOOKUP(TablaObra5[[#This Row],[Obra]],Catalogos!$B$3:$C$8,2,FALSE)</f>
      </c>
    </row>
    <row r="215" spans="1:9">
      <c r="A215" s="2"/>
      <c r="E215">
        <f>VLOOKUP(TablaObra5[[#This Row],[Equipo]],Catalogos!$I$4:$J$39,2,FALSE)</f>
      </c>
      <c r="F215" s="3"/>
      <c r="G215" s="4">
        <v>28.3</v>
      </c>
      <c r="H215" s="4">
        <f t="shared" si="3"/>
      </c>
      <c r="I215">
        <f>VLOOKUP(TablaObra5[[#This Row],[Obra]],Catalogos!$B$3:$C$8,2,FALSE)</f>
      </c>
    </row>
    <row r="216" spans="1:9">
      <c r="A216" s="2"/>
      <c r="E216">
        <f>VLOOKUP(TablaObra5[[#This Row],[Equipo]],Catalogos!$I$4:$J$39,2,FALSE)</f>
      </c>
      <c r="F216" s="3"/>
      <c r="G216" s="4">
        <v>28.3</v>
      </c>
      <c r="H216" s="4">
        <f t="shared" si="3"/>
      </c>
      <c r="I216">
        <f>VLOOKUP(TablaObra5[[#This Row],[Obra]],Catalogos!$B$3:$C$8,2,FALSE)</f>
      </c>
    </row>
    <row r="217" spans="1:9">
      <c r="A217" s="2"/>
      <c r="E217">
        <f>VLOOKUP(TablaObra5[[#This Row],[Equipo]],Catalogos!$I$4:$J$39,2,FALSE)</f>
      </c>
      <c r="F217" s="3"/>
      <c r="G217" s="4">
        <v>28.3</v>
      </c>
      <c r="H217" s="4">
        <f t="shared" si="3"/>
      </c>
      <c r="I217">
        <f>VLOOKUP(TablaObra5[[#This Row],[Obra]],Catalogos!$B$3:$C$8,2,FALSE)</f>
      </c>
    </row>
    <row r="218" spans="1:9">
      <c r="A218" s="2"/>
      <c r="E218">
        <f>VLOOKUP(TablaObra5[[#This Row],[Equipo]],Catalogos!$I$4:$J$39,2,FALSE)</f>
      </c>
      <c r="F218" s="3"/>
      <c r="G218" s="4">
        <v>28.3</v>
      </c>
      <c r="H218" s="4">
        <f t="shared" si="3"/>
      </c>
      <c r="I218">
        <f>VLOOKUP(TablaObra5[[#This Row],[Obra]],Catalogos!$B$3:$C$8,2,FALSE)</f>
      </c>
    </row>
    <row r="219" spans="1:9">
      <c r="A219" s="2"/>
      <c r="E219">
        <f>VLOOKUP(TablaObra5[[#This Row],[Equipo]],Catalogos!$I$4:$J$39,2,FALSE)</f>
      </c>
      <c r="F219" s="3"/>
      <c r="G219" s="4">
        <v>28.3</v>
      </c>
      <c r="H219" s="4">
        <f t="shared" si="3"/>
      </c>
      <c r="I219">
        <f>VLOOKUP(TablaObra5[[#This Row],[Obra]],Catalogos!$B$3:$C$8,2,FALSE)</f>
      </c>
    </row>
    <row r="220" spans="1:9">
      <c r="A220" s="2"/>
      <c r="E220">
        <f>VLOOKUP(TablaObra5[[#This Row],[Equipo]],Catalogos!$I$4:$J$39,2,FALSE)</f>
      </c>
      <c r="F220" s="3"/>
      <c r="G220" s="4">
        <v>28.3</v>
      </c>
      <c r="H220" s="4">
        <f t="shared" si="3"/>
      </c>
      <c r="I220">
        <f>VLOOKUP(TablaObra5[[#This Row],[Obra]],Catalogos!$B$3:$C$8,2,FALSE)</f>
      </c>
    </row>
    <row r="221" spans="1:9">
      <c r="A221" s="2"/>
      <c r="E221">
        <f>VLOOKUP(TablaObra5[[#This Row],[Equipo]],Catalogos!$I$4:$J$39,2,FALSE)</f>
      </c>
      <c r="F221" s="3"/>
      <c r="G221" s="4">
        <v>28.3</v>
      </c>
      <c r="H221" s="4">
        <f t="shared" si="3"/>
      </c>
      <c r="I221">
        <f>VLOOKUP(TablaObra5[[#This Row],[Obra]],Catalogos!$B$3:$C$8,2,FALSE)</f>
      </c>
    </row>
    <row r="222" spans="1:9">
      <c r="A222" s="2"/>
      <c r="E222">
        <f>VLOOKUP(TablaObra5[[#This Row],[Equipo]],Catalogos!$I$4:$J$39,2,FALSE)</f>
      </c>
      <c r="F222" s="3"/>
      <c r="G222" s="4">
        <v>28.3</v>
      </c>
      <c r="H222" s="4">
        <f t="shared" si="3"/>
      </c>
      <c r="I222">
        <f>VLOOKUP(TablaObra5[[#This Row],[Obra]],Catalogos!$B$3:$C$8,2,FALSE)</f>
      </c>
    </row>
    <row r="223" spans="1:9">
      <c r="A223" s="2"/>
      <c r="E223">
        <f>VLOOKUP(TablaObra5[[#This Row],[Equipo]],Catalogos!$I$4:$J$39,2,FALSE)</f>
      </c>
      <c r="F223" s="3"/>
      <c r="G223" s="4">
        <v>28.3</v>
      </c>
      <c r="H223" s="4">
        <f t="shared" si="3"/>
      </c>
      <c r="I223">
        <f>VLOOKUP(TablaObra5[[#This Row],[Obra]],Catalogos!$B$3:$C$8,2,FALSE)</f>
      </c>
    </row>
    <row r="224" spans="1:9">
      <c r="A224" s="2"/>
      <c r="E224">
        <f>VLOOKUP(TablaObra5[[#This Row],[Equipo]],Catalogos!$I$4:$J$39,2,FALSE)</f>
      </c>
      <c r="F224" s="3"/>
      <c r="G224" s="4">
        <v>28.3</v>
      </c>
      <c r="H224" s="4">
        <f t="shared" si="3"/>
      </c>
      <c r="I224">
        <f>VLOOKUP(TablaObra5[[#This Row],[Obra]],Catalogos!$B$3:$C$8,2,FALSE)</f>
      </c>
    </row>
    <row r="225" spans="1:9">
      <c r="A225" s="2"/>
      <c r="E225">
        <f>VLOOKUP(TablaObra5[[#This Row],[Equipo]],Catalogos!$I$4:$J$39,2,FALSE)</f>
      </c>
      <c r="F225" s="3"/>
      <c r="G225" s="4">
        <v>28.3</v>
      </c>
      <c r="H225" s="4">
        <f t="shared" si="3"/>
      </c>
      <c r="I225">
        <f>VLOOKUP(TablaObra5[[#This Row],[Obra]],Catalogos!$B$3:$C$8,2,FALSE)</f>
      </c>
    </row>
    <row r="226" spans="1:9">
      <c r="A226" s="2"/>
      <c r="E226">
        <f>VLOOKUP(TablaObra5[[#This Row],[Equipo]],Catalogos!$I$4:$J$39,2,FALSE)</f>
      </c>
      <c r="F226" s="3"/>
      <c r="G226" s="4">
        <v>28.3</v>
      </c>
      <c r="H226" s="4">
        <f t="shared" si="3"/>
      </c>
      <c r="I226">
        <f>VLOOKUP(TablaObra5[[#This Row],[Obra]],Catalogos!$B$3:$C$8,2,FALSE)</f>
      </c>
    </row>
    <row r="227" spans="1:9">
      <c r="A227" s="2"/>
      <c r="E227">
        <f>VLOOKUP(TablaObra5[[#This Row],[Equipo]],Catalogos!$I$4:$J$39,2,FALSE)</f>
      </c>
      <c r="F227" s="3"/>
      <c r="G227" s="4">
        <v>28.3</v>
      </c>
      <c r="H227" s="4">
        <f t="shared" si="3"/>
      </c>
      <c r="I227">
        <f>VLOOKUP(TablaObra5[[#This Row],[Obra]],Catalogos!$B$3:$C$8,2,FALSE)</f>
      </c>
    </row>
    <row r="228" spans="1:9">
      <c r="A228" s="2"/>
      <c r="E228">
        <f>VLOOKUP(TablaObra5[[#This Row],[Equipo]],Catalogos!$I$4:$J$39,2,FALSE)</f>
      </c>
      <c r="F228" s="3"/>
      <c r="G228" s="4">
        <v>28.3</v>
      </c>
      <c r="H228" s="4">
        <f t="shared" si="3"/>
      </c>
      <c r="I228">
        <f>VLOOKUP(TablaObra5[[#This Row],[Obra]],Catalogos!$B$3:$C$8,2,FALSE)</f>
      </c>
    </row>
    <row r="229" spans="1:9">
      <c r="A229" s="2"/>
      <c r="E229">
        <f>VLOOKUP(TablaObra5[[#This Row],[Equipo]],Catalogos!$I$4:$J$39,2,FALSE)</f>
      </c>
      <c r="F229" s="3"/>
      <c r="G229" s="4">
        <v>28.3</v>
      </c>
      <c r="H229" s="4">
        <f t="shared" si="3"/>
      </c>
      <c r="I229">
        <f>VLOOKUP(TablaObra5[[#This Row],[Obra]],Catalogos!$B$3:$C$8,2,FALSE)</f>
      </c>
    </row>
    <row r="230" spans="1:9">
      <c r="A230" s="2"/>
      <c r="E230">
        <f>VLOOKUP(TablaObra5[[#This Row],[Equipo]],Catalogos!$I$4:$J$39,2,FALSE)</f>
      </c>
      <c r="F230" s="3"/>
      <c r="G230" s="4">
        <v>28.3</v>
      </c>
      <c r="H230" s="4">
        <f t="shared" si="3"/>
      </c>
      <c r="I230">
        <f>VLOOKUP(TablaObra5[[#This Row],[Obra]],Catalogos!$B$3:$C$8,2,FALSE)</f>
      </c>
    </row>
    <row r="231" spans="1:9">
      <c r="A231" s="2"/>
      <c r="E231">
        <f>VLOOKUP(TablaObra5[[#This Row],[Equipo]],Catalogos!$I$4:$J$39,2,FALSE)</f>
      </c>
      <c r="F231" s="3"/>
      <c r="G231" s="4">
        <v>28.3</v>
      </c>
      <c r="H231" s="4">
        <f t="shared" si="3"/>
      </c>
      <c r="I231">
        <f>VLOOKUP(TablaObra5[[#This Row],[Obra]],Catalogos!$B$3:$C$8,2,FALSE)</f>
      </c>
    </row>
    <row r="232" spans="1:9">
      <c r="A232" s="2"/>
      <c r="E232">
        <f>VLOOKUP(TablaObra5[[#This Row],[Equipo]],Catalogos!$I$4:$J$39,2,FALSE)</f>
      </c>
      <c r="F232" s="3"/>
      <c r="G232" s="4">
        <v>28.3</v>
      </c>
      <c r="H232" s="4">
        <f t="shared" si="3"/>
      </c>
      <c r="I232">
        <f>VLOOKUP(TablaObra5[[#This Row],[Obra]],Catalogos!$B$3:$C$8,2,FALSE)</f>
      </c>
    </row>
    <row r="233" spans="1:9">
      <c r="A233" s="2"/>
      <c r="E233">
        <f>VLOOKUP(TablaObra5[[#This Row],[Equipo]],Catalogos!$I$4:$J$39,2,FALSE)</f>
      </c>
      <c r="F233" s="3"/>
      <c r="G233" s="4">
        <v>28.3</v>
      </c>
      <c r="H233" s="4">
        <f t="shared" si="3"/>
      </c>
      <c r="I233">
        <f>VLOOKUP(TablaObra5[[#This Row],[Obra]],Catalogos!$B$3:$C$8,2,FALSE)</f>
      </c>
    </row>
    <row r="234" spans="1:9">
      <c r="A234" s="2"/>
      <c r="E234">
        <f>VLOOKUP(TablaObra5[[#This Row],[Equipo]],Catalogos!$I$4:$J$39,2,FALSE)</f>
      </c>
      <c r="F234" s="3"/>
      <c r="G234" s="4">
        <v>28.3</v>
      </c>
      <c r="H234" s="4">
        <f t="shared" si="3"/>
      </c>
      <c r="I234">
        <f>VLOOKUP(TablaObra5[[#This Row],[Obra]],Catalogos!$B$3:$C$8,2,FALSE)</f>
      </c>
    </row>
    <row r="235" spans="1:9">
      <c r="A235" s="2"/>
      <c r="E235">
        <f>VLOOKUP(TablaObra5[[#This Row],[Equipo]],Catalogos!$I$4:$J$39,2,FALSE)</f>
      </c>
      <c r="F235" s="3"/>
      <c r="G235" s="4">
        <v>28.3</v>
      </c>
      <c r="H235" s="4">
        <f t="shared" si="3"/>
      </c>
      <c r="I235">
        <f>VLOOKUP(TablaObra5[[#This Row],[Obra]],Catalogos!$B$3:$C$8,2,FALSE)</f>
      </c>
    </row>
    <row r="236" spans="1:9">
      <c r="A236" s="2"/>
      <c r="E236">
        <f>VLOOKUP(TablaObra5[[#This Row],[Equipo]],Catalogos!$I$4:$J$39,2,FALSE)</f>
      </c>
      <c r="F236" s="3"/>
      <c r="G236" s="4">
        <v>28.3</v>
      </c>
      <c r="H236" s="4">
        <f t="shared" si="3"/>
      </c>
      <c r="I236">
        <f>VLOOKUP(TablaObra5[[#This Row],[Obra]],Catalogos!$B$3:$C$8,2,FALSE)</f>
      </c>
    </row>
    <row r="237" spans="1:9">
      <c r="A237" s="2"/>
      <c r="E237">
        <f>VLOOKUP(TablaObra5[[#This Row],[Equipo]],Catalogos!$I$4:$J$39,2,FALSE)</f>
      </c>
      <c r="F237" s="3"/>
      <c r="G237" s="4">
        <v>28.3</v>
      </c>
      <c r="H237" s="4">
        <f t="shared" si="3"/>
      </c>
      <c r="I237">
        <f>VLOOKUP(TablaObra5[[#This Row],[Obra]],Catalogos!$B$3:$C$8,2,FALSE)</f>
      </c>
    </row>
    <row r="238" spans="1:9">
      <c r="A238" s="2"/>
      <c r="E238">
        <f>VLOOKUP(TablaObra5[[#This Row],[Equipo]],Catalogos!$I$4:$J$39,2,FALSE)</f>
      </c>
      <c r="F238" s="3"/>
      <c r="G238" s="4">
        <v>28.3</v>
      </c>
      <c r="H238" s="4">
        <f t="shared" si="3"/>
      </c>
      <c r="I238">
        <f>VLOOKUP(TablaObra5[[#This Row],[Obra]],Catalogos!$B$3:$C$8,2,FALSE)</f>
      </c>
    </row>
    <row r="239" spans="1:9">
      <c r="A239" s="2"/>
      <c r="E239">
        <f>VLOOKUP(TablaObra5[[#This Row],[Equipo]],Catalogos!$I$4:$J$39,2,FALSE)</f>
      </c>
      <c r="F239" s="3"/>
      <c r="G239" s="4">
        <v>28.3</v>
      </c>
      <c r="H239" s="4">
        <f t="shared" si="3"/>
      </c>
      <c r="I239">
        <f>VLOOKUP(TablaObra5[[#This Row],[Obra]],Catalogos!$B$3:$C$8,2,FALSE)</f>
      </c>
    </row>
    <row r="240" spans="1:9">
      <c r="A240" s="2"/>
      <c r="E240">
        <f>VLOOKUP(TablaObra5[[#This Row],[Equipo]],Catalogos!$I$4:$J$39,2,FALSE)</f>
      </c>
      <c r="F240" s="3"/>
      <c r="G240" s="4">
        <v>28.3</v>
      </c>
      <c r="H240" s="4">
        <f t="shared" si="3"/>
      </c>
      <c r="I240">
        <f>VLOOKUP(TablaObra5[[#This Row],[Obra]],Catalogos!$B$3:$C$8,2,FALSE)</f>
      </c>
    </row>
    <row r="241" spans="1:9">
      <c r="A241" s="2"/>
      <c r="E241">
        <f>VLOOKUP(TablaObra5[[#This Row],[Equipo]],Catalogos!$I$4:$J$39,2,FALSE)</f>
      </c>
      <c r="F241" s="3"/>
      <c r="G241" s="4">
        <v>28.3</v>
      </c>
      <c r="H241" s="4">
        <f t="shared" si="3"/>
      </c>
      <c r="I241">
        <f>VLOOKUP(TablaObra5[[#This Row],[Obra]],Catalogos!$B$3:$C$8,2,FALSE)</f>
      </c>
    </row>
    <row r="242" spans="1:9">
      <c r="A242" s="2"/>
      <c r="E242">
        <f>VLOOKUP(TablaObra5[[#This Row],[Equipo]],Catalogos!$I$4:$J$39,2,FALSE)</f>
      </c>
      <c r="F242" s="3"/>
      <c r="G242" s="4">
        <v>28.3</v>
      </c>
      <c r="H242" s="4">
        <f t="shared" si="3"/>
      </c>
      <c r="I242">
        <f>VLOOKUP(TablaObra5[[#This Row],[Obra]],Catalogos!$B$3:$C$8,2,FALSE)</f>
      </c>
    </row>
    <row r="243" spans="1:9">
      <c r="A243" s="2"/>
      <c r="E243">
        <f>VLOOKUP(TablaObra5[[#This Row],[Equipo]],Catalogos!$I$4:$J$39,2,FALSE)</f>
      </c>
      <c r="F243" s="3"/>
      <c r="G243" s="4">
        <v>28.3</v>
      </c>
      <c r="H243" s="4">
        <f t="shared" si="3"/>
      </c>
      <c r="I243">
        <f>VLOOKUP(TablaObra5[[#This Row],[Obra]],Catalogos!$B$3:$C$8,2,FALSE)</f>
      </c>
    </row>
    <row r="244" spans="1:9">
      <c r="A244" s="2"/>
      <c r="E244">
        <f>VLOOKUP(TablaObra5[[#This Row],[Equipo]],Catalogos!$I$4:$J$39,2,FALSE)</f>
      </c>
      <c r="F244" s="3"/>
      <c r="G244" s="4">
        <v>28.3</v>
      </c>
      <c r="H244" s="4">
        <f t="shared" si="3"/>
      </c>
      <c r="I244">
        <f>VLOOKUP(TablaObra5[[#This Row],[Obra]],Catalogos!$B$3:$C$8,2,FALSE)</f>
      </c>
    </row>
    <row r="245" spans="1:9">
      <c r="A245" s="2"/>
      <c r="E245">
        <f>VLOOKUP(TablaObra5[[#This Row],[Equipo]],Catalogos!$I$4:$J$39,2,FALSE)</f>
      </c>
      <c r="F245" s="3"/>
      <c r="G245" s="4">
        <v>28.3</v>
      </c>
      <c r="H245" s="4">
        <f t="shared" si="3"/>
      </c>
      <c r="I245">
        <f>VLOOKUP(TablaObra5[[#This Row],[Obra]],Catalogos!$B$3:$C$8,2,FALSE)</f>
      </c>
    </row>
    <row r="246" spans="1:9">
      <c r="A246" s="2"/>
      <c r="E246">
        <f>VLOOKUP(TablaObra5[[#This Row],[Equipo]],Catalogos!$I$4:$J$39,2,FALSE)</f>
      </c>
      <c r="F246" s="3"/>
      <c r="G246" s="4">
        <v>28.3</v>
      </c>
      <c r="H246" s="4">
        <f t="shared" si="3"/>
      </c>
      <c r="I246">
        <f>VLOOKUP(TablaObra5[[#This Row],[Obra]],Catalogos!$B$3:$C$8,2,FALSE)</f>
      </c>
    </row>
    <row r="247" spans="1:9">
      <c r="A247" s="2"/>
      <c r="E247">
        <f>VLOOKUP(TablaObra5[[#This Row],[Equipo]],Catalogos!$I$4:$J$39,2,FALSE)</f>
      </c>
      <c r="F247" s="3"/>
      <c r="G247" s="4">
        <v>28.3</v>
      </c>
      <c r="H247" s="4">
        <f t="shared" si="3"/>
      </c>
      <c r="I247">
        <f>VLOOKUP(TablaObra5[[#This Row],[Obra]],Catalogos!$B$3:$C$8,2,FALSE)</f>
      </c>
    </row>
    <row r="248" spans="1:9">
      <c r="A248" s="2"/>
      <c r="E248">
        <f>VLOOKUP(TablaObra5[[#This Row],[Equipo]],Catalogos!$I$4:$J$39,2,FALSE)</f>
      </c>
      <c r="F248" s="3"/>
      <c r="G248" s="4">
        <v>28.3</v>
      </c>
      <c r="H248" s="4">
        <f t="shared" si="3"/>
      </c>
      <c r="I248">
        <f>VLOOKUP(TablaObra5[[#This Row],[Obra]],Catalogos!$B$3:$C$8,2,FALSE)</f>
      </c>
    </row>
    <row r="249" spans="1:9">
      <c r="A249" s="2"/>
      <c r="E249">
        <f>VLOOKUP(TablaObra5[[#This Row],[Equipo]],Catalogos!$I$4:$J$39,2,FALSE)</f>
      </c>
      <c r="F249" s="3"/>
      <c r="G249" s="4">
        <v>28.3</v>
      </c>
      <c r="H249" s="4">
        <f t="shared" si="3"/>
      </c>
      <c r="I249">
        <f>VLOOKUP(TablaObra5[[#This Row],[Obra]],Catalogos!$B$3:$C$8,2,FALSE)</f>
      </c>
    </row>
    <row r="250" spans="1:9">
      <c r="A250" s="2"/>
      <c r="E250">
        <f>VLOOKUP(TablaObra5[[#This Row],[Equipo]],Catalogos!$I$4:$J$39,2,FALSE)</f>
      </c>
      <c r="F250" s="3"/>
      <c r="G250" s="4">
        <v>28.3</v>
      </c>
      <c r="H250" s="4">
        <f t="shared" si="3"/>
      </c>
      <c r="I250">
        <f>VLOOKUP(TablaObra5[[#This Row],[Obra]],Catalogos!$B$3:$C$8,2,FALSE)</f>
      </c>
    </row>
    <row r="251" spans="1:9">
      <c r="A251" s="2"/>
      <c r="E251">
        <f>VLOOKUP(TablaObra5[[#This Row],[Equipo]],Catalogos!$I$4:$J$39,2,FALSE)</f>
      </c>
      <c r="F251" s="3"/>
      <c r="G251" s="4">
        <v>28.3</v>
      </c>
      <c r="H251" s="4">
        <f t="shared" si="3"/>
      </c>
      <c r="I251">
        <f>VLOOKUP(TablaObra5[[#This Row],[Obra]],Catalogos!$B$3:$C$8,2,FALSE)</f>
      </c>
    </row>
    <row r="252" spans="1:9">
      <c r="A252" s="2"/>
      <c r="E252">
        <f>VLOOKUP(TablaObra5[[#This Row],[Equipo]],Catalogos!$I$4:$J$39,2,FALSE)</f>
      </c>
      <c r="F252" s="3"/>
      <c r="G252" s="4">
        <v>28.3</v>
      </c>
      <c r="H252" s="4">
        <f t="shared" si="3"/>
      </c>
      <c r="I252">
        <f>VLOOKUP(TablaObra5[[#This Row],[Obra]],Catalogos!$B$3:$C$8,2,FALSE)</f>
      </c>
    </row>
    <row r="253" spans="1:9">
      <c r="A253" s="2"/>
      <c r="E253">
        <f>VLOOKUP(TablaObra5[[#This Row],[Equipo]],Catalogos!$I$4:$J$39,2,FALSE)</f>
      </c>
      <c r="F253" s="3"/>
      <c r="G253" s="4">
        <v>28.3</v>
      </c>
      <c r="H253" s="4">
        <f t="shared" si="3"/>
      </c>
      <c r="I253">
        <f>VLOOKUP(TablaObra5[[#This Row],[Obra]],Catalogos!$B$3:$C$8,2,FALSE)</f>
      </c>
    </row>
    <row r="254" spans="1:9">
      <c r="A254" s="2"/>
      <c r="E254">
        <f>VLOOKUP(TablaObra5[[#This Row],[Equipo]],Catalogos!$I$4:$J$39,2,FALSE)</f>
      </c>
      <c r="F254" s="3"/>
      <c r="G254" s="4">
        <v>28.3</v>
      </c>
      <c r="H254" s="4">
        <f t="shared" si="3"/>
      </c>
      <c r="I254">
        <f>VLOOKUP(TablaObra5[[#This Row],[Obra]],Catalogos!$B$3:$C$8,2,FALSE)</f>
      </c>
    </row>
    <row r="255" spans="1:9">
      <c r="A255" s="2"/>
      <c r="E255">
        <f>VLOOKUP(TablaObra5[[#This Row],[Equipo]],Catalogos!$I$4:$J$39,2,FALSE)</f>
      </c>
      <c r="F255" s="3"/>
      <c r="G255" s="4">
        <v>28.3</v>
      </c>
      <c r="H255" s="4">
        <f t="shared" si="3"/>
      </c>
      <c r="I255">
        <f>VLOOKUP(TablaObra5[[#This Row],[Obra]],Catalogos!$B$3:$C$8,2,FALSE)</f>
      </c>
    </row>
    <row r="256" spans="1:9">
      <c r="A256" s="2"/>
      <c r="E256">
        <f>VLOOKUP(TablaObra5[[#This Row],[Equipo]],Catalogos!$I$4:$J$39,2,FALSE)</f>
      </c>
      <c r="F256" s="3"/>
      <c r="G256" s="4">
        <v>28.3</v>
      </c>
      <c r="H256" s="4">
        <f t="shared" si="3"/>
      </c>
      <c r="I256">
        <f>VLOOKUP(TablaObra5[[#This Row],[Obra]],Catalogos!$B$3:$C$8,2,FALSE)</f>
      </c>
    </row>
    <row r="257" spans="1:9">
      <c r="A257" s="2"/>
      <c r="E257">
        <f>VLOOKUP(TablaObra5[[#This Row],[Equipo]],Catalogos!$I$4:$J$39,2,FALSE)</f>
      </c>
      <c r="F257" s="3"/>
      <c r="G257" s="4">
        <v>28.3</v>
      </c>
      <c r="H257" s="4">
        <f t="shared" si="3"/>
      </c>
      <c r="I257">
        <f>VLOOKUP(TablaObra5[[#This Row],[Obra]],Catalogos!$B$3:$C$8,2,FALSE)</f>
      </c>
    </row>
    <row r="258" spans="1:9">
      <c r="A258" s="2"/>
      <c r="E258">
        <f>VLOOKUP(TablaObra5[[#This Row],[Equipo]],Catalogos!$I$4:$J$39,2,FALSE)</f>
      </c>
      <c r="F258" s="3"/>
      <c r="G258" s="4">
        <v>28.3</v>
      </c>
      <c r="H258" s="4">
        <f t="shared" si="3"/>
      </c>
      <c r="I258">
        <f>VLOOKUP(TablaObra5[[#This Row],[Obra]],Catalogos!$B$3:$C$8,2,FALSE)</f>
      </c>
    </row>
    <row r="259" spans="1:9">
      <c r="A259" s="2"/>
      <c r="E259">
        <f>VLOOKUP(TablaObra5[[#This Row],[Equipo]],Catalogos!$I$4:$J$39,2,FALSE)</f>
      </c>
      <c r="F259" s="3"/>
      <c r="G259" s="4">
        <v>28.3</v>
      </c>
      <c r="H259" s="4">
        <f t="shared" si="3"/>
      </c>
      <c r="I259">
        <f>VLOOKUP(TablaObra5[[#This Row],[Obra]],Catalogos!$B$3:$C$8,2,FALSE)</f>
      </c>
    </row>
    <row r="260" spans="1:9">
      <c r="A260" s="2"/>
      <c r="E260">
        <f>VLOOKUP(TablaObra5[[#This Row],[Equipo]],Catalogos!$I$4:$J$39,2,FALSE)</f>
      </c>
      <c r="F260" s="3"/>
      <c r="G260" s="4">
        <v>28.3</v>
      </c>
      <c r="H260" s="4">
        <f t="shared" si="3"/>
      </c>
      <c r="I260">
        <f>VLOOKUP(TablaObra5[[#This Row],[Obra]],Catalogos!$B$3:$C$8,2,FALSE)</f>
      </c>
    </row>
    <row r="261" spans="1:9">
      <c r="A261" s="2"/>
      <c r="E261">
        <f>VLOOKUP(TablaObra5[[#This Row],[Equipo]],Catalogos!$I$4:$J$39,2,FALSE)</f>
      </c>
      <c r="F261" s="3"/>
      <c r="G261" s="4">
        <v>28.3</v>
      </c>
      <c r="H261" s="4">
        <f t="shared" si="3"/>
      </c>
      <c r="I261">
        <f>VLOOKUP(TablaObra5[[#This Row],[Obra]],Catalogos!$B$3:$C$8,2,FALSE)</f>
      </c>
    </row>
    <row r="262" spans="1:9">
      <c r="A262" s="2"/>
      <c r="E262">
        <f>VLOOKUP(TablaObra5[[#This Row],[Equipo]],Catalogos!$I$4:$J$39,2,FALSE)</f>
      </c>
      <c r="F262" s="3"/>
      <c r="G262" s="4">
        <v>28.3</v>
      </c>
      <c r="H262" s="4">
        <f t="shared" si="3"/>
      </c>
      <c r="I262">
        <f>VLOOKUP(TablaObra5[[#This Row],[Obra]],Catalogos!$B$3:$C$8,2,FALSE)</f>
      </c>
    </row>
    <row r="263" spans="1:9">
      <c r="A263" s="2"/>
      <c r="E263">
        <f>VLOOKUP(TablaObra5[[#This Row],[Equipo]],Catalogos!$I$4:$J$39,2,FALSE)</f>
      </c>
      <c r="F263" s="3"/>
      <c r="G263" s="4">
        <v>28.3</v>
      </c>
      <c r="H263" s="4">
        <f t="shared" ref="H263:H306" si="4">IFERROR(F263*G263,0)</f>
      </c>
      <c r="I263">
        <f>VLOOKUP(TablaObra5[[#This Row],[Obra]],Catalogos!$B$3:$C$8,2,FALSE)</f>
      </c>
    </row>
    <row r="264" spans="1:9">
      <c r="A264" s="2"/>
      <c r="E264">
        <f>VLOOKUP(TablaObra5[[#This Row],[Equipo]],Catalogos!$I$4:$J$39,2,FALSE)</f>
      </c>
      <c r="F264" s="3"/>
      <c r="G264" s="4">
        <v>28.3</v>
      </c>
      <c r="H264" s="4">
        <f t="shared" si="4"/>
      </c>
      <c r="I264">
        <f>VLOOKUP(TablaObra5[[#This Row],[Obra]],Catalogos!$B$3:$C$8,2,FALSE)</f>
      </c>
    </row>
    <row r="265" spans="1:9">
      <c r="A265" s="2"/>
      <c r="E265">
        <f>VLOOKUP(TablaObra5[[#This Row],[Equipo]],Catalogos!$I$4:$J$39,2,FALSE)</f>
      </c>
      <c r="F265" s="3"/>
      <c r="G265" s="4">
        <v>28.3</v>
      </c>
      <c r="H265" s="4">
        <f t="shared" si="4"/>
      </c>
      <c r="I265">
        <f>VLOOKUP(TablaObra5[[#This Row],[Obra]],Catalogos!$B$3:$C$8,2,FALSE)</f>
      </c>
    </row>
    <row r="266" spans="1:9">
      <c r="A266" s="2"/>
      <c r="E266">
        <f>VLOOKUP(TablaObra5[[#This Row],[Equipo]],Catalogos!$I$4:$J$39,2,FALSE)</f>
      </c>
      <c r="F266" s="3"/>
      <c r="G266" s="4">
        <v>28.3</v>
      </c>
      <c r="H266" s="4">
        <f t="shared" si="4"/>
      </c>
      <c r="I266">
        <f>VLOOKUP(TablaObra5[[#This Row],[Obra]],Catalogos!$B$3:$C$8,2,FALSE)</f>
      </c>
    </row>
    <row r="267" spans="1:9">
      <c r="A267" s="2"/>
      <c r="E267">
        <f>VLOOKUP(TablaObra5[[#This Row],[Equipo]],Catalogos!$I$4:$J$39,2,FALSE)</f>
      </c>
      <c r="F267" s="3"/>
      <c r="G267" s="4">
        <v>28.3</v>
      </c>
      <c r="H267" s="4">
        <f t="shared" si="4"/>
      </c>
      <c r="I267">
        <f>VLOOKUP(TablaObra5[[#This Row],[Obra]],Catalogos!$B$3:$C$8,2,FALSE)</f>
      </c>
    </row>
    <row r="268" spans="1:9">
      <c r="A268" s="2"/>
      <c r="E268">
        <f>VLOOKUP(TablaObra5[[#This Row],[Equipo]],Catalogos!$I$4:$J$39,2,FALSE)</f>
      </c>
      <c r="F268" s="3"/>
      <c r="G268" s="4">
        <v>28.3</v>
      </c>
      <c r="H268" s="4">
        <f t="shared" si="4"/>
      </c>
      <c r="I268">
        <f>VLOOKUP(TablaObra5[[#This Row],[Obra]],Catalogos!$B$3:$C$8,2,FALSE)</f>
      </c>
    </row>
    <row r="269" spans="1:9">
      <c r="A269" s="2"/>
      <c r="E269">
        <f>VLOOKUP(TablaObra5[[#This Row],[Equipo]],Catalogos!$I$4:$J$39,2,FALSE)</f>
      </c>
      <c r="F269" s="3"/>
      <c r="G269" s="4">
        <v>28.3</v>
      </c>
      <c r="H269" s="4">
        <f t="shared" si="4"/>
      </c>
      <c r="I269">
        <f>VLOOKUP(TablaObra5[[#This Row],[Obra]],Catalogos!$B$3:$C$8,2,FALSE)</f>
      </c>
    </row>
    <row r="270" spans="1:9">
      <c r="A270" s="2"/>
      <c r="E270">
        <f>VLOOKUP(TablaObra5[[#This Row],[Equipo]],Catalogos!$I$4:$J$39,2,FALSE)</f>
      </c>
      <c r="F270" s="3"/>
      <c r="G270" s="4">
        <v>28.3</v>
      </c>
      <c r="H270" s="4">
        <f t="shared" si="4"/>
      </c>
      <c r="I270">
        <f>VLOOKUP(TablaObra5[[#This Row],[Obra]],Catalogos!$B$3:$C$8,2,FALSE)</f>
      </c>
    </row>
    <row r="271" spans="1:9">
      <c r="A271" s="2"/>
      <c r="E271">
        <f>VLOOKUP(TablaObra5[[#This Row],[Equipo]],Catalogos!$I$4:$J$39,2,FALSE)</f>
      </c>
      <c r="F271" s="3"/>
      <c r="G271" s="4">
        <v>28.3</v>
      </c>
      <c r="H271" s="4">
        <f t="shared" si="4"/>
      </c>
      <c r="I271">
        <f>VLOOKUP(TablaObra5[[#This Row],[Obra]],Catalogos!$B$3:$C$8,2,FALSE)</f>
      </c>
    </row>
    <row r="272" spans="1:9">
      <c r="A272" s="2"/>
      <c r="E272">
        <f>VLOOKUP(TablaObra5[[#This Row],[Equipo]],Catalogos!$I$4:$J$39,2,FALSE)</f>
      </c>
      <c r="F272" s="3"/>
      <c r="G272" s="4">
        <v>28.3</v>
      </c>
      <c r="H272" s="4">
        <f t="shared" si="4"/>
      </c>
      <c r="I272">
        <f>VLOOKUP(TablaObra5[[#This Row],[Obra]],Catalogos!$B$3:$C$8,2,FALSE)</f>
      </c>
    </row>
    <row r="273" spans="1:9">
      <c r="A273" s="2"/>
      <c r="E273">
        <f>VLOOKUP(TablaObra5[[#This Row],[Equipo]],Catalogos!$I$4:$J$39,2,FALSE)</f>
      </c>
      <c r="F273" s="3"/>
      <c r="G273" s="4">
        <v>28.3</v>
      </c>
      <c r="H273" s="4">
        <f t="shared" si="4"/>
      </c>
      <c r="I273">
        <f>VLOOKUP(TablaObra5[[#This Row],[Obra]],Catalogos!$B$3:$C$8,2,FALSE)</f>
      </c>
    </row>
    <row r="274" spans="1:9">
      <c r="A274" s="2"/>
      <c r="E274">
        <f>VLOOKUP(TablaObra5[[#This Row],[Equipo]],Catalogos!$I$4:$J$39,2,FALSE)</f>
      </c>
      <c r="F274" s="3"/>
      <c r="G274" s="4">
        <v>28.3</v>
      </c>
      <c r="H274" s="4">
        <f t="shared" si="4"/>
      </c>
      <c r="I274">
        <f>VLOOKUP(TablaObra5[[#This Row],[Obra]],Catalogos!$B$3:$C$8,2,FALSE)</f>
      </c>
    </row>
    <row r="275" spans="1:9">
      <c r="A275" s="2"/>
      <c r="E275">
        <f>VLOOKUP(TablaObra5[[#This Row],[Equipo]],Catalogos!$I$4:$J$39,2,FALSE)</f>
      </c>
      <c r="F275" s="3"/>
      <c r="G275" s="4">
        <v>28.3</v>
      </c>
      <c r="H275" s="4">
        <f t="shared" si="4"/>
      </c>
      <c r="I275">
        <f>VLOOKUP(TablaObra5[[#This Row],[Obra]],Catalogos!$B$3:$C$8,2,FALSE)</f>
      </c>
    </row>
    <row r="276" spans="1:9">
      <c r="A276" s="2"/>
      <c r="E276">
        <f>VLOOKUP(TablaObra5[[#This Row],[Equipo]],Catalogos!$I$4:$J$39,2,FALSE)</f>
      </c>
      <c r="F276" s="3"/>
      <c r="G276" s="4">
        <v>28.3</v>
      </c>
      <c r="H276" s="4">
        <f t="shared" si="4"/>
      </c>
      <c r="I276">
        <f>VLOOKUP(TablaObra5[[#This Row],[Obra]],Catalogos!$B$3:$C$8,2,FALSE)</f>
      </c>
    </row>
    <row r="277" spans="1:9">
      <c r="A277" s="2"/>
      <c r="E277">
        <f>VLOOKUP(TablaObra5[[#This Row],[Equipo]],Catalogos!$I$4:$J$39,2,FALSE)</f>
      </c>
      <c r="F277" s="3"/>
      <c r="G277" s="4">
        <v>28.3</v>
      </c>
      <c r="H277" s="4">
        <f t="shared" si="4"/>
      </c>
      <c r="I277">
        <f>VLOOKUP(TablaObra5[[#This Row],[Obra]],Catalogos!$B$3:$C$8,2,FALSE)</f>
      </c>
    </row>
    <row r="278" spans="1:9">
      <c r="A278" s="2"/>
      <c r="E278">
        <f>VLOOKUP(TablaObra5[[#This Row],[Equipo]],Catalogos!$I$4:$J$39,2,FALSE)</f>
      </c>
      <c r="F278" s="3"/>
      <c r="G278" s="4">
        <v>28.3</v>
      </c>
      <c r="H278" s="4">
        <f t="shared" si="4"/>
      </c>
      <c r="I278">
        <f>VLOOKUP(TablaObra5[[#This Row],[Obra]],Catalogos!$B$3:$C$8,2,FALSE)</f>
      </c>
    </row>
    <row r="279" spans="1:9">
      <c r="A279" s="2"/>
      <c r="E279">
        <f>VLOOKUP(TablaObra5[[#This Row],[Equipo]],Catalogos!$I$4:$J$39,2,FALSE)</f>
      </c>
      <c r="F279" s="3"/>
      <c r="G279" s="4">
        <v>28.3</v>
      </c>
      <c r="H279" s="4">
        <f t="shared" si="4"/>
      </c>
      <c r="I279">
        <f>VLOOKUP(TablaObra5[[#This Row],[Obra]],Catalogos!$B$3:$C$8,2,FALSE)</f>
      </c>
    </row>
    <row r="280" spans="1:9">
      <c r="A280" s="2"/>
      <c r="E280">
        <f>VLOOKUP(TablaObra5[[#This Row],[Equipo]],Catalogos!$I$4:$J$39,2,FALSE)</f>
      </c>
      <c r="F280" s="3"/>
      <c r="G280" s="4">
        <v>28.3</v>
      </c>
      <c r="H280" s="4">
        <f t="shared" si="4"/>
      </c>
      <c r="I280">
        <f>VLOOKUP(TablaObra5[[#This Row],[Obra]],Catalogos!$B$3:$C$8,2,FALSE)</f>
      </c>
    </row>
    <row r="281" spans="1:9">
      <c r="A281" s="2"/>
      <c r="E281">
        <f>VLOOKUP(TablaObra5[[#This Row],[Equipo]],Catalogos!$I$4:$J$39,2,FALSE)</f>
      </c>
      <c r="F281" s="3"/>
      <c r="G281" s="4">
        <v>28.3</v>
      </c>
      <c r="H281" s="4">
        <f t="shared" si="4"/>
      </c>
      <c r="I281">
        <f>VLOOKUP(TablaObra5[[#This Row],[Obra]],Catalogos!$B$3:$C$8,2,FALSE)</f>
      </c>
    </row>
    <row r="282" spans="1:9">
      <c r="A282" s="2"/>
      <c r="E282">
        <f>VLOOKUP(TablaObra5[[#This Row],[Equipo]],Catalogos!$I$4:$J$39,2,FALSE)</f>
      </c>
      <c r="F282" s="3"/>
      <c r="G282" s="4">
        <v>28.3</v>
      </c>
      <c r="H282" s="4">
        <f t="shared" si="4"/>
      </c>
      <c r="I282">
        <f>VLOOKUP(TablaObra5[[#This Row],[Obra]],Catalogos!$B$3:$C$8,2,FALSE)</f>
      </c>
    </row>
    <row r="283" spans="1:9">
      <c r="A283" s="2"/>
      <c r="E283">
        <f>VLOOKUP(TablaObra5[[#This Row],[Equipo]],Catalogos!$I$4:$J$39,2,FALSE)</f>
      </c>
      <c r="F283" s="3"/>
      <c r="G283" s="4">
        <v>28.3</v>
      </c>
      <c r="H283" s="4">
        <f t="shared" si="4"/>
      </c>
      <c r="I283">
        <f>VLOOKUP(TablaObra5[[#This Row],[Obra]],Catalogos!$B$3:$C$8,2,FALSE)</f>
      </c>
    </row>
    <row r="284" spans="1:9">
      <c r="A284" s="2"/>
      <c r="E284">
        <f>VLOOKUP(TablaObra5[[#This Row],[Equipo]],Catalogos!$I$4:$J$39,2,FALSE)</f>
      </c>
      <c r="F284" s="3"/>
      <c r="G284" s="4">
        <v>28.3</v>
      </c>
      <c r="H284" s="4">
        <f t="shared" si="4"/>
      </c>
      <c r="I284">
        <f>VLOOKUP(TablaObra5[[#This Row],[Obra]],Catalogos!$B$3:$C$8,2,FALSE)</f>
      </c>
    </row>
    <row r="285" spans="1:9">
      <c r="A285" s="2"/>
      <c r="E285">
        <f>VLOOKUP(TablaObra5[[#This Row],[Equipo]],Catalogos!$I$4:$J$39,2,FALSE)</f>
      </c>
      <c r="F285" s="3"/>
      <c r="G285" s="4">
        <v>28.3</v>
      </c>
      <c r="H285" s="4">
        <f t="shared" si="4"/>
      </c>
      <c r="I285">
        <f>VLOOKUP(TablaObra5[[#This Row],[Obra]],Catalogos!$B$3:$C$8,2,FALSE)</f>
      </c>
    </row>
    <row r="286" spans="1:9">
      <c r="A286" s="2"/>
      <c r="E286">
        <f>VLOOKUP(TablaObra5[[#This Row],[Equipo]],Catalogos!$I$4:$J$39,2,FALSE)</f>
      </c>
      <c r="F286" s="3"/>
      <c r="G286" s="4">
        <v>28.3</v>
      </c>
      <c r="H286" s="4">
        <f t="shared" si="4"/>
      </c>
      <c r="I286">
        <f>VLOOKUP(TablaObra5[[#This Row],[Obra]],Catalogos!$B$3:$C$8,2,FALSE)</f>
      </c>
    </row>
    <row r="287" spans="1:9">
      <c r="A287" s="2"/>
      <c r="E287">
        <f>VLOOKUP(TablaObra5[[#This Row],[Equipo]],Catalogos!$I$4:$J$39,2,FALSE)</f>
      </c>
      <c r="F287" s="3"/>
      <c r="G287" s="4">
        <v>28.3</v>
      </c>
      <c r="H287" s="4">
        <f t="shared" si="4"/>
      </c>
      <c r="I287">
        <f>VLOOKUP(TablaObra5[[#This Row],[Obra]],Catalogos!$B$3:$C$8,2,FALSE)</f>
      </c>
    </row>
    <row r="288" spans="1:9">
      <c r="A288" s="2"/>
      <c r="E288">
        <f>VLOOKUP(TablaObra5[[#This Row],[Equipo]],Catalogos!$I$4:$J$39,2,FALSE)</f>
      </c>
      <c r="F288" s="3"/>
      <c r="G288" s="4">
        <v>28.3</v>
      </c>
      <c r="H288" s="4">
        <f t="shared" si="4"/>
      </c>
      <c r="I288">
        <f>VLOOKUP(TablaObra5[[#This Row],[Obra]],Catalogos!$B$3:$C$8,2,FALSE)</f>
      </c>
    </row>
    <row r="289" spans="1:9">
      <c r="A289" s="2"/>
      <c r="E289">
        <f>VLOOKUP(TablaObra5[[#This Row],[Equipo]],Catalogos!$I$4:$J$39,2,FALSE)</f>
      </c>
      <c r="F289" s="3"/>
      <c r="G289" s="4">
        <v>28.3</v>
      </c>
      <c r="H289" s="4">
        <f t="shared" si="4"/>
      </c>
      <c r="I289">
        <f>VLOOKUP(TablaObra5[[#This Row],[Obra]],Catalogos!$B$3:$C$8,2,FALSE)</f>
      </c>
    </row>
    <row r="290" spans="1:9">
      <c r="A290" s="2"/>
      <c r="E290">
        <f>VLOOKUP(TablaObra5[[#This Row],[Equipo]],Catalogos!$I$4:$J$39,2,FALSE)</f>
      </c>
      <c r="F290" s="3"/>
      <c r="G290" s="4">
        <v>28.3</v>
      </c>
      <c r="H290" s="4">
        <f t="shared" si="4"/>
      </c>
      <c r="I290">
        <f>VLOOKUP(TablaObra5[[#This Row],[Obra]],Catalogos!$B$3:$C$8,2,FALSE)</f>
      </c>
    </row>
    <row r="291" spans="1:9">
      <c r="A291" s="2"/>
      <c r="E291">
        <f>VLOOKUP(TablaObra5[[#This Row],[Equipo]],Catalogos!$I$4:$J$39,2,FALSE)</f>
      </c>
      <c r="F291" s="3"/>
      <c r="G291" s="4">
        <v>28.3</v>
      </c>
      <c r="H291" s="4">
        <f t="shared" si="4"/>
      </c>
      <c r="I291">
        <f>VLOOKUP(TablaObra5[[#This Row],[Obra]],Catalogos!$B$3:$C$8,2,FALSE)</f>
      </c>
    </row>
    <row r="292" spans="1:9">
      <c r="A292" s="2"/>
      <c r="E292">
        <f>VLOOKUP(TablaObra5[[#This Row],[Equipo]],Catalogos!$I$4:$J$39,2,FALSE)</f>
      </c>
      <c r="F292" s="3"/>
      <c r="G292" s="4">
        <v>28.3</v>
      </c>
      <c r="H292" s="4">
        <f t="shared" si="4"/>
      </c>
      <c r="I292">
        <f>VLOOKUP(TablaObra5[[#This Row],[Obra]],Catalogos!$B$3:$C$8,2,FALSE)</f>
      </c>
    </row>
    <row r="293" spans="1:9">
      <c r="A293" s="2"/>
      <c r="E293">
        <f>VLOOKUP(TablaObra5[[#This Row],[Equipo]],Catalogos!$I$4:$J$39,2,FALSE)</f>
      </c>
      <c r="F293" s="3"/>
      <c r="G293" s="4">
        <v>28.3</v>
      </c>
      <c r="H293" s="4">
        <f t="shared" si="4"/>
      </c>
      <c r="I293">
        <f>VLOOKUP(TablaObra5[[#This Row],[Obra]],Catalogos!$B$3:$C$8,2,FALSE)</f>
      </c>
    </row>
    <row r="294" spans="1:9">
      <c r="A294" s="2"/>
      <c r="E294">
        <f>VLOOKUP(TablaObra5[[#This Row],[Equipo]],Catalogos!$I$4:$J$39,2,FALSE)</f>
      </c>
      <c r="F294" s="3"/>
      <c r="G294" s="4">
        <v>28.3</v>
      </c>
      <c r="H294" s="4">
        <f t="shared" si="4"/>
      </c>
      <c r="I294">
        <f>VLOOKUP(TablaObra5[[#This Row],[Obra]],Catalogos!$B$3:$C$8,2,FALSE)</f>
      </c>
    </row>
    <row r="295" spans="1:9">
      <c r="A295" s="2"/>
      <c r="E295">
        <f>VLOOKUP(TablaObra5[[#This Row],[Equipo]],Catalogos!$I$4:$J$39,2,FALSE)</f>
      </c>
      <c r="F295" s="3"/>
      <c r="G295" s="4">
        <v>28.3</v>
      </c>
      <c r="H295" s="4">
        <f t="shared" si="4"/>
      </c>
      <c r="I295">
        <f>VLOOKUP(TablaObra5[[#This Row],[Obra]],Catalogos!$B$3:$C$8,2,FALSE)</f>
      </c>
    </row>
    <row r="296" spans="1:9">
      <c r="A296" s="2"/>
      <c r="E296">
        <f>VLOOKUP(TablaObra5[[#This Row],[Equipo]],Catalogos!$I$4:$J$39,2,FALSE)</f>
      </c>
      <c r="F296" s="3"/>
      <c r="G296" s="4">
        <v>28.3</v>
      </c>
      <c r="H296" s="4">
        <f t="shared" si="4"/>
      </c>
      <c r="I296">
        <f>VLOOKUP(TablaObra5[[#This Row],[Obra]],Catalogos!$B$3:$C$8,2,FALSE)</f>
      </c>
    </row>
    <row r="297" spans="1:9">
      <c r="A297" s="2"/>
      <c r="E297">
        <f>VLOOKUP(TablaObra5[[#This Row],[Equipo]],Catalogos!$I$4:$J$39,2,FALSE)</f>
      </c>
      <c r="F297" s="3"/>
      <c r="G297" s="4">
        <v>28.3</v>
      </c>
      <c r="H297" s="4">
        <f t="shared" si="4"/>
      </c>
      <c r="I297">
        <f>VLOOKUP(TablaObra5[[#This Row],[Obra]],Catalogos!$B$3:$C$8,2,FALSE)</f>
      </c>
    </row>
    <row r="298" spans="1:9">
      <c r="A298" s="2"/>
      <c r="E298">
        <f>VLOOKUP(TablaObra5[[#This Row],[Equipo]],Catalogos!$I$4:$J$39,2,FALSE)</f>
      </c>
      <c r="F298" s="3"/>
      <c r="G298" s="4">
        <v>28.3</v>
      </c>
      <c r="H298" s="4">
        <f t="shared" si="4"/>
      </c>
      <c r="I298">
        <f>VLOOKUP(TablaObra5[[#This Row],[Obra]],Catalogos!$B$3:$C$8,2,FALSE)</f>
      </c>
    </row>
    <row r="299" spans="1:9">
      <c r="A299" s="2"/>
      <c r="E299">
        <f>VLOOKUP(TablaObra5[[#This Row],[Equipo]],Catalogos!$I$4:$J$39,2,FALSE)</f>
      </c>
      <c r="F299" s="3"/>
      <c r="G299" s="4">
        <v>28.3</v>
      </c>
      <c r="H299" s="4">
        <f t="shared" si="4"/>
      </c>
      <c r="I299">
        <f>VLOOKUP(TablaObra5[[#This Row],[Obra]],Catalogos!$B$3:$C$8,2,FALSE)</f>
      </c>
    </row>
    <row r="300" spans="1:9">
      <c r="A300" s="2"/>
      <c r="E300">
        <f>VLOOKUP(TablaObra5[[#This Row],[Equipo]],Catalogos!$I$4:$J$39,2,FALSE)</f>
      </c>
      <c r="F300" s="3"/>
      <c r="G300" s="4">
        <v>28.3</v>
      </c>
      <c r="H300" s="4">
        <f t="shared" si="4"/>
      </c>
      <c r="I300">
        <f>VLOOKUP(TablaObra5[[#This Row],[Obra]],Catalogos!$B$3:$C$8,2,FALSE)</f>
      </c>
    </row>
    <row r="301" spans="1:9">
      <c r="A301" s="2"/>
      <c r="E301">
        <f>VLOOKUP(TablaObra5[[#This Row],[Equipo]],Catalogos!$I$4:$J$39,2,FALSE)</f>
      </c>
      <c r="F301" s="3"/>
      <c r="G301" s="4">
        <v>28.3</v>
      </c>
      <c r="H301" s="4">
        <f t="shared" si="4"/>
      </c>
      <c r="I301">
        <f>VLOOKUP(TablaObra5[[#This Row],[Obra]],Catalogos!$B$3:$C$8,2,FALSE)</f>
      </c>
    </row>
    <row r="302" spans="1:9">
      <c r="A302" s="2"/>
      <c r="E302">
        <f>VLOOKUP(TablaObra5[[#This Row],[Equipo]],Catalogos!$I$4:$J$39,2,FALSE)</f>
      </c>
      <c r="F302" s="3"/>
      <c r="G302" s="4">
        <v>28.3</v>
      </c>
      <c r="H302" s="4">
        <f t="shared" si="4"/>
      </c>
      <c r="I302">
        <f>VLOOKUP(TablaObra5[[#This Row],[Obra]],Catalogos!$B$3:$C$8,2,FALSE)</f>
      </c>
    </row>
    <row r="303" spans="1:9">
      <c r="A303" s="2"/>
      <c r="E303">
        <f>VLOOKUP(TablaObra5[[#This Row],[Equipo]],Catalogos!$I$4:$J$39,2,FALSE)</f>
      </c>
      <c r="F303" s="3"/>
      <c r="G303" s="4">
        <v>28.3</v>
      </c>
      <c r="H303" s="4">
        <f t="shared" si="4"/>
      </c>
      <c r="I303">
        <f>VLOOKUP(TablaObra5[[#This Row],[Obra]],Catalogos!$B$3:$C$8,2,FALSE)</f>
      </c>
    </row>
    <row r="304" spans="1:9">
      <c r="A304" s="2"/>
      <c r="E304">
        <f>VLOOKUP(TablaObra5[[#This Row],[Equipo]],Catalogos!$I$4:$J$39,2,FALSE)</f>
      </c>
      <c r="F304" s="3"/>
      <c r="G304" s="4">
        <v>28.3</v>
      </c>
      <c r="H304" s="4">
        <f t="shared" si="4"/>
      </c>
      <c r="I304">
        <f>VLOOKUP(TablaObra5[[#This Row],[Obra]],Catalogos!$B$3:$C$8,2,FALSE)</f>
      </c>
    </row>
    <row r="305" spans="1:9">
      <c r="A305" s="2"/>
      <c r="E305">
        <f>VLOOKUP(TablaObra5[[#This Row],[Equipo]],Catalogos!$I$4:$J$39,2,FALSE)</f>
      </c>
      <c r="F305" s="3"/>
      <c r="G305" s="4">
        <v>28.3</v>
      </c>
      <c r="H305" s="4">
        <f t="shared" si="4"/>
      </c>
      <c r="I305">
        <f>VLOOKUP(TablaObra5[[#This Row],[Obra]],Catalogos!$B$3:$C$8,2,FALSE)</f>
      </c>
    </row>
    <row r="306" spans="1:9">
      <c r="A306" s="2"/>
      <c r="E306">
        <f>VLOOKUP(TablaObra5[[#This Row],[Equipo]],Catalogos!$I$4:$J$39,2,FALSE)</f>
      </c>
      <c r="F306" s="3"/>
      <c r="G306" s="4">
        <v>28.3</v>
      </c>
      <c r="H306" s="4">
        <f t="shared" si="4"/>
      </c>
      <c r="I306">
        <f>VLOOKUP(TablaObra5[[#This Row],[Obra]],Catalogos!$B$3:$C$8,2,FALSE)</f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B15CE551-0D72-4710-B1D0-6AE343C140DA}">
          <x14:formula1>
            <xm:f>Catalogos!$B$4:$B$18</xm:f>
          </x14:formula1>
          <xm:sqref>B5:B306</xm:sqref>
        </x14:dataValidation>
        <x14:dataValidation type="list" allowBlank="1" showInputMessage="1" showErrorMessage="1" xr:uid="{0BBF9583-BDEB-4F3C-8EDB-91010DF40C25}">
          <x14:formula1>
            <xm:f>Catalogos!$I$4:$I$50</xm:f>
          </x14:formula1>
          <xm:sqref>D5:D306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>
      <selection activeCell="F13" sqref="F13"/>
    </sheetView>
  </sheetViews>
  <sheetFormatPr baseColWidth="10" defaultColWidth="8.796875" defaultRowHeight="13.8"/>
  <cols>
    <col min="1" max="1" width="32" customWidth="1"/>
    <col min="2" max="3" width="18" customWidth="1"/>
    <col min="4" max="4" width="14" customWidth="1"/>
    <col min="5" max="8" width="16" customWidth="1"/>
  </cols>
  <sheetData>
    <row r="1" spans="1:8" ht="22.35" customHeight="1">
      <c r="A1" t="s" s="404">
        <v>41</v>
      </c>
      <c r="B1" s="405"/>
      <c r="C1" s="405"/>
      <c r="D1" s="405"/>
      <c r="E1" s="405"/>
      <c r="F1" s="405"/>
      <c r="G1" s="405"/>
      <c r="H1" s="405"/>
    </row>
    <row r="3" spans="1:8">
      <c r="A3" t="s" s="1">
        <v>42</v>
      </c>
      <c r="B3" t="s" s="1">
        <v>0</v>
      </c>
    </row>
    <row r="4" spans="1:8">
      <c r="A4" t="s">
        <v>43</v>
      </c>
      <c r="B4" s="3">
        <f>SUM(Captura_Pegaso!G5:G206)</f>
      </c>
    </row>
    <row r="5" spans="1:8">
      <c r="A5" t="s">
        <v>44</v>
      </c>
      <c r="B5" s="3">
        <f>SUMIF(Captura_Pegaso!B5:B206,"Salida a Marimba",Captura_Pegaso!H5:H206)</f>
      </c>
    </row>
    <row r="6" spans="1:8">
      <c r="A6" t="s">
        <v>45</v>
      </c>
      <c r="B6" s="3">
        <f>SUMIF(Captura_Pegaso!B5:B206,"Salida Directa Máquina",Captura_Pegaso!H5:H206)</f>
      </c>
    </row>
    <row r="7" spans="1:8">
      <c r="A7" t="s">
        <v>46</v>
      </c>
      <c r="B7" s="3">
        <f>SUMIF(Captura_Marimba_M01!B5:B206,"Entrada desde Pegaso",Captura_Marimba_M01!F5:F206)</f>
      </c>
    </row>
    <row r="8" spans="1:8">
      <c r="A8" t="s">
        <v>47</v>
      </c>
      <c r="B8" s="3">
        <f>SUMIF(Captura_Marimba_M01!B5:B206,"Salida a Obra",Captura_Marimba_M01!G5:G206)</f>
      </c>
      <c r="C8" s="3"/>
    </row>
    <row r="9" spans="1:8">
      <c r="A9" t="s">
        <v>48</v>
      </c>
      <c r="B9" s="3">
        <f>SUM(Captura_Obra!F5:F304)</f>
      </c>
    </row>
    <row r="10" spans="1:8">
      <c r="A10" t="s">
        <v>49</v>
      </c>
      <c r="B10" s="3">
        <f>B5-B7</f>
      </c>
    </row>
    <row r="11" spans="1:8">
      <c r="A11" t="s">
        <v>50</v>
      </c>
      <c r="B11" s="3">
        <f>B8-(B9-B6)</f>
      </c>
    </row>
    <row r="12" spans="1:8">
      <c r="A12" t="s">
        <v>51</v>
      </c>
      <c r="B12" s="3">
        <f>B10+B11</f>
      </c>
    </row>
    <row r="13" spans="1:8">
      <c r="B13" s="3"/>
    </row>
    <row r="14" spans="1:8">
      <c r="A14" t="s" s="1">
        <v>1</v>
      </c>
      <c r="B14" t="s" s="5">
        <v>38</v>
      </c>
      <c r="C14" t="s" s="1">
        <v>2</v>
      </c>
      <c r="D14" t="s" s="1">
        <v>52</v>
      </c>
    </row>
    <row r="15" spans="1:8">
      <c r="A15" t="s">
        <v>3</v>
      </c>
      <c r="B15" s="3">
        <f>SUMIF(Captura_Obra!B:B,A15,Captura_Obra!F:F)</f>
      </c>
      <c r="C15" s="4">
        <f>SUMIF(Captura_Obra!B:B,A15,Captura_Obra!H:H)</f>
      </c>
      <c r="D15" s="6">
        <f>IFERROR(B15/$B$21,0)</f>
      </c>
    </row>
    <row r="16" spans="1:8">
      <c r="A16" t="s">
        <v>4</v>
      </c>
      <c r="B16" s="3">
        <f>SUMIF(Captura_Obra!B:B,A16,Captura_Obra!F:F)</f>
      </c>
      <c r="C16" s="4">
        <f>SUMIF(Captura_Obra!B:B,A16,Captura_Obra!H:H)</f>
      </c>
      <c r="D16" s="6">
        <f>IFERROR(B16/$B$21,0)</f>
      </c>
    </row>
    <row r="17" spans="1:8">
      <c r="A17" t="s">
        <v>5</v>
      </c>
      <c r="B17" s="3">
        <f>SUMIF(Captura_Obra!B:B,A17,Captura_Obra!F:F)</f>
      </c>
      <c r="C17" s="4">
        <f>SUMIF(Captura_Obra!B:B,A17,Captura_Obra!H:H)</f>
      </c>
      <c r="D17" s="6">
        <f>IFERROR(B17/$B$21,0)</f>
      </c>
    </row>
    <row r="18" spans="1:8">
      <c r="A18" t="s">
        <v>183</v>
      </c>
      <c r="B18" s="3">
        <f>SUMIF(Captura_Obra!B:B,A18,Captura_Obra!F:F)</f>
      </c>
      <c r="C18" s="4">
        <f>SUMIF(Captura_Obra!B:B,A18,Captura_Obra!H:H)</f>
      </c>
      <c r="D18" s="6">
        <f t="shared" ref="D18:D20" si="0">IFERROR(B18/$B$21,0)</f>
      </c>
    </row>
    <row r="19" spans="1:8">
      <c r="A19" t="s">
        <v>187</v>
      </c>
      <c r="B19" s="3">
        <f>SUMIF(Captura_Obra!B:B,A19,Captura_Obra!F:F)</f>
      </c>
      <c r="C19" s="4">
        <f>SUMIF(Captura_Obra!B:B,A19,Captura_Obra!H:H)</f>
      </c>
      <c r="D19" s="6">
        <f t="shared" si="0"/>
      </c>
    </row>
    <row r="20" spans="1:8">
      <c r="A20" t="s" s="9">
        <v>196</v>
      </c>
      <c r="B20" s="3">
        <f>SUMIF(Captura_Obra!B:B,A20,Captura_Obra!F:F)</f>
      </c>
      <c r="C20" s="4">
        <f>SUMIF(Captura_Obra!B:B,A20,Captura_Obra!H:H)</f>
      </c>
      <c r="D20" s="6">
        <f t="shared" si="0"/>
      </c>
    </row>
    <row r="21" spans="1:8">
      <c r="A21" t="s">
        <v>6</v>
      </c>
      <c r="B21" s="3">
        <f>SUM(B15:B20)</f>
      </c>
      <c r="C21" s="4">
        <f>SUM(C15:C20)</f>
      </c>
      <c r="D21" s="6">
        <f>SUM(D15:D20)</f>
      </c>
    </row>
    <row r="23" spans="1:8">
      <c r="A23" t="s" s="1">
        <v>53</v>
      </c>
      <c r="B23" s="1"/>
      <c r="C23" s="1"/>
      <c r="D23" s="1"/>
      <c r="E23" s="1"/>
      <c r="F23" s="1"/>
      <c r="G23" s="1"/>
      <c r="H23" s="1"/>
    </row>
    <row r="24" spans="1:8">
      <c r="A24" t="s">
        <v>54</v>
      </c>
      <c r="C24" t="s">
        <v>14</v>
      </c>
      <c r="E24" t="s">
        <v>55</v>
      </c>
      <c r="G24" t="s">
        <v>23</v>
      </c>
    </row>
    <row r="25" spans="1:8">
      <c r="E25" t="s">
        <v>56</v>
      </c>
    </row>
    <row r="26" spans="1:8">
      <c r="A26" t="s">
        <v>57</v>
      </c>
    </row>
  </sheetData>
  <mergeCells count="1">
    <mergeCell ref="A1:H1"/>
  </mergeCells>
  <conditionalFormatting sqref="B10:B12">
    <cfRule type="expression" dxfId="0" priority="1">
      <formula>B10&lt;&gt;0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topLeftCell="A24" workbookViewId="0">
      <selection activeCell="I41" sqref="I41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22" customWidth="1"/>
    <col min="10" max="10" width="12.09765625" customWidth="1"/>
    <col min="11" max="11" width="16.3984375" bestFit="1" customWidth="1"/>
    <col min="12" max="12" width="17.8984375" bestFit="1" customWidth="1"/>
  </cols>
  <sheetData>
    <row r="1" spans="1:12" ht="22.35" customHeight="1">
      <c r="A1" t="s" s="404">
        <v>58</v>
      </c>
      <c r="B1" s="405"/>
      <c r="C1" s="405"/>
      <c r="D1" s="405"/>
      <c r="E1" s="405"/>
      <c r="F1" s="405"/>
      <c r="G1" s="405"/>
      <c r="H1" s="405"/>
      <c r="I1" s="405"/>
      <c r="K1" s="440"/>
      <c r="L1" s="441"/>
    </row>
    <row r="2" spans="1:12" ht="16.8">
      <c r="K2" t="s" s="408">
        <v>250</v>
      </c>
      <c r="L2" t="s" s="409">
        <v>251</v>
      </c>
    </row>
    <row r="3" spans="1:12" ht="16.8">
      <c r="A3" t="s" s="1">
        <v>59</v>
      </c>
      <c r="B3" t="s" s="1">
        <v>1</v>
      </c>
      <c r="C3" t="s" s="1">
        <v>178</v>
      </c>
      <c r="E3" t="s" s="1">
        <v>60</v>
      </c>
      <c r="F3" t="s" s="1">
        <v>61</v>
      </c>
      <c r="I3" t="s" s="1">
        <v>62</v>
      </c>
      <c r="J3" t="s" s="1">
        <v>32</v>
      </c>
      <c r="K3" s="442"/>
      <c r="L3" s="443"/>
    </row>
    <row r="4" spans="1:12" ht="16.8">
      <c r="A4" t="s">
        <v>63</v>
      </c>
      <c r="B4" t="s">
        <v>3</v>
      </c>
      <c r="C4" t="s">
        <v>180</v>
      </c>
      <c r="E4" t="s">
        <v>64</v>
      </c>
      <c r="F4" t="s">
        <v>65</v>
      </c>
      <c r="I4" t="s">
        <v>67</v>
      </c>
      <c r="J4" t="s">
        <v>66</v>
      </c>
      <c r="K4" t="s" s="444">
        <v>3</v>
      </c>
      <c r="L4" s="410">
        <v>46167</v>
      </c>
    </row>
    <row r="5" spans="1:12" ht="16.8">
      <c r="A5" t="s">
        <v>68</v>
      </c>
      <c r="B5" t="s">
        <v>4</v>
      </c>
      <c r="C5" t="s">
        <v>179</v>
      </c>
      <c r="E5" t="s">
        <v>69</v>
      </c>
      <c r="F5" t="s">
        <v>70</v>
      </c>
      <c r="I5" t="s">
        <v>72</v>
      </c>
      <c r="J5" t="s">
        <v>71</v>
      </c>
      <c r="K5" t="s" s="445">
        <v>4</v>
      </c>
      <c r="L5" s="411">
        <v>46174</v>
      </c>
    </row>
    <row r="6" spans="1:12" ht="16.8">
      <c r="A6" t="s">
        <v>192</v>
      </c>
      <c r="B6" t="s">
        <v>186</v>
      </c>
      <c r="E6" t="s">
        <v>193</v>
      </c>
      <c r="F6" t="s">
        <v>187</v>
      </c>
      <c r="I6" t="s">
        <v>77</v>
      </c>
      <c r="J6" t="s">
        <v>76</v>
      </c>
      <c r="K6" t="s" s="446">
        <v>5</v>
      </c>
      <c r="L6" s="412">
        <v>46181</v>
      </c>
    </row>
    <row r="7" spans="1:12" ht="16.8">
      <c r="A7" t="s">
        <v>73</v>
      </c>
      <c r="B7" t="s">
        <v>5</v>
      </c>
      <c r="C7" t="s">
        <v>180</v>
      </c>
      <c r="E7" t="s">
        <v>74</v>
      </c>
      <c r="F7" t="s">
        <v>75</v>
      </c>
      <c r="I7" t="s">
        <v>81</v>
      </c>
      <c r="J7" t="s">
        <v>80</v>
      </c>
      <c r="K7" t="s" s="447">
        <v>183</v>
      </c>
      <c r="L7" s="413">
        <v>46188</v>
      </c>
    </row>
    <row r="8" spans="1:12" ht="16.8">
      <c r="A8" t="s">
        <v>191</v>
      </c>
      <c r="B8" t="s">
        <v>183</v>
      </c>
      <c r="C8" t="s">
        <v>195</v>
      </c>
      <c r="E8" t="s">
        <v>78</v>
      </c>
      <c r="F8" t="s">
        <v>79</v>
      </c>
      <c r="I8" t="s">
        <v>84</v>
      </c>
      <c r="J8" t="s">
        <v>83</v>
      </c>
      <c r="K8" t="s" s="448">
        <v>187</v>
      </c>
      <c r="L8" s="414">
        <v>46195</v>
      </c>
    </row>
    <row r="9" spans="1:12" ht="16.8">
      <c r="A9" t="s">
        <v>193</v>
      </c>
      <c r="B9" t="s">
        <v>187</v>
      </c>
      <c r="E9" t="s">
        <v>194</v>
      </c>
      <c r="F9" t="s">
        <v>188</v>
      </c>
      <c r="I9" t="s">
        <v>86</v>
      </c>
      <c r="J9" t="s">
        <v>85</v>
      </c>
      <c r="K9" t="s" s="449">
        <v>196</v>
      </c>
      <c r="L9" s="415">
        <v>46202</v>
      </c>
    </row>
    <row r="10" spans="1:12" ht="16.8">
      <c r="A10" t="s" s="9">
        <v>194</v>
      </c>
      <c r="B10" t="s" s="9">
        <v>196</v>
      </c>
      <c r="C10" s="8"/>
      <c r="E10" t="s">
        <v>262</v>
      </c>
      <c r="F10" t="s">
        <v>197</v>
      </c>
      <c r="I10" t="s">
        <v>88</v>
      </c>
      <c r="J10" t="s">
        <v>87</v>
      </c>
      <c r="K10" t="s" s="450">
        <v>255</v>
      </c>
      <c r="L10" s="416">
        <v>46209</v>
      </c>
    </row>
    <row r="11" spans="1:12" ht="16.8">
      <c r="B11" t="s">
        <v>255</v>
      </c>
      <c r="E11" t="s">
        <v>269</v>
      </c>
      <c r="F11" t="s">
        <v>268</v>
      </c>
      <c r="I11" t="s">
        <v>90</v>
      </c>
      <c r="J11" t="s">
        <v>89</v>
      </c>
      <c r="K11" t="s" s="451">
        <v>263</v>
      </c>
      <c r="L11" s="417">
        <v>46216</v>
      </c>
    </row>
    <row r="12" spans="1:12" ht="16.8">
      <c r="B12" t="s">
        <v>263</v>
      </c>
      <c r="I12" t="s">
        <v>145</v>
      </c>
      <c r="J12" t="s">
        <v>146</v>
      </c>
      <c r="K12" t="s" s="452">
        <v>252</v>
      </c>
      <c r="L12" s="418">
        <v>46223</v>
      </c>
    </row>
    <row r="13" spans="1:12" ht="16.8">
      <c r="B13"/>
      <c r="I13" t="s">
        <v>147</v>
      </c>
      <c r="J13" t="s">
        <v>148</v>
      </c>
      <c r="K13" s="453"/>
      <c r="L13" s="419">
        <v>46230</v>
      </c>
    </row>
    <row r="14" spans="1:12" ht="16.8">
      <c r="B14"/>
      <c r="I14" t="s">
        <v>149</v>
      </c>
      <c r="J14" t="s">
        <v>150</v>
      </c>
      <c r="K14" s="454"/>
      <c r="L14" s="420">
        <v>46237</v>
      </c>
    </row>
    <row r="15" spans="1:12" ht="16.8">
      <c r="B15"/>
      <c r="I15" t="s">
        <v>151</v>
      </c>
      <c r="J15" t="s">
        <v>152</v>
      </c>
      <c r="K15" s="455"/>
      <c r="L15" s="421">
        <v>46244</v>
      </c>
    </row>
    <row r="16" spans="1:12" ht="16.8">
      <c r="B16"/>
      <c r="I16" t="s">
        <v>153</v>
      </c>
      <c r="J16" t="s">
        <v>154</v>
      </c>
      <c r="K16" s="456"/>
      <c r="L16" s="422">
        <v>46251</v>
      </c>
    </row>
    <row r="17" spans="9:12" ht="16.8">
      <c r="B17"/>
      <c r="I17" t="s">
        <v>92</v>
      </c>
      <c r="J17" t="s">
        <v>91</v>
      </c>
      <c r="K17" s="457"/>
      <c r="L17" s="423">
        <v>46258</v>
      </c>
    </row>
    <row r="18" spans="9:12" ht="16.8">
      <c r="B18"/>
      <c r="I18" t="s">
        <v>134</v>
      </c>
      <c r="J18" t="s">
        <v>135</v>
      </c>
      <c r="K18" s="458"/>
      <c r="L18" s="424">
        <v>46265</v>
      </c>
    </row>
    <row r="19" spans="9:12" ht="16.8">
      <c r="B19"/>
      <c r="I19" t="s">
        <v>138</v>
      </c>
      <c r="J19" t="s">
        <v>137</v>
      </c>
      <c r="K19" s="459"/>
      <c r="L19" s="425">
        <v>46272</v>
      </c>
    </row>
    <row r="20" spans="9:12" ht="16.8">
      <c r="B20"/>
      <c r="I20" t="s">
        <v>139</v>
      </c>
      <c r="J20" t="s">
        <v>140</v>
      </c>
      <c r="K20" s="460"/>
      <c r="L20" s="426">
        <v>46279</v>
      </c>
    </row>
    <row r="21" spans="9:12" ht="16.8">
      <c r="B21"/>
      <c r="I21" t="s">
        <v>155</v>
      </c>
      <c r="J21" t="s">
        <v>141</v>
      </c>
      <c r="K21" s="461"/>
      <c r="L21" s="427">
        <v>46286</v>
      </c>
    </row>
    <row r="22" spans="9:12" ht="16.8">
      <c r="B22"/>
      <c r="I22" t="s">
        <v>156</v>
      </c>
      <c r="J22" t="s">
        <v>157</v>
      </c>
      <c r="K22" s="462"/>
      <c r="L22" s="428">
        <v>46293</v>
      </c>
    </row>
    <row r="23" spans="9:12" ht="16.8">
      <c r="B23"/>
      <c r="I23" t="s">
        <v>158</v>
      </c>
      <c r="J23" t="s">
        <v>159</v>
      </c>
      <c r="K23" s="463"/>
      <c r="L23" s="429">
        <v>46300</v>
      </c>
    </row>
    <row r="24" spans="9:12" ht="16.8">
      <c r="B24"/>
      <c r="I24" t="s">
        <v>160</v>
      </c>
      <c r="J24" t="s">
        <v>161</v>
      </c>
      <c r="K24" s="464"/>
      <c r="L24" s="430">
        <v>46307</v>
      </c>
    </row>
    <row r="25" spans="9:12" ht="16.8">
      <c r="B25"/>
      <c r="I25" t="s">
        <v>162</v>
      </c>
      <c r="J25" t="s">
        <v>163</v>
      </c>
      <c r="K25" s="465"/>
      <c r="L25" s="431">
        <v>46314</v>
      </c>
    </row>
    <row r="26" spans="9:12" ht="16.8">
      <c r="B26"/>
      <c r="I26" t="s">
        <v>164</v>
      </c>
      <c r="J26" t="s">
        <v>165</v>
      </c>
      <c r="K26" s="466"/>
      <c r="L26" s="432">
        <v>46321</v>
      </c>
    </row>
    <row r="27" spans="9:12" ht="16.8">
      <c r="B27"/>
      <c r="I27" t="s">
        <v>166</v>
      </c>
      <c r="J27" t="s">
        <v>167</v>
      </c>
      <c r="K27" s="467"/>
      <c r="L27" s="433">
        <v>46328</v>
      </c>
    </row>
    <row r="28" spans="9:12" ht="16.8">
      <c r="B28"/>
      <c r="I28" t="s">
        <v>168</v>
      </c>
      <c r="J28" t="s">
        <v>169</v>
      </c>
      <c r="K28" s="468"/>
      <c r="L28" s="434">
        <v>46335</v>
      </c>
    </row>
    <row r="29" spans="9:12" ht="16.8">
      <c r="B29"/>
      <c r="I29" t="s">
        <v>172</v>
      </c>
      <c r="J29" t="s">
        <v>173</v>
      </c>
      <c r="K29" s="469"/>
      <c r="L29" s="435">
        <v>46342</v>
      </c>
    </row>
    <row r="30" spans="9:12" ht="16.8">
      <c r="B30"/>
      <c r="I30" t="s">
        <v>170</v>
      </c>
      <c r="J30" t="s">
        <v>171</v>
      </c>
      <c r="K30" s="470"/>
      <c r="L30" s="436">
        <v>46349</v>
      </c>
    </row>
    <row r="31" spans="9:12" ht="16.8">
      <c r="B31"/>
      <c r="I31" t="s">
        <v>174</v>
      </c>
      <c r="J31" t="s">
        <v>175</v>
      </c>
      <c r="K31" s="471"/>
      <c r="L31" s="437">
        <v>46356</v>
      </c>
    </row>
    <row r="32" spans="9:12" ht="16.8">
      <c r="B32"/>
      <c r="I32" t="s">
        <v>184</v>
      </c>
      <c r="J32" t="s">
        <v>185</v>
      </c>
      <c r="K32" s="472"/>
      <c r="L32" s="438">
        <v>46363</v>
      </c>
    </row>
    <row r="33" spans="9:12" ht="16.8">
      <c r="B33"/>
      <c r="I33" t="s">
        <v>189</v>
      </c>
      <c r="J33" t="s">
        <v>190</v>
      </c>
      <c r="K33" s="473"/>
      <c r="L33" s="439">
        <v>46370</v>
      </c>
    </row>
    <row r="34" spans="9:12" ht="16.8">
      <c r="B34"/>
      <c r="I34" t="s">
        <v>82</v>
      </c>
      <c r="J34" t="s">
        <v>142</v>
      </c>
      <c r="K34" s="474"/>
      <c r="L34" s="475"/>
    </row>
    <row r="35" spans="9:12" ht="16.8">
      <c r="B35"/>
      <c r="I35" t="s">
        <v>253</v>
      </c>
      <c r="J35" t="s">
        <v>254</v>
      </c>
      <c r="K35" s="476"/>
      <c r="L35" s="477"/>
    </row>
    <row r="36" spans="9:12">
      <c r="I36" t="s">
        <v>256</v>
      </c>
      <c r="J36" t="s">
        <v>257</v>
      </c>
      <c r="K36" s="478"/>
      <c r="L36" s="479"/>
    </row>
    <row r="37" spans="9:12">
      <c r="I37" t="s">
        <v>258</v>
      </c>
      <c r="J37" t="s">
        <v>91</v>
      </c>
      <c r="K37" s="480"/>
      <c r="L37" s="481"/>
    </row>
    <row r="38" spans="9:12">
      <c r="I38" t="s">
        <v>259</v>
      </c>
      <c r="J38" t="s">
        <v>260</v>
      </c>
      <c r="K38" s="482"/>
      <c r="L38" s="483"/>
    </row>
    <row r="39" spans="9:12">
      <c r="I39" t="s">
        <v>264</v>
      </c>
      <c r="J39" t="s">
        <v>265</v>
      </c>
      <c r="K39" s="484"/>
      <c r="L39" s="485"/>
    </row>
    <row r="40" spans="9:12">
      <c r="I40" t="s">
        <v>266</v>
      </c>
      <c r="J40" t="s">
        <v>267</v>
      </c>
      <c r="K40" s="486"/>
      <c r="L40" s="487"/>
    </row>
    <row r="41">
      <c r="K41" s="488"/>
      <c r="L41" s="489"/>
    </row>
    <row r="42">
      <c r="K42" s="490"/>
      <c r="L42" s="491"/>
    </row>
    <row r="43">
      <c r="K43" s="492"/>
      <c r="L43" s="493"/>
    </row>
    <row r="44">
      <c r="K44" s="494"/>
      <c r="L44" s="495"/>
    </row>
    <row r="45">
      <c r="K45" s="496"/>
      <c r="L45" s="497"/>
    </row>
    <row r="46">
      <c r="K46" s="498"/>
      <c r="L46" s="499"/>
    </row>
    <row r="47">
      <c r="K47" s="500"/>
      <c r="L47" s="501"/>
    </row>
    <row r="48">
      <c r="K48" s="502"/>
      <c r="L48" s="503"/>
    </row>
    <row r="49">
      <c r="K49" s="504"/>
      <c r="L49" s="505"/>
    </row>
    <row r="50">
      <c r="K50" s="506"/>
      <c r="L50" s="507"/>
    </row>
    <row r="51">
      <c r="K51" s="508"/>
      <c r="L51" s="509"/>
    </row>
    <row r="52">
      <c r="K52" s="510"/>
      <c r="L52" s="511"/>
    </row>
    <row r="53">
      <c r="K53" s="512"/>
      <c r="L53" s="513"/>
    </row>
    <row r="54">
      <c r="K54" s="514"/>
      <c r="L54" s="515"/>
    </row>
    <row r="55">
      <c r="K55" s="516"/>
      <c r="L55" s="517"/>
    </row>
    <row r="56">
      <c r="K56" s="518"/>
      <c r="L56" s="519"/>
    </row>
    <row r="57">
      <c r="K57" s="520"/>
      <c r="L57" s="521"/>
    </row>
    <row r="58">
      <c r="K58" s="522"/>
      <c r="L58" s="523"/>
    </row>
    <row r="59">
      <c r="K59" s="524"/>
      <c r="L59" s="525"/>
    </row>
    <row r="60">
      <c r="K60" s="526"/>
      <c r="L60" s="527"/>
    </row>
    <row r="61">
      <c r="K61" s="528"/>
      <c r="L61" s="529"/>
    </row>
    <row r="62">
      <c r="K62" s="530"/>
      <c r="L62" s="531"/>
    </row>
    <row r="63">
      <c r="K63" s="532"/>
      <c r="L63" s="533"/>
    </row>
    <row r="64">
      <c r="K64" s="534"/>
      <c r="L64" s="535"/>
    </row>
    <row r="65">
      <c r="K65" s="536"/>
      <c r="L65" s="537"/>
    </row>
    <row r="66">
      <c r="K66" s="538"/>
      <c r="L66" s="539"/>
    </row>
    <row r="67">
      <c r="K67" s="540"/>
      <c r="L67" s="541"/>
    </row>
    <row r="68">
      <c r="K68" s="542"/>
      <c r="L68" s="543"/>
    </row>
    <row r="69">
      <c r="K69" s="544"/>
      <c r="L69" s="545"/>
    </row>
    <row r="70">
      <c r="K70" s="546"/>
      <c r="L70" s="547"/>
    </row>
    <row r="71">
      <c r="K71" s="548"/>
      <c r="L71" s="549"/>
    </row>
    <row r="72">
      <c r="K72" s="550"/>
      <c r="L72" s="551"/>
    </row>
    <row r="73">
      <c r="K73" s="552"/>
      <c r="L73" s="553"/>
    </row>
    <row r="74">
      <c r="K74" s="554"/>
      <c r="L74" s="555"/>
    </row>
    <row r="75">
      <c r="K75" s="556"/>
      <c r="L75" s="557"/>
    </row>
    <row r="76">
      <c r="K76" s="558"/>
      <c r="L76" s="559"/>
    </row>
    <row r="77">
      <c r="K77" s="560"/>
      <c r="L77" s="561"/>
    </row>
    <row r="78">
      <c r="K78" s="562"/>
      <c r="L78" s="563"/>
    </row>
    <row r="79">
      <c r="K79" s="564"/>
      <c r="L79" s="565"/>
    </row>
    <row r="80">
      <c r="K80" s="566"/>
      <c r="L80" s="567"/>
    </row>
    <row r="81">
      <c r="K81" s="568"/>
      <c r="L81" s="569"/>
    </row>
    <row r="82">
      <c r="K82" s="570"/>
      <c r="L82" s="571"/>
    </row>
    <row r="83">
      <c r="K83" s="572"/>
      <c r="L83" s="573"/>
    </row>
    <row r="84">
      <c r="K84" s="574"/>
      <c r="L84" s="575"/>
    </row>
    <row r="85">
      <c r="K85" s="576"/>
      <c r="L85" s="577"/>
    </row>
    <row r="86">
      <c r="K86" s="578"/>
      <c r="L86" s="579"/>
    </row>
    <row r="87">
      <c r="K87" s="580"/>
      <c r="L87" s="581"/>
    </row>
    <row r="88">
      <c r="K88" s="582"/>
      <c r="L88" s="583"/>
    </row>
    <row r="89">
      <c r="K89" s="584"/>
      <c r="L89" s="585"/>
    </row>
    <row r="90">
      <c r="K90" s="586"/>
      <c r="L90" s="587"/>
    </row>
    <row r="91">
      <c r="K91" s="588"/>
      <c r="L91" s="589"/>
    </row>
    <row r="92">
      <c r="K92" s="590"/>
      <c r="L92" s="591"/>
    </row>
    <row r="93">
      <c r="K93" s="592"/>
      <c r="L93" s="593"/>
    </row>
    <row r="94">
      <c r="K94" s="594"/>
      <c r="L94" s="595"/>
    </row>
    <row r="95">
      <c r="K95" s="596"/>
      <c r="L95" s="597"/>
    </row>
    <row r="96">
      <c r="K96" s="598"/>
      <c r="L96" s="599"/>
    </row>
    <row r="97">
      <c r="K97" s="600"/>
      <c r="L97" s="601"/>
    </row>
    <row r="98">
      <c r="K98" s="602"/>
      <c r="L98" s="603"/>
    </row>
    <row r="99">
      <c r="K99" s="604"/>
      <c r="L99" s="605"/>
    </row>
    <row r="100">
      <c r="K100" s="606"/>
      <c r="L100" s="607"/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selection activeCell="A16" sqref="A16:H16"/>
    </sheetView>
  </sheetViews>
  <sheetFormatPr baseColWidth="10" defaultColWidth="8.796875" defaultRowHeight="13.8"/>
  <cols>
    <col min="1" max="1" width="14" customWidth="1"/>
    <col min="2" max="2" width="18" customWidth="1"/>
    <col min="3" max="4" width="22" customWidth="1"/>
    <col min="5" max="7" width="18" customWidth="1"/>
    <col min="8" max="8" width="28" customWidth="1"/>
    <col min="9" max="9" width="12.796875" customWidth="1"/>
  </cols>
  <sheetData>
    <row r="1" spans="1:9" ht="22.35" customHeight="1">
      <c r="A1" t="s" s="404">
        <v>93</v>
      </c>
      <c r="B1" s="405"/>
      <c r="C1" s="405"/>
      <c r="D1" s="405"/>
      <c r="E1" s="405"/>
      <c r="F1" s="405"/>
      <c r="G1" s="405"/>
      <c r="H1" s="405"/>
    </row>
    <row r="3" spans="1:9" ht="41.4" customHeight="1">
      <c r="A3" t="s" s="406">
        <v>94</v>
      </c>
      <c r="B3" s="406"/>
      <c r="C3" s="406"/>
      <c r="D3" s="406"/>
      <c r="E3" s="406"/>
      <c r="F3" s="406"/>
      <c r="G3" s="406"/>
      <c r="H3" s="406"/>
    </row>
    <row r="4" spans="1:9">
      <c r="A4" t="s" s="7">
        <v>9</v>
      </c>
      <c r="B4" t="s" s="7">
        <v>8</v>
      </c>
      <c r="C4" t="s" s="7">
        <v>95</v>
      </c>
      <c r="D4" t="s" s="7">
        <v>96</v>
      </c>
      <c r="E4" t="s" s="7">
        <v>97</v>
      </c>
      <c r="F4" t="s" s="7">
        <v>98</v>
      </c>
      <c r="G4" s="7"/>
      <c r="H4" s="7"/>
    </row>
    <row r="5" spans="1:9">
      <c r="A5" s="7"/>
      <c r="B5" s="7"/>
      <c r="C5" s="7"/>
      <c r="D5" s="7"/>
      <c r="E5" s="7"/>
      <c r="F5" s="7"/>
      <c r="G5" s="7"/>
      <c r="H5" s="7"/>
    </row>
    <row r="6" spans="1:9" ht="27.6">
      <c r="A6" t="s" s="1">
        <v>14</v>
      </c>
      <c r="B6" t="s" s="1">
        <v>29</v>
      </c>
      <c r="C6" t="s" s="1">
        <v>16</v>
      </c>
      <c r="D6" t="s" s="1">
        <v>1</v>
      </c>
      <c r="E6" t="s" s="1">
        <v>17</v>
      </c>
      <c r="F6" t="s" s="1">
        <v>18</v>
      </c>
      <c r="G6" t="s" s="1">
        <v>19</v>
      </c>
      <c r="H6" t="s" s="1">
        <v>132</v>
      </c>
      <c r="I6" t="s" s="1">
        <v>131</v>
      </c>
    </row>
    <row r="7" spans="1:9">
      <c r="A7" s="7"/>
      <c r="B7" s="7"/>
      <c r="C7" s="7"/>
      <c r="D7" s="7"/>
      <c r="E7" s="7"/>
      <c r="F7" s="7"/>
      <c r="G7" s="7"/>
      <c r="H7" s="7"/>
    </row>
    <row r="8" spans="1:9">
      <c r="A8" s="7"/>
      <c r="B8" s="7"/>
      <c r="C8" s="7"/>
      <c r="D8" s="7"/>
      <c r="E8" s="7"/>
      <c r="F8" s="7"/>
      <c r="G8" s="7"/>
      <c r="H8" s="7"/>
    </row>
    <row r="9" spans="1:9">
      <c r="A9" s="7"/>
      <c r="B9" s="7"/>
      <c r="C9" s="7"/>
      <c r="D9" s="7"/>
      <c r="E9" s="7"/>
      <c r="F9" s="7"/>
      <c r="G9" s="7"/>
      <c r="H9" s="7"/>
    </row>
    <row r="10" spans="1:9">
      <c r="A10" s="7"/>
      <c r="B10" s="7"/>
      <c r="C10" s="7"/>
      <c r="D10" s="7"/>
      <c r="E10" s="7"/>
      <c r="F10" s="7"/>
      <c r="G10" s="7"/>
      <c r="H10" s="7"/>
    </row>
    <row r="11" spans="1:9">
      <c r="A11" s="7"/>
      <c r="B11" s="7"/>
      <c r="C11" s="7"/>
      <c r="D11" s="7"/>
      <c r="E11" s="7"/>
      <c r="F11" s="7"/>
      <c r="G11" s="7"/>
      <c r="H11" s="7"/>
    </row>
    <row r="12" spans="1:9">
      <c r="A12" s="7"/>
      <c r="B12" s="7"/>
      <c r="C12" s="7"/>
      <c r="D12" s="7"/>
      <c r="E12" s="7"/>
      <c r="F12" s="7"/>
      <c r="G12" s="7"/>
      <c r="H12" s="7"/>
    </row>
    <row r="13" spans="1:9">
      <c r="A13" s="7"/>
      <c r="B13" s="7"/>
      <c r="C13" s="7"/>
      <c r="D13" s="7"/>
      <c r="E13" s="7"/>
      <c r="F13" s="7"/>
      <c r="G13" s="7"/>
      <c r="H13" s="7"/>
    </row>
    <row r="14" spans="1:9">
      <c r="A14" s="7"/>
      <c r="B14" s="7"/>
      <c r="C14" s="7"/>
      <c r="D14" s="7"/>
      <c r="E14" s="7"/>
      <c r="F14" s="7"/>
      <c r="G14" s="7"/>
      <c r="H14" s="7"/>
    </row>
    <row r="15" spans="1:9">
      <c r="A15" s="7"/>
      <c r="B15" s="7"/>
      <c r="C15" s="7"/>
      <c r="D15" s="7"/>
      <c r="E15" s="7"/>
      <c r="F15" s="7"/>
      <c r="G15" s="7"/>
      <c r="H15" s="7"/>
    </row>
    <row r="16" spans="1:9" ht="55.2" customHeight="1">
      <c r="A16" t="s" s="406">
        <v>99</v>
      </c>
      <c r="B16" s="406"/>
      <c r="C16" s="406"/>
      <c r="D16" s="406"/>
      <c r="E16" s="406"/>
      <c r="F16" s="406"/>
      <c r="G16" s="406"/>
      <c r="H16" s="406"/>
    </row>
    <row r="17" spans="1:8">
      <c r="A17" t="s" s="7">
        <v>9</v>
      </c>
      <c r="B17" t="s" s="7">
        <v>25</v>
      </c>
      <c r="C17" t="s" s="7">
        <v>100</v>
      </c>
      <c r="D17" t="s" s="7">
        <v>101</v>
      </c>
      <c r="E17" t="s" s="7">
        <v>97</v>
      </c>
      <c r="F17" t="s" s="7">
        <v>98</v>
      </c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t="s" s="1">
        <v>14</v>
      </c>
      <c r="B19" t="s" s="1">
        <v>29</v>
      </c>
      <c r="C19" t="s" s="1">
        <v>1</v>
      </c>
      <c r="D19" t="s" s="1">
        <v>31</v>
      </c>
      <c r="E19" t="s" s="1">
        <v>32</v>
      </c>
      <c r="F19" t="s" s="1">
        <v>18</v>
      </c>
      <c r="G19" t="s" s="1">
        <v>19</v>
      </c>
      <c r="H19" t="s" s="1">
        <v>23</v>
      </c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41.4" customHeight="1">
      <c r="A29" t="s" s="406">
        <v>102</v>
      </c>
      <c r="B29" s="406"/>
      <c r="C29" s="406"/>
      <c r="D29" s="406"/>
      <c r="E29" s="406"/>
      <c r="F29" s="406"/>
      <c r="G29" s="406"/>
      <c r="H29" s="406"/>
    </row>
    <row r="30" spans="1:8">
      <c r="A30" t="s" s="7">
        <v>9</v>
      </c>
      <c r="B30" t="s" s="7">
        <v>36</v>
      </c>
      <c r="C30" t="s" s="7">
        <v>35</v>
      </c>
      <c r="D30" t="s" s="7">
        <v>97</v>
      </c>
      <c r="E30" t="s" s="7">
        <v>98</v>
      </c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t="s" s="1">
        <v>14</v>
      </c>
      <c r="B32" t="s" s="1">
        <v>37</v>
      </c>
      <c r="C32" t="s" s="1">
        <v>31</v>
      </c>
      <c r="D32" t="s" s="1">
        <v>32</v>
      </c>
      <c r="E32" t="s" s="1">
        <v>38</v>
      </c>
      <c r="F32" t="s" s="1">
        <v>103</v>
      </c>
      <c r="G32" t="s" s="1">
        <v>40</v>
      </c>
      <c r="H32" t="s" s="1">
        <v>23</v>
      </c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</sheetData>
  <mergeCells count="4">
    <mergeCell ref="A1:H1"/>
    <mergeCell ref="A16:H16"/>
    <mergeCell ref="A29:H29"/>
    <mergeCell ref="A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selection sqref="A1:H1"/>
    </sheetView>
  </sheetViews>
  <sheetFormatPr baseColWidth="10" defaultColWidth="8.796875" defaultRowHeight="13.8"/>
  <cols>
    <col min="1" max="1" width="8" customWidth="1"/>
    <col min="2" max="2" width="24" customWidth="1"/>
    <col min="3" max="3" width="75" customWidth="1"/>
    <col min="4" max="8" width="10" customWidth="1"/>
  </cols>
  <sheetData>
    <row r="1" spans="1:8" ht="22.35" customHeight="1">
      <c r="A1" t="s" s="404">
        <v>104</v>
      </c>
      <c r="B1" s="405"/>
      <c r="C1" s="405"/>
      <c r="D1" s="405"/>
      <c r="E1" s="405"/>
      <c r="F1" s="405"/>
      <c r="G1" s="405"/>
      <c r="H1" s="405"/>
    </row>
    <row r="3" spans="1:8">
      <c r="A3" s="1">
        <v>1</v>
      </c>
      <c r="B3" t="s" s="1">
        <v>105</v>
      </c>
      <c r="C3" t="s" s="1">
        <v>106</v>
      </c>
    </row>
    <row r="4" spans="1:8" ht="27.6">
      <c r="A4" s="7">
        <v>2</v>
      </c>
      <c r="B4" t="s" s="7">
        <v>107</v>
      </c>
      <c r="C4" t="s" s="7">
        <v>108</v>
      </c>
    </row>
    <row r="5" spans="1:8" ht="27.6">
      <c r="A5" s="7">
        <v>3</v>
      </c>
      <c r="B5" t="s" s="7">
        <v>109</v>
      </c>
      <c r="C5" t="s" s="7">
        <v>110</v>
      </c>
    </row>
    <row r="6" spans="1:8" ht="27.6">
      <c r="A6" s="7">
        <v>4</v>
      </c>
      <c r="B6" t="s" s="7">
        <v>111</v>
      </c>
      <c r="C6" t="s" s="7">
        <v>112</v>
      </c>
    </row>
    <row r="7" spans="1:8">
      <c r="A7" s="7">
        <v>5</v>
      </c>
      <c r="B7" t="s" s="7">
        <v>113</v>
      </c>
      <c r="C7" t="s" s="7">
        <v>114</v>
      </c>
    </row>
    <row r="8" spans="1:8" ht="27.6">
      <c r="A8" s="7">
        <v>6</v>
      </c>
      <c r="B8" t="s" s="7">
        <v>115</v>
      </c>
      <c r="C8" t="s" s="7">
        <v>116</v>
      </c>
    </row>
    <row r="9" spans="1:8">
      <c r="A9" s="7">
        <v>7</v>
      </c>
      <c r="B9" t="s" s="7">
        <v>2</v>
      </c>
      <c r="C9" t="s" s="7">
        <v>117</v>
      </c>
    </row>
    <row r="10" spans="1:8" ht="27.6">
      <c r="A10" s="7">
        <v>8</v>
      </c>
      <c r="B10" t="s" s="7">
        <v>118</v>
      </c>
      <c r="C10" t="s" s="7">
        <v>119</v>
      </c>
    </row>
    <row r="11" spans="1:8" ht="27.6">
      <c r="A11" s="7">
        <v>9</v>
      </c>
      <c r="B11" t="s" s="7">
        <v>120</v>
      </c>
      <c r="C11" t="s" s="7">
        <v>121</v>
      </c>
    </row>
    <row r="12" spans="1:8">
      <c r="A12" s="7">
        <v>10</v>
      </c>
      <c r="B12" t="s" s="7">
        <v>122</v>
      </c>
      <c r="C12" t="s" s="7">
        <v>123</v>
      </c>
    </row>
    <row r="13" spans="1:8">
      <c r="A13" s="7"/>
      <c r="B13" s="7"/>
      <c r="C13" s="7"/>
    </row>
    <row r="14" spans="1:8" ht="27.6">
      <c r="A14" t="s" s="7">
        <v>124</v>
      </c>
      <c r="B14" s="7"/>
      <c r="C14" t="s" s="7">
        <v>125</v>
      </c>
    </row>
    <row r="15" spans="1:8">
      <c r="A15" s="7"/>
      <c r="B15" s="7"/>
      <c r="C15" s="7"/>
    </row>
    <row r="16" spans="1:8" ht="41.4">
      <c r="A16" t="s" s="7">
        <v>126</v>
      </c>
      <c r="B16" s="7"/>
      <c r="C16" t="s" s="7">
        <v>127</v>
      </c>
    </row>
    <row r="17" spans="1:3">
      <c r="A17" s="7"/>
      <c r="B17" s="7"/>
      <c r="C17" s="7"/>
    </row>
    <row r="18" spans="1:3" ht="27.6">
      <c r="A18" t="s" s="7">
        <v>128</v>
      </c>
      <c r="B18" s="7"/>
      <c r="C18" t="s" s="7">
        <v>129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Dashboard</vt:lpstr>
      <vt:lpstr>Dashboard_Ejecutivo</vt:lpstr>
      <vt:lpstr>Captura_Pegaso</vt:lpstr>
      <vt:lpstr>Captura_Marimba_M01</vt:lpstr>
      <vt:lpstr>Captura_Jalisco</vt:lpstr>
      <vt:lpstr>Captura_Obra</vt:lpstr>
      <vt:lpstr>Solicitudes</vt:lpstr>
      <vt:lpstr>Conciliacion</vt:lpstr>
      <vt:lpstr>Catalogos</vt:lpstr>
      <vt:lpstr>Formatos_Fisicos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2026-06-19T16:23:35Z</dcterms:modified>
</cp:coreProperties>
</file>