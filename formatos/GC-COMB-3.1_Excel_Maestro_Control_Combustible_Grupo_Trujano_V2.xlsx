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OSE\Desktop\Proyecto fenix\"/>
    </mc:Choice>
  </mc:AlternateContent>
  <xr:revisionPtr revIDLastSave="0" documentId="13_ncr:1_{D77504F2-8A50-47C1-87C3-710E2AA37444}" xr6:coauthVersionLast="47" xr6:coauthVersionMax="47" xr10:uidLastSave="{00000000-0000-0000-0000-000000000000}"/>
  <bookViews>
    <workbookView xWindow="-108" yWindow="-108" windowWidth="23256" windowHeight="12456" activeTab="8" xr2:uid="{00000000-000D-0000-FFFF-FFFF00000000}"/>
  </bookViews>
  <sheets>
    <sheet name="Dashboard" sheetId="17" r:id="rId1"/>
    <sheet name="Dashboard_Ejecutivo" sheetId="11" r:id="rId2"/>
    <sheet name="Captura_Pegaso" sheetId="2" r:id="rId3"/>
    <sheet name="Captura_Marimba_M01" sheetId="3" r:id="rId4"/>
    <sheet name="Captura_Jalisco" sheetId="13" r:id="rId5"/>
    <sheet name="Captura_Obra" sheetId="4" r:id="rId6"/>
    <sheet name="Solicitudes" sheetId="10" r:id="rId7"/>
    <sheet name="Conciliacion" sheetId="5" r:id="rId8"/>
    <sheet name="Catalogos" sheetId="6" r:id="rId9"/>
    <sheet name="Instrucciones" sheetId="8" r:id="rId10"/>
    <sheet name="Maquinaria_Inventario" sheetId="18" r:id="rId11"/>
    <sheet name="Maquinaria_Calculo_Rendimiento" sheetId="19" r:id="rId12"/>
  </sheets>
  <definedNames>
    <definedName name="_xlnm.Print_Area" localSheetId="0">Dashboard!$A$1:$M$88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<sst xmlns="http://schemas.openxmlformats.org/spreadsheetml/2006/main">
  <si>
    <t>Obra</t>
  </si>
  <si>
    <t>Costo</t>
  </si>
  <si>
    <t>México-Toluca</t>
  </si>
  <si>
    <t>Lerma - Tres Marías</t>
  </si>
  <si>
    <t>Chamapa-Lechería</t>
  </si>
  <si>
    <t>GC-COMB-001 | BITÁCORA DE INVENTARIO PEGASO</t>
  </si>
  <si>
    <t>Responsable:</t>
  </si>
  <si>
    <t>Semana:</t>
  </si>
  <si>
    <t>Fecha entrega:</t>
  </si>
  <si>
    <t>Tanque:</t>
  </si>
  <si>
    <t>Pegaso</t>
  </si>
  <si>
    <t>Costo por litro base:</t>
  </si>
  <si>
    <t>Fecha</t>
  </si>
  <si>
    <t>Tipo Movimiento</t>
  </si>
  <si>
    <t>Origen/Destino</t>
  </si>
  <si>
    <t>Entrada (L)</t>
  </si>
  <si>
    <t>Salida (L)</t>
  </si>
  <si>
    <t>Existencia Teórica</t>
  </si>
  <si>
    <t>Costo/L</t>
  </si>
  <si>
    <t>Importe</t>
  </si>
  <si>
    <t>Observaciones</t>
  </si>
  <si>
    <t>GC-COMB-002 | BITÁCORA DE SUMINISTRO DE MARIMBA M-01</t>
  </si>
  <si>
    <t>Operador:</t>
  </si>
  <si>
    <t>Marimba:</t>
  </si>
  <si>
    <t>M-01</t>
  </si>
  <si>
    <t>Costo/L base:</t>
  </si>
  <si>
    <t>Movimiento</t>
  </si>
  <si>
    <t>Origen/Obra</t>
  </si>
  <si>
    <t>Equipo</t>
  </si>
  <si>
    <t>Económico</t>
  </si>
  <si>
    <t>Firma/Validación</t>
  </si>
  <si>
    <t>GC-COMB-003 | BITÁCORA DE CONTROL DE COMBUSTIBLE DE OBRA</t>
  </si>
  <si>
    <t>Ingeniero:</t>
  </si>
  <si>
    <t>Obra:</t>
  </si>
  <si>
    <t>Fuente</t>
  </si>
  <si>
    <t>Litros Recibidos</t>
  </si>
  <si>
    <t>Actividad Ejecutada</t>
  </si>
  <si>
    <t>Incidencia</t>
  </si>
  <si>
    <t>CATÁLOGOS OFICIALES - CONTROL DE COMBUSTIBLE</t>
  </si>
  <si>
    <t>Código Obra</t>
  </si>
  <si>
    <t>Código</t>
  </si>
  <si>
    <t>Fuente / Origen</t>
  </si>
  <si>
    <t>Tipo de Equipo</t>
  </si>
  <si>
    <t>MT</t>
  </si>
  <si>
    <t>GAS</t>
  </si>
  <si>
    <t>Gasolinera Huixquilucan</t>
  </si>
  <si>
    <t>Fresadora</t>
  </si>
  <si>
    <t>L3M</t>
  </si>
  <si>
    <t>PEG</t>
  </si>
  <si>
    <t>Tanque Pegaso</t>
  </si>
  <si>
    <t>Compactador</t>
  </si>
  <si>
    <t>CL</t>
  </si>
  <si>
    <t>M01</t>
  </si>
  <si>
    <t>Marimba M-01</t>
  </si>
  <si>
    <t>Excavadora</t>
  </si>
  <si>
    <t>DIR</t>
  </si>
  <si>
    <t>Carga directa</t>
  </si>
  <si>
    <t>RT-01</t>
  </si>
  <si>
    <t>Retroexcavadora</t>
  </si>
  <si>
    <t>Otro</t>
  </si>
  <si>
    <t>Motoconformadora</t>
  </si>
  <si>
    <t>PT-01</t>
  </si>
  <si>
    <t>Petrolizadora</t>
  </si>
  <si>
    <t>PP-01</t>
  </si>
  <si>
    <t>Pipa</t>
  </si>
  <si>
    <t>CR-01</t>
  </si>
  <si>
    <t>PROCEDIMIENTO OPERATIVO GC-COMB-01</t>
  </si>
  <si>
    <t>Gasolinera → Pegaso</t>
  </si>
  <si>
    <t>Vigilante registra entrada en GC-COMB-001 con factura/remisión y litros recibidos.</t>
  </si>
  <si>
    <t>Pegaso → Marimba M-01</t>
  </si>
  <si>
    <t>Vigilante registra salida en GC-COMB-001. Operador de Marimba registra entrada en GC-COMB-002.</t>
  </si>
  <si>
    <t>Pegaso → Máquina</t>
  </si>
  <si>
    <t>Vigilante registra salida directa en GC-COMB-001. Ingeniero registra recepción en GC-COMB-003.</t>
  </si>
  <si>
    <t>Marimba → Obras/Máquinas</t>
  </si>
  <si>
    <t>Operador registra cada suministro en GC-COMB-002. Ingeniero reconoce litros por obra en GC-COMB-003.</t>
  </si>
  <si>
    <t>Obras actuales</t>
  </si>
  <si>
    <t>México-Toluca, Lerma - Tres Marías y Chamapa-Lechería.</t>
  </si>
  <si>
    <t>Horómetro</t>
  </si>
  <si>
    <t>No es obligatorio porque no funciona en la mayoría de equipos. El control principal será por litros, obra, equipo, actividad e incidencia.</t>
  </si>
  <si>
    <t>Capturar costo/litro en cada registro para obtener costo por obra y costo total semanal.</t>
  </si>
  <si>
    <t>Cierre semanal</t>
  </si>
  <si>
    <t>Todos entregan bitácoras físicas firmadas. Gobierno Corporativo captura y revisa conciliación.</t>
  </si>
  <si>
    <t>Alertas</t>
  </si>
  <si>
    <t>Si la diferencia total es distinta de cero, revisar Pegaso vs Marimba y Marimba/Pegaso vs Obra.</t>
  </si>
  <si>
    <t>Reunión lunes</t>
  </si>
  <si>
    <t>Usar Dashboard para mostrar consumo, costo y diferencias al Ing. Pepe.</t>
  </si>
  <si>
    <t>Responsables</t>
  </si>
  <si>
    <t>Vigilante Pegaso = inventario / Operador Marimba = distribución / Ingeniero = validación de obra / Gobierno Corporativo = conciliación y pago.</t>
  </si>
  <si>
    <t>Documentación soporte</t>
  </si>
  <si>
    <t>Factura, remisión, bitácoras físicas firmadas, evidencias de incidencias cuando existan.</t>
  </si>
  <si>
    <t>Nota</t>
  </si>
  <si>
    <t>Este archivo no usa macros. Funciona con fórmulas, catálogos y validaciones para evitar dependencia de VBA.</t>
  </si>
  <si>
    <t>Pegaso Directo</t>
  </si>
  <si>
    <t>GC-COMB-003 | BITÁCORA DE SOLICITUDES DE COMBUSTIBLE DE OBRA</t>
  </si>
  <si>
    <t>Vogel</t>
  </si>
  <si>
    <t>VG-01</t>
  </si>
  <si>
    <t>Litros Solicitados</t>
  </si>
  <si>
    <t>PR-01</t>
  </si>
  <si>
    <t>Perfiladora</t>
  </si>
  <si>
    <t>Barredora</t>
  </si>
  <si>
    <t>BR-01</t>
  </si>
  <si>
    <t>NM-01</t>
  </si>
  <si>
    <t>OT-01</t>
  </si>
  <si>
    <t>Fecha de Trabajo</t>
  </si>
  <si>
    <t>Fecha de Solicitud</t>
  </si>
  <si>
    <t>Perfiladora Wirgent</t>
  </si>
  <si>
    <t>PR-02</t>
  </si>
  <si>
    <t>Perfiladora Cat-PM</t>
  </si>
  <si>
    <t>Barredora Broce</t>
  </si>
  <si>
    <t>BR-02</t>
  </si>
  <si>
    <t>Retroexcavadora Jonh Deere</t>
  </si>
  <si>
    <t>RT-02</t>
  </si>
  <si>
    <t>Buggy Trasnfer</t>
  </si>
  <si>
    <t>BG-01</t>
  </si>
  <si>
    <t>Neuomatico</t>
  </si>
  <si>
    <t>Vogele Guion</t>
  </si>
  <si>
    <t>VG-02</t>
  </si>
  <si>
    <t>Tandem Hamm</t>
  </si>
  <si>
    <t>TD-01</t>
  </si>
  <si>
    <t>Neuomatico Dynapac</t>
  </si>
  <si>
    <t>NM-02</t>
  </si>
  <si>
    <t>Petrolizadora Elton</t>
  </si>
  <si>
    <t>PT-02</t>
  </si>
  <si>
    <t>Camion de Impacto</t>
  </si>
  <si>
    <t>CI-01</t>
  </si>
  <si>
    <t>Maxilihgs</t>
  </si>
  <si>
    <t>MX-01</t>
  </si>
  <si>
    <t>Compresor</t>
  </si>
  <si>
    <t>CPR-01</t>
  </si>
  <si>
    <t>Rastrillador</t>
  </si>
  <si>
    <t>RS-01</t>
  </si>
  <si>
    <t>Limpieza</t>
  </si>
  <si>
    <t>LP-01</t>
  </si>
  <si>
    <t>Doble Rodillo</t>
  </si>
  <si>
    <t>DR-01</t>
  </si>
  <si>
    <t>Segunda solicitud, el dia 7/06/2026, no se relizo la carga</t>
  </si>
  <si>
    <t>Solicitante</t>
  </si>
  <si>
    <t>Ingeniero</t>
  </si>
  <si>
    <t>Apolinar</t>
  </si>
  <si>
    <t>Francisco Javier</t>
  </si>
  <si>
    <t>Diego Carreola Monroy</t>
  </si>
  <si>
    <t>Economico</t>
  </si>
  <si>
    <t>Bacheo Toluca</t>
  </si>
  <si>
    <t>Bidones</t>
  </si>
  <si>
    <t>BD-01</t>
  </si>
  <si>
    <t>No aplica</t>
  </si>
  <si>
    <t>Planta Asfalto Pegaso</t>
  </si>
  <si>
    <t>Planta Asfaltos</t>
  </si>
  <si>
    <t>PayLoder</t>
  </si>
  <si>
    <t>PL-01</t>
  </si>
  <si>
    <t>BT</t>
  </si>
  <si>
    <t>NP</t>
  </si>
  <si>
    <t>PAP</t>
  </si>
  <si>
    <t>PAH</t>
  </si>
  <si>
    <t>Diego Carreola</t>
  </si>
  <si>
    <t>Planta Asflato Huixquilucan</t>
  </si>
  <si>
    <t>Entrada</t>
  </si>
  <si>
    <t>Cuerpo a (Pausada)</t>
  </si>
  <si>
    <t>Peticiones por Día y Obra</t>
  </si>
  <si>
    <t>Salidas Marimba por Día y Obra</t>
  </si>
  <si>
    <t>Salidas Pegaso a Obra</t>
  </si>
  <si>
    <t>Consumo Total en Obra</t>
  </si>
  <si>
    <t>Resumen Semanal por Obra</t>
  </si>
  <si>
    <t>Costo Estimado ($)</t>
  </si>
  <si>
    <t>Costo Surtido ($)</t>
  </si>
  <si>
    <t>2026-06-07</t>
  </si>
  <si>
    <t>2026-06-08</t>
  </si>
  <si>
    <t>2026-06-09</t>
  </si>
  <si>
    <t>2026-06-10</t>
  </si>
  <si>
    <t>2026-06-11</t>
  </si>
  <si>
    <t>2026-06-12</t>
  </si>
  <si>
    <t>Costos por Día (Petición vs Surtido)</t>
  </si>
  <si>
    <t>Costos por Obra (Petición vs Surtido)</t>
  </si>
  <si>
    <t>Totales Generales por Día</t>
  </si>
  <si>
    <t>Totales Generales por Obra</t>
  </si>
  <si>
    <t>Reporte de Discrepancias (Faltantes/Sobrantes)</t>
  </si>
  <si>
    <t>Costo Solicitado ($)</t>
  </si>
  <si>
    <t>Litros Totales</t>
  </si>
  <si>
    <t>Costo Total ($)</t>
  </si>
  <si>
    <t>Litros Surtidos</t>
  </si>
  <si>
    <t>Discrepancia (L)</t>
  </si>
  <si>
    <t>DASHBOARD EJECUTIVO DE CONTROL DE COMBUSTIBLE | GRUPO TRUJANO</t>
  </si>
  <si>
    <t>FILTROS DEL DASHBOARD (Celdas en amarillo editables en Excel)</t>
  </si>
  <si>
    <t>Obra Seleccionada:</t>
  </si>
  <si>
    <t>Fecha Inicio (Lunes):</t>
  </si>
  <si>
    <t>Precio Diésel ($/L):</t>
  </si>
  <si>
    <t>COMPARATIVA: SOLICITADO (PETICIONES) VS ENTREGADO EN OBRA</t>
  </si>
  <si>
    <t>Día</t>
  </si>
  <si>
    <t>Lts Solicitados</t>
  </si>
  <si>
    <t>Lts Recibidos Obra</t>
  </si>
  <si>
    <t>Dif. Litros (Obra-Sol)</t>
  </si>
  <si>
    <t>Costo Solicitado</t>
  </si>
  <si>
    <t>Costo Real Obra</t>
  </si>
  <si>
    <t>Dif. Costo (Real-Sol)</t>
  </si>
  <si>
    <t>Lunes</t>
  </si>
  <si>
    <t>Martes</t>
  </si>
  <si>
    <t>Miércoles</t>
  </si>
  <si>
    <t>Jueves</t>
  </si>
  <si>
    <t>Viernes</t>
  </si>
  <si>
    <t>Sábado</t>
  </si>
  <si>
    <t>TOTAL SEMANAL</t>
  </si>
  <si>
    <t>CONCILIACIÓN FÍSICA Y DISCREPANCIAS (OBRA VS MARIMBA Y PEGASO)</t>
  </si>
  <si>
    <t>Obra Recibió (M)</t>
  </si>
  <si>
    <t>Marimba Despachó</t>
  </si>
  <si>
    <t>Dif. Marimba</t>
  </si>
  <si>
    <t>Obra Recibió (P)</t>
  </si>
  <si>
    <t>Pegaso Despachó</t>
  </si>
  <si>
    <t>Dif. Pegaso</t>
  </si>
  <si>
    <t>Dif. Total (L)</t>
  </si>
  <si>
    <t>Obras Dropdown</t>
  </si>
  <si>
    <t>Semanas Dropdown</t>
  </si>
  <si>
    <t>Todas</t>
  </si>
  <si>
    <t>Marimba</t>
  </si>
  <si>
    <t>MB-01</t>
  </si>
  <si>
    <t>Dragones</t>
  </si>
  <si>
    <t>Generador</t>
  </si>
  <si>
    <t>GR-01</t>
  </si>
  <si>
    <t>Criba Roja</t>
  </si>
  <si>
    <t>Tandem CAT</t>
  </si>
  <si>
    <t>TC-01</t>
  </si>
  <si>
    <t>GC-COMB-002 | BITÁCORA DE SUMINISTRO DE JALISCO</t>
  </si>
  <si>
    <t>ENT</t>
  </si>
  <si>
    <t>Jalisco</t>
  </si>
  <si>
    <t>Motoconformadora Rentada</t>
  </si>
  <si>
    <t>MGR-01</t>
  </si>
  <si>
    <t>Vibro Compactador</t>
  </si>
  <si>
    <t>VC-01</t>
  </si>
  <si>
    <t>Salida</t>
  </si>
  <si>
    <t>SD</t>
  </si>
  <si>
    <t>Total Litros Suministrados</t>
  </si>
  <si>
    <t>Costo Total Acumulado</t>
  </si>
  <si>
    <t>TOTAL GENERAL</t>
  </si>
  <si>
    <t>ESTADO DE LA CONCILIACIÓN SEMANAL</t>
  </si>
  <si>
    <t>Fecha Fin (Rango):</t>
  </si>
  <si>
    <t>Período Resumen:</t>
  </si>
  <si>
    <t>Observaciones / Justificación</t>
  </si>
  <si>
    <t>TOTAL CONCILIADO</t>
  </si>
  <si>
    <t>RESUMEN ACUMULADO POR OBRA / PERÍODO SELECCIONADO</t>
  </si>
  <si>
    <t>RESUMEN DE CONSUMO SEMANAL POR OBRA (DETALLE HISTÓRICO POR SEMANA)</t>
  </si>
  <si>
    <t>Obra (Tabla Semanal):</t>
  </si>
  <si>
    <t>Semana (Lunes)</t>
  </si>
  <si>
    <t>Litros Despachados</t>
  </si>
  <si>
    <t>Costo/L ($)</t>
  </si>
  <si>
    <t>Costo Combustible ($)</t>
  </si>
  <si>
    <t>TOTAL ACUMULADO</t>
  </si>
  <si>
    <t>Semana Seleccionada</t>
  </si>
  <si>
    <t>Saldo inicial(vales)</t>
  </si>
  <si>
    <t>Saldo final(vales)</t>
  </si>
  <si>
    <t>Ajuste</t>
  </si>
  <si>
    <t>Gasolina</t>
  </si>
  <si>
    <t>Saldo Inicial (Vales)</t>
  </si>
  <si>
    <t>Saldo Final (Vales)</t>
  </si>
  <si>
    <t>Ajuste semanal</t>
  </si>
  <si>
    <t>Litros de Disel Acumulado</t>
  </si>
  <si>
    <t>RT-03</t>
  </si>
  <si>
    <t>VG-03</t>
  </si>
  <si>
    <t>BR-03</t>
  </si>
  <si>
    <t>BR-04</t>
  </si>
  <si>
    <t>DR-02</t>
  </si>
  <si>
    <t>CPR-02</t>
  </si>
  <si>
    <t>RT-04</t>
  </si>
  <si>
    <t>BR-05</t>
  </si>
  <si>
    <t>RT-05</t>
  </si>
  <si>
    <t>BR-06</t>
  </si>
  <si>
    <t>DR-03</t>
  </si>
  <si>
    <t>CI-02</t>
  </si>
  <si>
    <t>DR-04</t>
  </si>
  <si>
    <t>RETROEXCAVADORA CASE 580 N</t>
  </si>
  <si>
    <t>RETROEXCAVADORA JHONDEREE 310 K</t>
  </si>
  <si>
    <t>PAVIMENTADORA VOGELE 1800-3 I</t>
  </si>
  <si>
    <t>PAVIMENTADORA VOGELE 1800-2 SJ</t>
  </si>
  <si>
    <t>PAVIMENTADORA VOGELE SJ 1800-3</t>
  </si>
  <si>
    <t>PERFILADORA RODATEC RX600-4-4008</t>
  </si>
  <si>
    <t>PERFILADORA RODATEC RX600E</t>
  </si>
  <si>
    <t>BARREDORA BROCE RJ350</t>
  </si>
  <si>
    <t>BARREDORA LAYMOR SM400</t>
  </si>
  <si>
    <t>BARREDORA SUPERIOR BROOM DT80J</t>
  </si>
  <si>
    <t>DOBLE RODILLO/VIBROCOMPACTADOR DE RODILLOS HAMM 120HD VV</t>
  </si>
  <si>
    <t>DOBLE RODILLO/VIBROCOMPACTADOR DE RODILLOS HAMM 140HD</t>
  </si>
  <si>
    <t>TANDEM DOBLE RODILLO / VIBROCOMPACTOR RODILLO CAT CB54</t>
  </si>
  <si>
    <t>VIBROCOMPACTADOR CATERPILLAR CB66B</t>
  </si>
  <si>
    <t>NEUMATICO / COMPACTADOR DE NEUMATICOS DINAPAC CP271</t>
  </si>
  <si>
    <t>NEUMATICO VOLVO PT-240R</t>
  </si>
  <si>
    <t>COMPRESOR SULLIVAN PALATEK D2010</t>
  </si>
  <si>
    <t>RETROEXCAVADORA CASE 420DN</t>
  </si>
  <si>
    <t>BARREDORA BROCE BROOM KR350</t>
  </si>
  <si>
    <t>RETROEXCAVADORA JHONDEREE 310SK</t>
  </si>
  <si>
    <t>DOBLE RODILLO INGERSOLL RAND DD-108HF</t>
  </si>
  <si>
    <t>TRASFER BUGGI RODATEC</t>
  </si>
  <si>
    <t>IMPACTO FORD 4300</t>
  </si>
  <si>
    <t>IMPACTO FORD F800</t>
  </si>
  <si>
    <t>PETROLIZADORA (IMPACTO 04) FORD F800</t>
  </si>
  <si>
    <t>PETROLIZADORA INTERNATIONAL</t>
  </si>
  <si>
    <t>PIPA DE AGUA (IMPACTO 01) FORD</t>
  </si>
  <si>
    <t>DOBLE RODILLO RAD ROLLER FILY-325 PRO</t>
  </si>
  <si>
    <t>BIDONES</t>
  </si>
  <si>
    <t>OTRO</t>
  </si>
  <si>
    <t>MARIMBA</t>
  </si>
  <si>
    <t>GENERADOR</t>
  </si>
  <si>
    <t>CRIBA ROJA</t>
  </si>
  <si>
    <t>TANDEM CAT</t>
  </si>
  <si>
    <t>MOTOCONFORMADORA RENTADA</t>
  </si>
  <si>
    <t>VIBRO COMPACTADOR</t>
  </si>
  <si>
    <t>PAYLODER</t>
  </si>
  <si>
    <t>LIMPIEZA</t>
  </si>
  <si>
    <t>RASTRILLADOR</t>
  </si>
  <si>
    <t>MAXILIGHT</t>
  </si>
  <si>
    <t>Luis</t>
  </si>
  <si>
    <t>HOMBRE A BORDO</t>
  </si>
  <si>
    <t>HB-01</t>
  </si>
  <si>
    <t>Janeth</t>
  </si>
  <si>
    <t>EXCAVADORA</t>
  </si>
  <si>
    <t>EX-01</t>
  </si>
  <si>
    <t xml:space="preserve">Número </t>
  </si>
  <si>
    <t>Unidad</t>
  </si>
  <si>
    <t>Dueño</t>
  </si>
  <si>
    <t>Marca</t>
  </si>
  <si>
    <t>Modelo</t>
  </si>
  <si>
    <t xml:space="preserve">Año </t>
  </si>
  <si>
    <t xml:space="preserve">No. Serie </t>
  </si>
  <si>
    <t>Rendimiento Nuevo</t>
  </si>
  <si>
    <t>Unidad de Medida</t>
  </si>
  <si>
    <t>Edad (Años)</t>
  </si>
  <si>
    <t>Rendimiento Ajustado (2026)</t>
  </si>
  <si>
    <t>RETROEXCAVADORA</t>
  </si>
  <si>
    <t>TRITURADORA ROCA DURA SAN MIGUEL S.A. DE C.V.</t>
  </si>
  <si>
    <t>CASE</t>
  </si>
  <si>
    <t>580 N</t>
  </si>
  <si>
    <t>JJGN580NABC540211</t>
  </si>
  <si>
    <t>L/h</t>
  </si>
  <si>
    <t>JHONDEREE</t>
  </si>
  <si>
    <t>310 K</t>
  </si>
  <si>
    <t>1T0231KXTEE258108</t>
  </si>
  <si>
    <t>JJGN58NHAC535026</t>
  </si>
  <si>
    <t xml:space="preserve">PAVIMENTADORA </t>
  </si>
  <si>
    <t>JDJ EQUIPO Y CONSTRUCCIONES S.A. DE C.V.</t>
  </si>
  <si>
    <t>VOGELE</t>
  </si>
  <si>
    <t>1800-3 i</t>
  </si>
  <si>
    <t>1800-2 SJ</t>
  </si>
  <si>
    <t>SJ 1800-3</t>
  </si>
  <si>
    <t>PERFILADORA</t>
  </si>
  <si>
    <t>RODATEC</t>
  </si>
  <si>
    <t>RX600-4-4008</t>
  </si>
  <si>
    <t>RX600E</t>
  </si>
  <si>
    <t>BARREDORA</t>
  </si>
  <si>
    <t>BROCE</t>
  </si>
  <si>
    <t>RJ350</t>
  </si>
  <si>
    <t>LAYMOR</t>
  </si>
  <si>
    <t>SM400</t>
  </si>
  <si>
    <t>SUPERIOR BROOM</t>
  </si>
  <si>
    <t>DT80J</t>
  </si>
  <si>
    <t>DOBLE RODILLO/VIBROCOMPACTADOR DE RODILLOS</t>
  </si>
  <si>
    <t>HAMM</t>
  </si>
  <si>
    <t>120HD VV</t>
  </si>
  <si>
    <t>H1840093</t>
  </si>
  <si>
    <t xml:space="preserve">140HD </t>
  </si>
  <si>
    <t>H1840234</t>
  </si>
  <si>
    <t>TANDEM DOBLE RODILLO / VIBROCOMPACTOR RODILLO</t>
  </si>
  <si>
    <t>CAT</t>
  </si>
  <si>
    <t>CB54</t>
  </si>
  <si>
    <t>CAT0CB54PJLM00895</t>
  </si>
  <si>
    <t>VIBROCOMPACTADOR</t>
  </si>
  <si>
    <t>CATERPILLAR</t>
  </si>
  <si>
    <t>CB66B</t>
  </si>
  <si>
    <t>CATCB66BVB6600136</t>
  </si>
  <si>
    <t>NEUMATICO / COMPACTADOR DE NEUMATICOS</t>
  </si>
  <si>
    <t>DINAPAC</t>
  </si>
  <si>
    <t>CP271</t>
  </si>
  <si>
    <t>NEUMATICO</t>
  </si>
  <si>
    <t>VOLVO</t>
  </si>
  <si>
    <t>PT-240R</t>
  </si>
  <si>
    <t>VCE0T240A0S325028</t>
  </si>
  <si>
    <t xml:space="preserve">COMPRESOR </t>
  </si>
  <si>
    <t>SULLIVAN PALATEK</t>
  </si>
  <si>
    <t>D2010</t>
  </si>
  <si>
    <t>PHD25B330551</t>
  </si>
  <si>
    <t>PHD25B330552</t>
  </si>
  <si>
    <t>420DN</t>
  </si>
  <si>
    <t>CAT0420DTFDP27091</t>
  </si>
  <si>
    <t>BROCE BROOM</t>
  </si>
  <si>
    <t>KR350</t>
  </si>
  <si>
    <t>310SK</t>
  </si>
  <si>
    <t>1T0310SKAEE262172</t>
  </si>
  <si>
    <t xml:space="preserve">DOBLE RODILLO  </t>
  </si>
  <si>
    <t>INGERSOLL RAND</t>
  </si>
  <si>
    <t>DD-108HF</t>
  </si>
  <si>
    <t>TRASFER BUGGI</t>
  </si>
  <si>
    <t>CB-2500B 538</t>
  </si>
  <si>
    <t>IMPACTO</t>
  </si>
  <si>
    <t>FORD</t>
  </si>
  <si>
    <t>1HTMMAAL2DH158631</t>
  </si>
  <si>
    <t>km/L</t>
  </si>
  <si>
    <t>F800</t>
  </si>
  <si>
    <t>1FDNF80C7WVA19892</t>
  </si>
  <si>
    <t>PETROLIZADORA (IMPACTO 04)</t>
  </si>
  <si>
    <t>1FDNF80C2WVA22179</t>
  </si>
  <si>
    <t xml:space="preserve">PETROLIZADORA   </t>
  </si>
  <si>
    <t>INTERNATIONAL</t>
  </si>
  <si>
    <t>3HTMMAAR830567</t>
  </si>
  <si>
    <t>PIPA DE AGUA (IMPACTO 01)</t>
  </si>
  <si>
    <t>1FDYR80U0GVA15942</t>
  </si>
  <si>
    <t>DOBLE RODILLO</t>
  </si>
  <si>
    <t>RAD ROLLER</t>
  </si>
  <si>
    <t>FILY-325 PRO</t>
  </si>
  <si>
    <t>LD600JN2026012501</t>
  </si>
  <si>
    <t>CÁLCULO DE RENDIMIENTOS AJUSTADOS POR DESGASTE Y TIEMPO</t>
  </si>
  <si>
    <t>Año Actual de Auditoría:</t>
  </si>
  <si>
    <t>Tasa de Desgaste Anual (T):</t>
  </si>
  <si>
    <t>Edad Promedio Default:</t>
  </si>
  <si>
    <t>EXPLICACIÓN DE FÓRMULAS</t>
  </si>
  <si>
    <t>1. Edad del Equipo (Años):</t>
  </si>
  <si>
    <t>Calculada como: [Año Auditoría] - [Año de Fabricación].</t>
  </si>
  <si>
    <t>Si el año es desconocido (nulo), se asume la Edad Promedio Default (10 años).</t>
  </si>
  <si>
    <t>2. Maquinaria Medida en Horas (L/h):</t>
  </si>
  <si>
    <t>A mayor edad, se incrementa el consumo de combustible por desgaste mecánico:</t>
  </si>
  <si>
    <t>Fórmula: [Rendimiento Nuevo] * (1 + (Edad * Tasa de Desgaste))</t>
  </si>
  <si>
    <t>3. Transporte y Soporte Medido en Kilómetros (km/L):</t>
  </si>
  <si>
    <t>A mayor edad, se reduce el rendimiento en distancia recorrida por litro:</t>
  </si>
  <si>
    <t>Fórmula: [Rendimiento Nuevo] / (1 + (Edad * Tasa de Desgaste))</t>
  </si>
  <si>
    <t>NOTA DE AUDITORÍA:</t>
  </si>
  <si>
    <t>El desgaste anual del 1.0% anual es el estándar industrial recomendado para maquinaria pesada.</t>
  </si>
  <si>
    <t>Este modelo ajusta automáticamente los baselines conforme la flota envejece, permitiendo</t>
  </si>
  <si>
    <t>identificar desvíos de combustible reales sin castigar a los equipos de mayor antigüedad.</t>
  </si>
  <si>
    <t>CALDERA TECNO</t>
  </si>
  <si>
    <t>CT-01</t>
  </si>
  <si>
    <t>CALDERA TRIASO</t>
  </si>
  <si>
    <t>CTR-01</t>
  </si>
  <si>
    <t>Lts Suministrados</t>
  </si>
  <si>
    <t>Rendimiento por Obra (Dif.)</t>
  </si>
  <si>
    <t>Costo Suministrado</t>
  </si>
  <si>
    <t>Diferencia Costo</t>
  </si>
  <si>
    <t>RENDIMIENTO POR OBRA (TODAS LAS OBRAS)</t>
  </si>
  <si>
    <t>SEMANA:</t>
  </si>
  <si>
    <t>Total Lts (Semana Dashboard)</t>
  </si>
  <si>
    <t>Costo Diésel/L:</t>
  </si>
  <si>
    <t>Solicitado</t>
  </si>
  <si>
    <t>Autorizado</t>
  </si>
  <si>
    <t>Total Semanal Solicitado</t>
  </si>
  <si>
    <t>Total Seamanal Autorizado</t>
  </si>
  <si>
    <t>m</t>
  </si>
  <si>
    <t>p</t>
  </si>
  <si>
    <t>h</t>
  </si>
  <si>
    <t>CONCILIACIÓN SEMANAL: DESPACHADO VS RECIBIDO</t>
  </si>
  <si>
    <t>Despachado por Marimba (Lts)</t>
  </si>
  <si>
    <t>Despachado por Pegaso (Lts)</t>
  </si>
  <si>
    <t>Total Despachado (Lts)</t>
  </si>
  <si>
    <t>Recibido en Obra (Lts)</t>
  </si>
  <si>
    <t>Diferencia / Desvío (Lts)</t>
  </si>
  <si>
    <t>Total Lts (Conciliacion)</t>
  </si>
  <si>
    <t>CONCILIACIÓN DIARIA POR OBRA: DESPACHADO VS RECIBIDO</t>
  </si>
  <si>
    <t>OBRA:</t>
  </si>
  <si>
    <t>Día de la Semana</t>
  </si>
  <si>
    <t>ASIGNACIÓN DE MAQUINARIA A OBRAS Y OPERADORES</t>
  </si>
  <si>
    <t>No. Económico</t>
  </si>
  <si>
    <t>Obra Asignada</t>
  </si>
  <si>
    <t>Operador Asignado</t>
  </si>
  <si>
    <t>PAVIMENTADORA  VOGELE 1800-3 i</t>
  </si>
  <si>
    <t>Gerardo Ezequiel Piña Fernández</t>
  </si>
  <si>
    <t>PAVIMENTADORA  VOGELE 1800-2 SJ</t>
  </si>
  <si>
    <t>PAVIMENTADORA  VOGELE SJ 1800-3</t>
  </si>
  <si>
    <t>Jose de Jesus Eusebio Martinez</t>
  </si>
  <si>
    <t>Alan Alexis Gutierrez Flores</t>
  </si>
  <si>
    <t>Edgar Rosales Martinez</t>
  </si>
  <si>
    <t>Fernando Angeles Reyes</t>
  </si>
  <si>
    <t>POR ASIGNAR</t>
  </si>
  <si>
    <t>Julián Piña Hernández</t>
  </si>
  <si>
    <t>Jose Manuel Reyes Flores</t>
  </si>
  <si>
    <t>Marco Antonio Estrada Arellano</t>
  </si>
  <si>
    <t>Luis Fernando Mendiola Vivero</t>
  </si>
  <si>
    <t>COMPRESOR  SULLIVAN PALATEK D2010</t>
  </si>
  <si>
    <t>Eduardo Guadarrama Garcia</t>
  </si>
  <si>
    <t>Adolfo Nava Lopez</t>
  </si>
  <si>
    <t>DOBLE RODILLO   INGERSOLL RAND DD-108HF</t>
  </si>
  <si>
    <t>Marco Antonio Millan Centeno</t>
  </si>
  <si>
    <t>PETROLIZADORA    INTERNATIONAL</t>
  </si>
  <si>
    <t>Francisco Gomora Angeles / Elthon Eduardo</t>
  </si>
  <si>
    <t>S/N (WIRGENT)</t>
  </si>
  <si>
    <t>PERFILADORA WIRGENT-W200i</t>
  </si>
  <si>
    <t>Alejandro de Jesus Fuentes Tapia</t>
  </si>
  <si>
    <t>S/N (IR185)</t>
  </si>
  <si>
    <t>COMPRESOR INGERSOLL RAND IR185</t>
  </si>
  <si>
    <t>Jose Carlos Romero Tellez</t>
  </si>
  <si>
    <t xml:space="preserve">Folio Ticket</t>
  </si>
  <si>
    <t xml:space="preserve">Hora</t>
  </si>
  <si>
    <t xml:space="preserve">Origen</t>
  </si>
  <si>
    <t xml:space="preserve">Destino</t>
  </si>
  <si>
    <t xml:space="preserve">Litros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</si>
</sst>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164" formatCode="\$#,##0.00"/>
    <numFmt numFmtId="165" formatCode="&quot;$&quot;#,##0.00"/>
    <numFmt numFmtId="166" formatCode="yyyy\-mm\-dd"/>
    <numFmt numFmtId="167" formatCode="0.0%"/>
    <numFmt numFmtId="168" formatCode="dddd\,\ dd\ mmm\ yyyy"/>
  </numFmts>
  <fonts>
    <font>
      <sz val="11"/>
      <name val="Carlito"/>
    </font>
    <font>
      <sz val="11"/>
      <color theme="1"/>
      <name val="Calibri"/>
      <family val="2"/>
      <scheme val="minor"/>
    </font>
    <font>
      <b/>
      <sz val="14"/>
      <color rgb="FFFFFFFF"/>
      <name val="Carlito"/>
    </font>
    <font>
      <b/>
      <sz val="11"/>
      <color rgb="FFFFFFFF"/>
      <name val="Carlito"/>
    </font>
    <font>
      <sz val="8"/>
      <name val="Carlito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name val="Segoe UI"/>
      <family val="2"/>
    </font>
    <font>
      <b/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b/>
      <sz val="14"/>
      <color rgb="FFFFFFFF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4"/>
      <name val="Segoe UI"/>
      <family val="2"/>
    </font>
    <font>
      <b/>
      <sz val="9"/>
      <name val="Segoe UI"/>
      <family val="2"/>
    </font>
    <font>
      <b/>
      <sz val="11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6"/>
      <color rgb="FFFFFFFF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0"/>
      <name val="Segoe UI"/>
      <family val="2"/>
    </font>
    <font>
      <b/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2"/>
      <color rgb="FF1F4E78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i/>
      <sz val="11"/>
      <color rgb="FFC0000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i/>
      <sz val="11"/>
      <color rgb="FFC0000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1F4E78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0"/>
      <color theme="1"/>
      <name val="Segoe UI"/>
      <family val="2"/>
    </font>
    <font>
      <b/>
      <sz val="11"/>
      <color theme="1"/>
      <name val="Aptos Narrow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b/>
      <sz val="11"/>
      <name val="Segoe UI"/>
      <family val="2"/>
    </font>
    <font>
      <sz val="11"/>
      <name val="Carlito"/>
    </font>
    <font>
      <b/>
      <sz val="10"/>
      <color rgb="FFFFFFFF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b/>
      <sz val="11"/>
      <name val="Segoe UI"/>
      <family val="2"/>
    </font>
    <font>
      <sz val="11"/>
      <name val="Carlito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sz val="11"/>
      <name val="Carlito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1"/>
      <color rgb="FFFFFFFF"/>
      <name val="Segoe UI"/>
      <family val="2"/>
    </font>
    <font>
      <b/>
      <sz val="11"/>
      <color rgb="FFFFFFFF"/>
      <name val="Segoe UI"/>
      <family val="2"/>
    </font>
    <font>
      <b/>
      <sz val="11"/>
      <color rgb="FFFFFFFF"/>
      <name val="Segoe UI"/>
      <family val="2"/>
    </font>
    <font>
      <b/>
      <sz val="11"/>
      <color rgb="FFFFFFFF"/>
      <name val="Segoe UI"/>
      <family val="2"/>
    </font>
    <font>
      <b/>
      <sz val="11"/>
      <color rgb="FFFFFFFF"/>
      <name val="Segoe UI"/>
      <family val="2"/>
    </font>
    <font>
      <b/>
      <sz val="11"/>
      <color rgb="FFFFFFFF"/>
      <name val="Segoe UI"/>
      <family val="2"/>
    </font>
    <font>
      <b/>
      <sz val="11"/>
      <color rgb="FFFFFFFF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b/>
      <sz val="14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4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4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</fonts>
  <fills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  <bgColor indexed="64"/>
      </patternFill>
    </fill>
    <fill>
      <patternFill patternType="solid">
        <fgColor rgb="FFC00000"/>
        <bgColor indexed="64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002060"/>
      </patternFill>
    </fill>
    <fill>
      <patternFill patternType="solid">
        <fgColor rgb="FFD9D9D9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solid">
        <fgColor rgb="FFD9D9D9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solid">
        <fgColor rgb="FFD9D9D9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solid">
        <fgColor rgb="FFD9D9D9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9D9D9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solid">
        <fgColor rgb="FF76933C"/>
      </patternFill>
    </fill>
    <fill>
      <patternFill patternType="solid">
        <fgColor rgb="FF76933C"/>
      </patternFill>
    </fill>
    <fill>
      <patternFill patternType="solid">
        <fgColor rgb="FF76933C"/>
      </patternFill>
    </fill>
    <fill>
      <patternFill patternType="solid">
        <fgColor rgb="FF76933C"/>
      </patternFill>
    </fill>
    <fill>
      <patternFill patternType="solid">
        <fgColor rgb="FF76933C"/>
      </patternFill>
    </fill>
    <fill>
      <patternFill patternType="solid">
        <fgColor rgb="FF76933C"/>
      </patternFill>
    </fill>
    <fill>
      <patternFill patternType="solid">
        <fgColor rgb="FF76933C"/>
      </patternFill>
    </fill>
    <fill>
      <patternFill patternType="solid">
        <fgColor rgb="FF76933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8E4BC"/>
      </patternFill>
    </fill>
    <fill>
      <patternFill patternType="solid">
        <fgColor rgb="FFD8E4BC"/>
      </patternFill>
    </fill>
    <fill>
      <patternFill patternType="solid">
        <fgColor rgb="FFD8E4BC"/>
      </patternFill>
    </fill>
    <fill>
      <patternFill patternType="solid">
        <fgColor rgb="FFD8E4BC"/>
      </patternFill>
    </fill>
    <fill>
      <patternFill patternType="solid">
        <fgColor rgb="FFD8E4BC"/>
      </patternFill>
    </fill>
    <fill>
      <patternFill patternType="solid">
        <fgColor rgb="FFD8E4B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76933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8E4BC"/>
      </patternFill>
    </fill>
    <fill>
      <patternFill patternType="solid">
        <fgColor rgb="FFD8E4BC"/>
      </patternFill>
    </fill>
    <fill>
      <patternFill patternType="solid">
        <fgColor rgb="FFD9D9D9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1F4E78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9D9D9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F0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F0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F0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F0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F0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" fillId="0" borderId="0"/>
  </cellStyleXfs>
  <cellXfs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14" fontId="0" fillId="0" borderId="0" xfId="0" applyNumberFormat="1"/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5" fillId="0" borderId="0" xfId="1" applyFont="1"/>
    <xf numFmtId="0" fontId="1" fillId="0" borderId="0" xfId="1"/>
    <xf numFmtId="0" fontId="6" fillId="3" borderId="1" xfId="1" applyFont="1" applyFill="1" applyBorder="1" applyAlignment="1">
      <alignment horizontal="center"/>
    </xf>
    <xf numFmtId="0" fontId="1" fillId="0" borderId="1" xfId="1" applyBorder="1"/>
    <xf numFmtId="165" fontId="1" fillId="0" borderId="1" xfId="1" applyNumberFormat="1" applyBorder="1"/>
    <xf numFmtId="0" fontId="7" fillId="0" borderId="0" xfId="1" applyFont="1"/>
    <xf numFmtId="0" fontId="6" fillId="4" borderId="1" xfId="1" applyFont="1" applyFill="1" applyBorder="1" applyAlignment="1">
      <alignment horizontal="center"/>
    </xf>
    <xf numFmtId="165" fontId="1" fillId="0" borderId="0" xfId="1" applyNumberFormat="1"/>
    <xf numFmtId="2" fontId="0" fillId="0" borderId="0" xfId="0" applyNumberFormat="1"/>
    <xf numFmtId="0" fontId="8" fillId="5" borderId="2" xfId="0" applyFont="1" applyFill="1" applyBorder="1"/>
    <xf numFmtId="0" fontId="9" fillId="6" borderId="3" xfId="0" applyFont="1" applyFill="1" applyBorder="1"/>
    <xf numFmtId="166" fontId="10" fillId="7" borderId="4" xfId="0" applyNumberFormat="1" applyFont="1" applyFill="1" applyBorder="1"/>
    <xf numFmtId="166" fontId="11" fillId="8" borderId="5" xfId="0" applyNumberFormat="1" applyFont="1" applyFill="1" applyBorder="1"/>
    <xf numFmtId="166" fontId="12" fillId="9" borderId="6" xfId="0" applyNumberFormat="1" applyFont="1" applyFill="1" applyBorder="1"/>
    <xf numFmtId="166" fontId="13" fillId="10" borderId="7" xfId="0" applyNumberFormat="1" applyFont="1" applyFill="1" applyBorder="1"/>
    <xf numFmtId="166" fontId="14" fillId="11" borderId="8" xfId="0" applyNumberFormat="1" applyFont="1" applyFill="1" applyBorder="1"/>
    <xf numFmtId="166" fontId="15" fillId="12" borderId="9" xfId="0" applyNumberFormat="1" applyFont="1" applyFill="1" applyBorder="1"/>
    <xf numFmtId="166" fontId="16" fillId="13" borderId="10" xfId="0" applyNumberFormat="1" applyFont="1" applyFill="1" applyBorder="1"/>
    <xf numFmtId="166" fontId="17" fillId="14" borderId="11" xfId="0" applyNumberFormat="1" applyFont="1" applyFill="1" applyBorder="1"/>
    <xf numFmtId="166" fontId="18" fillId="15" borderId="12" xfId="0" applyNumberFormat="1" applyFont="1" applyFill="1" applyBorder="1"/>
    <xf numFmtId="166" fontId="19" fillId="16" borderId="13" xfId="0" applyNumberFormat="1" applyFont="1" applyFill="1" applyBorder="1"/>
    <xf numFmtId="166" fontId="20" fillId="17" borderId="14" xfId="0" applyNumberFormat="1" applyFont="1" applyFill="1" applyBorder="1"/>
    <xf numFmtId="166" fontId="21" fillId="18" borderId="15" xfId="0" applyNumberFormat="1" applyFont="1" applyFill="1" applyBorder="1"/>
    <xf numFmtId="166" fontId="22" fillId="19" borderId="16" xfId="0" applyNumberFormat="1" applyFont="1" applyFill="1" applyBorder="1"/>
    <xf numFmtId="166" fontId="23" fillId="20" borderId="17" xfId="0" applyNumberFormat="1" applyFont="1" applyFill="1" applyBorder="1"/>
    <xf numFmtId="166" fontId="24" fillId="21" borderId="18" xfId="0" applyNumberFormat="1" applyFont="1" applyFill="1" applyBorder="1"/>
    <xf numFmtId="166" fontId="25" fillId="22" borderId="19" xfId="0" applyNumberFormat="1" applyFont="1" applyFill="1" applyBorder="1"/>
    <xf numFmtId="166" fontId="26" fillId="23" borderId="20" xfId="0" applyNumberFormat="1" applyFont="1" applyFill="1" applyBorder="1"/>
    <xf numFmtId="166" fontId="27" fillId="24" borderId="21" xfId="0" applyNumberFormat="1" applyFont="1" applyFill="1" applyBorder="1"/>
    <xf numFmtId="166" fontId="28" fillId="25" borderId="22" xfId="0" applyNumberFormat="1" applyFont="1" applyFill="1" applyBorder="1"/>
    <xf numFmtId="166" fontId="29" fillId="26" borderId="23" xfId="0" applyNumberFormat="1" applyFont="1" applyFill="1" applyBorder="1"/>
    <xf numFmtId="166" fontId="30" fillId="27" borderId="24" xfId="0" applyNumberFormat="1" applyFont="1" applyFill="1" applyBorder="1"/>
    <xf numFmtId="166" fontId="31" fillId="28" borderId="25" xfId="0" applyNumberFormat="1" applyFont="1" applyFill="1" applyBorder="1"/>
    <xf numFmtId="166" fontId="32" fillId="29" borderId="26" xfId="0" applyNumberFormat="1" applyFont="1" applyFill="1" applyBorder="1"/>
    <xf numFmtId="166" fontId="33" fillId="30" borderId="27" xfId="0" applyNumberFormat="1" applyFont="1" applyFill="1" applyBorder="1"/>
    <xf numFmtId="166" fontId="34" fillId="31" borderId="28" xfId="0" applyNumberFormat="1" applyFont="1" applyFill="1" applyBorder="1"/>
    <xf numFmtId="166" fontId="35" fillId="32" borderId="29" xfId="0" applyNumberFormat="1" applyFont="1" applyFill="1" applyBorder="1"/>
    <xf numFmtId="166" fontId="36" fillId="33" borderId="30" xfId="0" applyNumberFormat="1" applyFont="1" applyFill="1" applyBorder="1"/>
    <xf numFmtId="166" fontId="37" fillId="34" borderId="31" xfId="0" applyNumberFormat="1" applyFont="1" applyFill="1" applyBorder="1"/>
    <xf numFmtId="166" fontId="38" fillId="35" borderId="32" xfId="0" applyNumberFormat="1" applyFont="1" applyFill="1" applyBorder="1"/>
    <xf numFmtId="166" fontId="39" fillId="36" borderId="33" xfId="0" applyNumberFormat="1" applyFont="1" applyFill="1" applyBorder="1"/>
    <xf numFmtId="0" fontId="40" fillId="37" borderId="34" xfId="0" applyFont="1" applyFill="1" applyBorder="1"/>
    <xf numFmtId="0" fontId="41" fillId="38" borderId="35" xfId="0" applyFont="1" applyFill="1" applyBorder="1"/>
    <xf numFmtId="0" fontId="42" fillId="39" borderId="36" xfId="0" applyFont="1" applyFill="1" applyBorder="1"/>
    <xf numFmtId="0" fontId="43" fillId="40" borderId="37" xfId="0" applyFont="1" applyFill="1" applyBorder="1"/>
    <xf numFmtId="0" fontId="44" fillId="41" borderId="38" xfId="0" applyFont="1" applyFill="1" applyBorder="1"/>
    <xf numFmtId="0" fontId="45" fillId="42" borderId="39" xfId="0" applyFont="1" applyFill="1" applyBorder="1"/>
    <xf numFmtId="0" fontId="46" fillId="43" borderId="40" xfId="0" applyFont="1" applyFill="1" applyBorder="1"/>
    <xf numFmtId="0" fontId="47" fillId="44" borderId="41" xfId="0" applyFont="1" applyFill="1" applyBorder="1"/>
    <xf numFmtId="0" fontId="48" fillId="45" borderId="42" xfId="0" applyFont="1" applyFill="1" applyBorder="1"/>
    <xf numFmtId="0" fontId="49" fillId="46" borderId="43" xfId="0" applyFont="1" applyFill="1" applyBorder="1"/>
    <xf numFmtId="0" fontId="50" fillId="47" borderId="44" xfId="0" applyFont="1" applyFill="1" applyBorder="1"/>
    <xf numFmtId="0" fontId="51" fillId="48" borderId="45" xfId="0" applyFont="1" applyFill="1" applyBorder="1"/>
    <xf numFmtId="0" fontId="52" fillId="49" borderId="46" xfId="0" applyFont="1" applyFill="1" applyBorder="1"/>
    <xf numFmtId="0" fontId="53" fillId="50" borderId="47" xfId="0" applyFont="1" applyFill="1" applyBorder="1"/>
    <xf numFmtId="0" fontId="54" fillId="51" borderId="48" xfId="0" applyFont="1" applyFill="1" applyBorder="1"/>
    <xf numFmtId="0" fontId="55" fillId="52" borderId="49" xfId="0" applyFont="1" applyFill="1" applyBorder="1"/>
    <xf numFmtId="0" fontId="56" fillId="53" borderId="50" xfId="0" applyFont="1" applyFill="1" applyBorder="1"/>
    <xf numFmtId="0" fontId="57" fillId="54" borderId="51" xfId="0" applyFont="1" applyFill="1" applyBorder="1"/>
    <xf numFmtId="0" fontId="58" fillId="55" borderId="52" xfId="0" applyFont="1" applyFill="1" applyBorder="1"/>
    <xf numFmtId="0" fontId="59" fillId="56" borderId="53" xfId="0" applyFont="1" applyFill="1" applyBorder="1"/>
    <xf numFmtId="0" fontId="60" fillId="57" borderId="54" xfId="0" applyFont="1" applyFill="1" applyBorder="1"/>
    <xf numFmtId="0" fontId="61" fillId="58" borderId="55" xfId="0" applyFont="1" applyFill="1" applyBorder="1"/>
    <xf numFmtId="0" fontId="62" fillId="59" borderId="56" xfId="0" applyFont="1" applyFill="1" applyBorder="1"/>
    <xf numFmtId="0" fontId="63" fillId="60" borderId="57" xfId="0" applyFont="1" applyFill="1" applyBorder="1"/>
    <xf numFmtId="0" fontId="64" fillId="61" borderId="58" xfId="0" applyFont="1" applyFill="1" applyBorder="1"/>
    <xf numFmtId="0" fontId="65" fillId="62" borderId="59" xfId="0" applyFont="1" applyFill="1" applyBorder="1"/>
    <xf numFmtId="0" fontId="66" fillId="63" borderId="60" xfId="0" applyFont="1" applyFill="1" applyBorder="1"/>
    <xf numFmtId="0" fontId="67" fillId="64" borderId="61" xfId="0" applyFont="1" applyFill="1" applyBorder="1"/>
    <xf numFmtId="0" fontId="68" fillId="65" borderId="62" xfId="0" applyFont="1" applyFill="1" applyBorder="1"/>
    <xf numFmtId="0" fontId="69" fillId="66" borderId="63" xfId="0" applyFont="1" applyFill="1" applyBorder="1"/>
    <xf numFmtId="0" fontId="70" fillId="67" borderId="64" xfId="0" applyFont="1" applyFill="1" applyBorder="1"/>
    <xf numFmtId="0" fontId="71" fillId="68" borderId="65" xfId="0" applyFont="1" applyFill="1" applyBorder="1"/>
    <xf numFmtId="0" fontId="72" fillId="69" borderId="66" xfId="0" applyFont="1" applyFill="1" applyBorder="1"/>
    <xf numFmtId="0" fontId="73" fillId="70" borderId="67" xfId="0" applyFont="1" applyFill="1" applyBorder="1"/>
    <xf numFmtId="0" fontId="74" fillId="71" borderId="68" xfId="0" applyFont="1" applyFill="1" applyBorder="1"/>
    <xf numFmtId="0" fontId="75" fillId="72" borderId="69" xfId="0" applyFont="1" applyFill="1" applyBorder="1"/>
    <xf numFmtId="0" fontId="76" fillId="73" borderId="70" xfId="0" applyFont="1" applyFill="1" applyBorder="1"/>
    <xf numFmtId="0" fontId="77" fillId="74" borderId="71" xfId="0" applyFont="1" applyFill="1" applyBorder="1"/>
    <xf numFmtId="0" fontId="78" fillId="75" borderId="72" xfId="0" applyFont="1" applyFill="1" applyBorder="1"/>
    <xf numFmtId="0" fontId="79" fillId="76" borderId="73" xfId="0" applyFont="1" applyFill="1" applyBorder="1"/>
    <xf numFmtId="0" fontId="80" fillId="77" borderId="74" xfId="0" applyFont="1" applyFill="1" applyBorder="1"/>
    <xf numFmtId="0" fontId="81" fillId="78" borderId="75" xfId="0" applyFont="1" applyFill="1" applyBorder="1"/>
    <xf numFmtId="0" fontId="82" fillId="79" borderId="76" xfId="0" applyFont="1" applyFill="1" applyBorder="1"/>
    <xf numFmtId="0" fontId="83" fillId="80" borderId="77" xfId="0" applyFont="1" applyFill="1" applyBorder="1"/>
    <xf numFmtId="0" fontId="84" fillId="81" borderId="78" xfId="0" applyFont="1" applyFill="1" applyBorder="1"/>
    <xf numFmtId="0" fontId="85" fillId="82" borderId="79" xfId="0" applyFont="1" applyFill="1" applyBorder="1"/>
    <xf numFmtId="0" fontId="86" fillId="83" borderId="80" xfId="0" applyFont="1" applyFill="1" applyBorder="1"/>
    <xf numFmtId="0" fontId="87" fillId="84" borderId="81" xfId="0" applyFont="1" applyFill="1" applyBorder="1"/>
    <xf numFmtId="0" fontId="88" fillId="85" borderId="82" xfId="0" applyFont="1" applyFill="1" applyBorder="1"/>
    <xf numFmtId="0" fontId="89" fillId="86" borderId="83" xfId="0" applyFont="1" applyFill="1" applyBorder="1"/>
    <xf numFmtId="0" fontId="90" fillId="87" borderId="84" xfId="0" applyFont="1" applyFill="1" applyBorder="1"/>
    <xf numFmtId="0" fontId="91" fillId="88" borderId="85" xfId="0" applyFont="1" applyFill="1" applyBorder="1"/>
    <xf numFmtId="0" fontId="92" fillId="89" borderId="86" xfId="0" applyFont="1" applyFill="1" applyBorder="1"/>
    <xf numFmtId="0" fontId="93" fillId="90" borderId="87" xfId="0" applyFont="1" applyFill="1" applyBorder="1"/>
    <xf numFmtId="0" fontId="94" fillId="91" borderId="88" xfId="0" applyFont="1" applyFill="1" applyBorder="1"/>
    <xf numFmtId="0" fontId="95" fillId="92" borderId="89" xfId="0" applyFont="1" applyFill="1" applyBorder="1"/>
    <xf numFmtId="0" fontId="96" fillId="93" borderId="90" xfId="0" applyFont="1" applyFill="1" applyBorder="1"/>
    <xf numFmtId="0" fontId="97" fillId="94" borderId="91" xfId="0" applyFont="1" applyFill="1" applyBorder="1"/>
    <xf numFmtId="0" fontId="98" fillId="95" borderId="92" xfId="0" applyFont="1" applyFill="1" applyBorder="1"/>
    <xf numFmtId="0" fontId="99" fillId="96" borderId="93" xfId="0" applyFont="1" applyFill="1" applyBorder="1"/>
    <xf numFmtId="0" fontId="100" fillId="97" borderId="94" xfId="0" applyFont="1" applyFill="1" applyBorder="1"/>
    <xf numFmtId="0" fontId="101" fillId="98" borderId="95" xfId="0" applyFont="1" applyFill="1" applyBorder="1"/>
    <xf numFmtId="0" fontId="102" fillId="99" borderId="96" xfId="0" applyFont="1" applyFill="1" applyBorder="1"/>
    <xf numFmtId="0" fontId="103" fillId="100" borderId="97" xfId="0" applyFont="1" applyFill="1" applyBorder="1"/>
    <xf numFmtId="0" fontId="104" fillId="101" borderId="98" xfId="0" applyFont="1" applyFill="1" applyBorder="1"/>
    <xf numFmtId="0" fontId="105" fillId="102" borderId="99" xfId="0" applyFont="1" applyFill="1" applyBorder="1"/>
    <xf numFmtId="0" fontId="106" fillId="103" borderId="100" xfId="0" applyFont="1" applyFill="1" applyBorder="1"/>
    <xf numFmtId="0" fontId="107" fillId="104" borderId="101" xfId="0" applyFont="1" applyFill="1" applyBorder="1"/>
    <xf numFmtId="0" fontId="108" fillId="105" borderId="102" xfId="0" applyFont="1" applyFill="1" applyBorder="1"/>
    <xf numFmtId="0" fontId="109" fillId="106" borderId="103" xfId="0" applyFont="1" applyFill="1" applyBorder="1"/>
    <xf numFmtId="0" fontId="110" fillId="107" borderId="104" xfId="0" applyFont="1" applyFill="1" applyBorder="1"/>
    <xf numFmtId="0" fontId="111" fillId="108" borderId="105" xfId="0" applyFont="1" applyFill="1" applyBorder="1"/>
    <xf numFmtId="0" fontId="112" fillId="109" borderId="106" xfId="0" applyFont="1" applyFill="1" applyBorder="1"/>
    <xf numFmtId="0" fontId="113" fillId="110" borderId="107" xfId="0" applyFont="1" applyFill="1" applyBorder="1"/>
    <xf numFmtId="0" fontId="114" fillId="111" borderId="108" xfId="0" applyFont="1" applyFill="1" applyBorder="1"/>
    <xf numFmtId="0" fontId="115" fillId="112" borderId="109" xfId="0" applyFont="1" applyFill="1" applyBorder="1"/>
    <xf numFmtId="0" fontId="116" fillId="113" borderId="110" xfId="0" applyFont="1" applyFill="1" applyBorder="1"/>
    <xf numFmtId="0" fontId="117" fillId="114" borderId="111" xfId="0" applyFont="1" applyFill="1" applyBorder="1"/>
    <xf numFmtId="0" fontId="118" fillId="115" borderId="112" xfId="0" applyFont="1" applyFill="1" applyBorder="1"/>
    <xf numFmtId="0" fontId="119" fillId="116" borderId="113" xfId="0" applyFont="1" applyFill="1" applyBorder="1"/>
    <xf numFmtId="0" fontId="120" fillId="117" borderId="114" xfId="0" applyFont="1" applyFill="1" applyBorder="1"/>
    <xf numFmtId="0" fontId="121" fillId="118" borderId="115" xfId="0" applyFont="1" applyFill="1" applyBorder="1"/>
    <xf numFmtId="0" fontId="122" fillId="119" borderId="116" xfId="0" applyFont="1" applyFill="1" applyBorder="1"/>
    <xf numFmtId="0" fontId="123" fillId="120" borderId="117" xfId="0" applyFont="1" applyFill="1" applyBorder="1"/>
    <xf numFmtId="0" fontId="124" fillId="121" borderId="118" xfId="0" applyFont="1" applyFill="1" applyBorder="1"/>
    <xf numFmtId="0" fontId="125" fillId="122" borderId="119" xfId="0" applyFont="1" applyFill="1" applyBorder="1"/>
    <xf numFmtId="0" fontId="126" fillId="123" borderId="120" xfId="0" applyFont="1" applyFill="1" applyBorder="1"/>
    <xf numFmtId="0" fontId="127" fillId="124" borderId="121" xfId="0" applyFont="1" applyFill="1" applyBorder="1"/>
    <xf numFmtId="0" fontId="128" fillId="125" borderId="122" xfId="0" applyFont="1" applyFill="1" applyBorder="1"/>
    <xf numFmtId="0" fontId="129" fillId="126" borderId="123" xfId="0" applyFont="1" applyFill="1" applyBorder="1"/>
    <xf numFmtId="0" fontId="130" fillId="127" borderId="124" xfId="0" applyFont="1" applyFill="1" applyBorder="1"/>
    <xf numFmtId="0" fontId="131" fillId="128" borderId="125" xfId="0" applyFont="1" applyFill="1" applyBorder="1"/>
    <xf numFmtId="0" fontId="132" fillId="129" borderId="126" xfId="0" applyFont="1" applyFill="1" applyBorder="1"/>
    <xf numFmtId="0" fontId="133" fillId="130" borderId="127" xfId="0" applyFont="1" applyFill="1" applyBorder="1"/>
    <xf numFmtId="0" fontId="134" fillId="131" borderId="128" xfId="0" applyFont="1" applyFill="1" applyBorder="1"/>
    <xf numFmtId="0" fontId="135" fillId="132" borderId="129" xfId="0" applyFont="1" applyFill="1" applyBorder="1"/>
    <xf numFmtId="0" fontId="136" fillId="133" borderId="130" xfId="0" applyFont="1" applyFill="1" applyBorder="1"/>
    <xf numFmtId="0" fontId="137" fillId="134" borderId="131" xfId="0" applyFont="1" applyFill="1" applyBorder="1"/>
    <xf numFmtId="0" fontId="138" fillId="135" borderId="132" xfId="0" applyFont="1" applyFill="1" applyBorder="1"/>
    <xf numFmtId="0" fontId="139" fillId="136" borderId="133" xfId="0" applyFont="1" applyFill="1" applyBorder="1"/>
    <xf numFmtId="0" fontId="140" fillId="137" borderId="134" xfId="0" applyFont="1" applyFill="1" applyBorder="1"/>
    <xf numFmtId="0" fontId="141" fillId="138" borderId="135" xfId="0" applyFont="1" applyFill="1" applyBorder="1"/>
    <xf numFmtId="0" fontId="142" fillId="139" borderId="136" xfId="0" applyFont="1" applyFill="1" applyBorder="1"/>
    <xf numFmtId="0" fontId="143" fillId="140" borderId="137" xfId="0" applyFont="1" applyFill="1" applyBorder="1"/>
    <xf numFmtId="0" fontId="144" fillId="141" borderId="138" xfId="0" applyFont="1" applyFill="1" applyBorder="1"/>
    <xf numFmtId="0" fontId="145" fillId="142" borderId="139" xfId="0" applyFont="1" applyFill="1" applyBorder="1"/>
    <xf numFmtId="0" fontId="146" fillId="143" borderId="140" xfId="0" applyFont="1" applyFill="1" applyBorder="1"/>
    <xf numFmtId="0" fontId="147" fillId="144" borderId="141" xfId="0" applyFont="1" applyFill="1" applyBorder="1"/>
    <xf numFmtId="0" fontId="148" fillId="145" borderId="142" xfId="0" applyFont="1" applyFill="1" applyBorder="1"/>
    <xf numFmtId="0" fontId="149" fillId="146" borderId="143" xfId="0" applyFont="1" applyFill="1" applyBorder="1"/>
    <xf numFmtId="0" fontId="150" fillId="147" borderId="144" xfId="0" applyFont="1" applyFill="1" applyBorder="1"/>
    <xf numFmtId="0" fontId="151" fillId="148" borderId="145" xfId="0" applyFont="1" applyFill="1" applyBorder="1"/>
    <xf numFmtId="0" fontId="152" fillId="149" borderId="146" xfId="0" applyFont="1" applyFill="1" applyBorder="1"/>
    <xf numFmtId="0" fontId="153" fillId="150" borderId="147" xfId="0" applyFont="1" applyFill="1" applyBorder="1"/>
    <xf numFmtId="0" fontId="154" fillId="151" borderId="148" xfId="0" applyFont="1" applyFill="1" applyBorder="1"/>
    <xf numFmtId="0" fontId="155" fillId="152" borderId="149" xfId="0" applyFont="1" applyFill="1" applyBorder="1"/>
    <xf numFmtId="0" fontId="156" fillId="153" borderId="150" xfId="0" applyFont="1" applyFill="1" applyBorder="1"/>
    <xf numFmtId="0" fontId="157" fillId="154" borderId="151" xfId="0" applyFont="1" applyFill="1" applyBorder="1"/>
    <xf numFmtId="0" fontId="158" fillId="155" borderId="152" xfId="0" applyFont="1" applyFill="1" applyBorder="1"/>
    <xf numFmtId="0" fontId="159" fillId="156" borderId="153" xfId="0" applyFont="1" applyFill="1" applyBorder="1"/>
    <xf numFmtId="0" fontId="160" fillId="157" borderId="154" xfId="0" applyFont="1" applyFill="1" applyBorder="1"/>
    <xf numFmtId="0" fontId="161" fillId="158" borderId="155" xfId="0" applyFont="1" applyFill="1" applyBorder="1"/>
    <xf numFmtId="0" fontId="162" fillId="159" borderId="156" xfId="0" applyFont="1" applyFill="1" applyBorder="1"/>
    <xf numFmtId="0" fontId="163" fillId="160" borderId="157" xfId="0" applyFont="1" applyFill="1" applyBorder="1"/>
    <xf numFmtId="0" fontId="164" fillId="161" borderId="158" xfId="0" applyFont="1" applyFill="1" applyBorder="1"/>
    <xf numFmtId="0" fontId="165" fillId="162" borderId="159" xfId="0" applyFont="1" applyFill="1" applyBorder="1"/>
    <xf numFmtId="0" fontId="166" fillId="163" borderId="160" xfId="0" applyFont="1" applyFill="1" applyBorder="1"/>
    <xf numFmtId="0" fontId="167" fillId="164" borderId="161" xfId="0" applyFont="1" applyFill="1" applyBorder="1"/>
    <xf numFmtId="0" fontId="168" fillId="165" borderId="162" xfId="0" applyFont="1" applyFill="1" applyBorder="1"/>
    <xf numFmtId="0" fontId="169" fillId="166" borderId="163" xfId="0" applyFont="1" applyFill="1" applyBorder="1"/>
    <xf numFmtId="0" fontId="170" fillId="167" borderId="164" xfId="0" applyFont="1" applyFill="1" applyBorder="1"/>
    <xf numFmtId="0" fontId="171" fillId="168" borderId="165" xfId="0" applyFont="1" applyFill="1" applyBorder="1"/>
    <xf numFmtId="0" fontId="172" fillId="169" borderId="166" xfId="0" applyFont="1" applyFill="1" applyBorder="1"/>
    <xf numFmtId="0" fontId="173" fillId="170" borderId="167" xfId="0" applyFont="1" applyFill="1" applyBorder="1"/>
    <xf numFmtId="0" fontId="174" fillId="171" borderId="168" xfId="0" applyFont="1" applyFill="1" applyBorder="1"/>
    <xf numFmtId="0" fontId="175" fillId="172" borderId="169" xfId="0" applyFont="1" applyFill="1" applyBorder="1"/>
    <xf numFmtId="0" fontId="176" fillId="173" borderId="170" xfId="0" applyFont="1" applyFill="1" applyBorder="1"/>
    <xf numFmtId="0" fontId="177" fillId="174" borderId="171" xfId="0" applyFont="1" applyFill="1" applyBorder="1"/>
    <xf numFmtId="0" fontId="178" fillId="175" borderId="172" xfId="0" applyFont="1" applyFill="1" applyBorder="1"/>
    <xf numFmtId="0" fontId="179" fillId="176" borderId="173" xfId="0" applyFont="1" applyFill="1" applyBorder="1"/>
    <xf numFmtId="0" fontId="180" fillId="177" borderId="174" xfId="0" applyFont="1" applyFill="1" applyBorder="1"/>
    <xf numFmtId="0" fontId="181" fillId="178" borderId="175" xfId="0" applyFont="1" applyFill="1" applyBorder="1"/>
    <xf numFmtId="0" fontId="182" fillId="179" borderId="176" xfId="0" applyFont="1" applyFill="1" applyBorder="1"/>
    <xf numFmtId="0" fontId="183" fillId="180" borderId="177" xfId="0" applyFont="1" applyFill="1" applyBorder="1"/>
    <xf numFmtId="0" fontId="184" fillId="181" borderId="178" xfId="0" applyFont="1" applyFill="1" applyBorder="1"/>
    <xf numFmtId="0" fontId="185" fillId="182" borderId="179" xfId="0" applyFont="1" applyFill="1" applyBorder="1"/>
    <xf numFmtId="0" fontId="186" fillId="183" borderId="180" xfId="0" applyFont="1" applyFill="1" applyBorder="1"/>
    <xf numFmtId="0" fontId="187" fillId="184" borderId="181" xfId="0" applyFont="1" applyFill="1" applyBorder="1"/>
    <xf numFmtId="0" fontId="188" fillId="185" borderId="182" xfId="0" applyFont="1" applyFill="1" applyBorder="1"/>
    <xf numFmtId="0" fontId="189" fillId="186" borderId="183" xfId="0" applyFont="1" applyFill="1" applyBorder="1"/>
    <xf numFmtId="0" fontId="190" fillId="187" borderId="184" xfId="0" applyFont="1" applyFill="1" applyBorder="1"/>
    <xf numFmtId="0" fontId="191" fillId="188" borderId="185" xfId="0" applyFont="1" applyFill="1" applyBorder="1"/>
    <xf numFmtId="0" fontId="192" fillId="189" borderId="186" xfId="0" applyFont="1" applyFill="1" applyBorder="1"/>
    <xf numFmtId="0" fontId="193" fillId="190" borderId="187" xfId="0" applyFont="1" applyFill="1" applyBorder="1"/>
    <xf numFmtId="0" fontId="194" fillId="191" borderId="188" xfId="0" applyFont="1" applyFill="1" applyBorder="1"/>
    <xf numFmtId="0" fontId="195" fillId="192" borderId="189" xfId="0" applyFont="1" applyFill="1" applyBorder="1"/>
    <xf numFmtId="0" fontId="196" fillId="193" borderId="190" xfId="0" applyFont="1" applyFill="1" applyBorder="1"/>
    <xf numFmtId="0" fontId="197" fillId="194" borderId="191" xfId="0" applyFont="1" applyFill="1" applyBorder="1"/>
    <xf numFmtId="0" fontId="198" fillId="195" borderId="192" xfId="0" applyFont="1" applyFill="1" applyBorder="1"/>
    <xf numFmtId="0" fontId="199" fillId="196" borderId="193" xfId="0" applyFont="1" applyFill="1" applyBorder="1"/>
    <xf numFmtId="0" fontId="200" fillId="197" borderId="194" xfId="0" applyFont="1" applyFill="1" applyBorder="1"/>
    <xf numFmtId="0" fontId="201" fillId="198" borderId="195" xfId="0" applyFont="1" applyFill="1" applyBorder="1"/>
    <xf numFmtId="0" fontId="202" fillId="199" borderId="196" xfId="0" applyFont="1" applyFill="1" applyBorder="1"/>
    <xf numFmtId="0" fontId="203" fillId="200" borderId="197" xfId="0" applyFont="1" applyFill="1" applyBorder="1"/>
    <xf numFmtId="0" fontId="204" fillId="201" borderId="198" xfId="0" applyFont="1" applyFill="1" applyBorder="1"/>
    <xf numFmtId="0" fontId="205" fillId="202" borderId="199" xfId="0" applyFont="1" applyFill="1" applyBorder="1"/>
    <xf numFmtId="0" fontId="206" fillId="203" borderId="200" xfId="0" applyFont="1" applyFill="1" applyBorder="1"/>
    <xf numFmtId="0" fontId="207" fillId="204" borderId="201" xfId="0" applyFont="1" applyFill="1" applyBorder="1"/>
    <xf numFmtId="0" fontId="210" fillId="207" borderId="204" xfId="0" applyFont="1" applyFill="1" applyBorder="1" applyAlignment="1">
      <alignment horizontal="right"/>
    </xf>
    <xf numFmtId="0" fontId="211" fillId="208" borderId="205" xfId="0" applyFont="1" applyFill="1" applyBorder="1" applyAlignment="1">
      <alignment horizontal="right"/>
    </xf>
    <xf numFmtId="0" fontId="212" fillId="209" borderId="206" xfId="0" applyFont="1" applyFill="1" applyBorder="1" applyAlignment="1">
      <alignment horizontal="right"/>
    </xf>
    <xf numFmtId="0" fontId="213" fillId="210" borderId="207" xfId="0" applyFont="1" applyFill="1" applyBorder="1" applyAlignment="1">
      <alignment horizontal="right"/>
    </xf>
    <xf numFmtId="0" fontId="214" fillId="211" borderId="208" xfId="0" applyFont="1" applyFill="1" applyBorder="1" applyAlignment="1">
      <alignment horizontal="right"/>
    </xf>
    <xf numFmtId="0" fontId="215" fillId="212" borderId="209" xfId="0" applyFont="1" applyFill="1" applyBorder="1"/>
    <xf numFmtId="166" fontId="216" fillId="213" borderId="210" xfId="0" applyNumberFormat="1" applyFont="1" applyFill="1" applyBorder="1"/>
    <xf numFmtId="166" fontId="217" fillId="214" borderId="211" xfId="0" applyNumberFormat="1" applyFont="1" applyFill="1" applyBorder="1"/>
    <xf numFmtId="164" fontId="218" fillId="215" borderId="212" xfId="0" applyNumberFormat="1" applyFont="1" applyFill="1" applyBorder="1"/>
    <xf numFmtId="0" fontId="219" fillId="216" borderId="213" xfId="0" applyFont="1" applyFill="1" applyBorder="1"/>
    <xf numFmtId="0" fontId="223" fillId="220" borderId="217" xfId="0" applyFont="1" applyFill="1" applyBorder="1" applyAlignment="1">
      <alignment horizontal="center" vertical="center"/>
    </xf>
    <xf numFmtId="0" fontId="224" fillId="221" borderId="218" xfId="0" applyFont="1" applyFill="1" applyBorder="1" applyAlignment="1">
      <alignment horizontal="center" vertical="center"/>
    </xf>
    <xf numFmtId="0" fontId="225" fillId="222" borderId="219" xfId="0" applyFont="1" applyFill="1" applyBorder="1" applyAlignment="1">
      <alignment horizontal="center" vertical="center"/>
    </xf>
    <xf numFmtId="0" fontId="226" fillId="223" borderId="220" xfId="0" applyFont="1" applyFill="1" applyBorder="1" applyAlignment="1">
      <alignment horizontal="center" vertical="center"/>
    </xf>
    <xf numFmtId="0" fontId="227" fillId="224" borderId="221" xfId="0" applyFont="1" applyFill="1" applyBorder="1" applyAlignment="1">
      <alignment horizontal="center" vertical="center"/>
    </xf>
    <xf numFmtId="0" fontId="228" fillId="225" borderId="222" xfId="0" applyFont="1" applyFill="1" applyBorder="1" applyAlignment="1">
      <alignment horizontal="center" vertical="center"/>
    </xf>
    <xf numFmtId="0" fontId="229" fillId="226" borderId="223" xfId="0" applyFont="1" applyFill="1" applyBorder="1" applyAlignment="1">
      <alignment horizontal="center" vertical="center"/>
    </xf>
    <xf numFmtId="0" fontId="230" fillId="227" borderId="224" xfId="0" applyFont="1" applyFill="1" applyBorder="1" applyAlignment="1">
      <alignment horizontal="center" vertical="center"/>
    </xf>
    <xf numFmtId="0" fontId="231" fillId="228" borderId="225" xfId="0" applyFont="1" applyFill="1" applyBorder="1" applyAlignment="1">
      <alignment horizontal="center"/>
    </xf>
    <xf numFmtId="166" fontId="232" fillId="229" borderId="226" xfId="0" applyNumberFormat="1" applyFont="1" applyFill="1" applyBorder="1" applyAlignment="1">
      <alignment horizontal="center"/>
    </xf>
    <xf numFmtId="3" fontId="233" fillId="230" borderId="227" xfId="0" applyNumberFormat="1" applyFont="1" applyFill="1" applyBorder="1"/>
    <xf numFmtId="3" fontId="234" fillId="231" borderId="228" xfId="0" applyNumberFormat="1" applyFont="1" applyFill="1" applyBorder="1"/>
    <xf numFmtId="3" fontId="235" fillId="232" borderId="229" xfId="0" applyNumberFormat="1" applyFont="1" applyFill="1" applyBorder="1"/>
    <xf numFmtId="164" fontId="236" fillId="233" borderId="230" xfId="0" applyNumberFormat="1" applyFont="1" applyFill="1" applyBorder="1"/>
    <xf numFmtId="164" fontId="237" fillId="234" borderId="231" xfId="0" applyNumberFormat="1" applyFont="1" applyFill="1" applyBorder="1"/>
    <xf numFmtId="164" fontId="238" fillId="235" borderId="232" xfId="0" applyNumberFormat="1" applyFont="1" applyFill="1" applyBorder="1"/>
    <xf numFmtId="0" fontId="239" fillId="236" borderId="233" xfId="0" applyFont="1" applyFill="1" applyBorder="1" applyAlignment="1">
      <alignment horizontal="center"/>
    </xf>
    <xf numFmtId="166" fontId="240" fillId="237" borderId="234" xfId="0" applyNumberFormat="1" applyFont="1" applyFill="1" applyBorder="1" applyAlignment="1">
      <alignment horizontal="center"/>
    </xf>
    <xf numFmtId="3" fontId="241" fillId="238" borderId="235" xfId="0" applyNumberFormat="1" applyFont="1" applyFill="1" applyBorder="1"/>
    <xf numFmtId="3" fontId="242" fillId="239" borderId="236" xfId="0" applyNumberFormat="1" applyFont="1" applyFill="1" applyBorder="1"/>
    <xf numFmtId="3" fontId="243" fillId="240" borderId="237" xfId="0" applyNumberFormat="1" applyFont="1" applyFill="1" applyBorder="1"/>
    <xf numFmtId="164" fontId="244" fillId="241" borderId="238" xfId="0" applyNumberFormat="1" applyFont="1" applyFill="1" applyBorder="1"/>
    <xf numFmtId="164" fontId="245" fillId="242" borderId="239" xfId="0" applyNumberFormat="1" applyFont="1" applyFill="1" applyBorder="1"/>
    <xf numFmtId="164" fontId="246" fillId="243" borderId="240" xfId="0" applyNumberFormat="1" applyFont="1" applyFill="1" applyBorder="1"/>
    <xf numFmtId="0" fontId="247" fillId="244" borderId="241" xfId="0" applyFont="1" applyFill="1" applyBorder="1" applyAlignment="1">
      <alignment horizontal="center"/>
    </xf>
    <xf numFmtId="166" fontId="248" fillId="245" borderId="242" xfId="0" applyNumberFormat="1" applyFont="1" applyFill="1" applyBorder="1" applyAlignment="1">
      <alignment horizontal="center"/>
    </xf>
    <xf numFmtId="3" fontId="249" fillId="246" borderId="243" xfId="0" applyNumberFormat="1" applyFont="1" applyFill="1" applyBorder="1"/>
    <xf numFmtId="3" fontId="250" fillId="247" borderId="244" xfId="0" applyNumberFormat="1" applyFont="1" applyFill="1" applyBorder="1"/>
    <xf numFmtId="3" fontId="251" fillId="248" borderId="245" xfId="0" applyNumberFormat="1" applyFont="1" applyFill="1" applyBorder="1"/>
    <xf numFmtId="164" fontId="252" fillId="249" borderId="246" xfId="0" applyNumberFormat="1" applyFont="1" applyFill="1" applyBorder="1"/>
    <xf numFmtId="164" fontId="253" fillId="250" borderId="247" xfId="0" applyNumberFormat="1" applyFont="1" applyFill="1" applyBorder="1"/>
    <xf numFmtId="164" fontId="254" fillId="251" borderId="248" xfId="0" applyNumberFormat="1" applyFont="1" applyFill="1" applyBorder="1"/>
    <xf numFmtId="0" fontId="255" fillId="252" borderId="249" xfId="0" applyFont="1" applyFill="1" applyBorder="1" applyAlignment="1">
      <alignment horizontal="center"/>
    </xf>
    <xf numFmtId="166" fontId="256" fillId="253" borderId="250" xfId="0" applyNumberFormat="1" applyFont="1" applyFill="1" applyBorder="1" applyAlignment="1">
      <alignment horizontal="center"/>
    </xf>
    <xf numFmtId="3" fontId="257" fillId="254" borderId="251" xfId="0" applyNumberFormat="1" applyFont="1" applyFill="1" applyBorder="1"/>
    <xf numFmtId="3" fontId="258" fillId="255" borderId="252" xfId="0" applyNumberFormat="1" applyFont="1" applyFill="1" applyBorder="1"/>
    <xf numFmtId="3" fontId="259" fillId="256" borderId="253" xfId="0" applyNumberFormat="1" applyFont="1" applyFill="1" applyBorder="1"/>
    <xf numFmtId="164" fontId="260" fillId="257" borderId="254" xfId="0" applyNumberFormat="1" applyFont="1" applyFill="1" applyBorder="1"/>
    <xf numFmtId="164" fontId="261" fillId="258" borderId="255" xfId="0" applyNumberFormat="1" applyFont="1" applyFill="1" applyBorder="1"/>
    <xf numFmtId="164" fontId="262" fillId="259" borderId="256" xfId="0" applyNumberFormat="1" applyFont="1" applyFill="1" applyBorder="1"/>
    <xf numFmtId="0" fontId="263" fillId="260" borderId="257" xfId="0" applyFont="1" applyFill="1" applyBorder="1" applyAlignment="1">
      <alignment horizontal="center"/>
    </xf>
    <xf numFmtId="166" fontId="264" fillId="261" borderId="258" xfId="0" applyNumberFormat="1" applyFont="1" applyFill="1" applyBorder="1" applyAlignment="1">
      <alignment horizontal="center"/>
    </xf>
    <xf numFmtId="3" fontId="265" fillId="262" borderId="259" xfId="0" applyNumberFormat="1" applyFont="1" applyFill="1" applyBorder="1"/>
    <xf numFmtId="3" fontId="266" fillId="263" borderId="260" xfId="0" applyNumberFormat="1" applyFont="1" applyFill="1" applyBorder="1"/>
    <xf numFmtId="3" fontId="267" fillId="264" borderId="261" xfId="0" applyNumberFormat="1" applyFont="1" applyFill="1" applyBorder="1"/>
    <xf numFmtId="164" fontId="268" fillId="265" borderId="262" xfId="0" applyNumberFormat="1" applyFont="1" applyFill="1" applyBorder="1"/>
    <xf numFmtId="164" fontId="269" fillId="266" borderId="263" xfId="0" applyNumberFormat="1" applyFont="1" applyFill="1" applyBorder="1"/>
    <xf numFmtId="164" fontId="270" fillId="267" borderId="264" xfId="0" applyNumberFormat="1" applyFont="1" applyFill="1" applyBorder="1"/>
    <xf numFmtId="0" fontId="271" fillId="268" borderId="265" xfId="0" applyFont="1" applyFill="1" applyBorder="1" applyAlignment="1">
      <alignment horizontal="center"/>
    </xf>
    <xf numFmtId="166" fontId="272" fillId="269" borderId="266" xfId="0" applyNumberFormat="1" applyFont="1" applyFill="1" applyBorder="1" applyAlignment="1">
      <alignment horizontal="center"/>
    </xf>
    <xf numFmtId="3" fontId="273" fillId="270" borderId="267" xfId="0" applyNumberFormat="1" applyFont="1" applyFill="1" applyBorder="1"/>
    <xf numFmtId="3" fontId="274" fillId="271" borderId="268" xfId="0" applyNumberFormat="1" applyFont="1" applyFill="1" applyBorder="1"/>
    <xf numFmtId="3" fontId="275" fillId="272" borderId="269" xfId="0" applyNumberFormat="1" applyFont="1" applyFill="1" applyBorder="1"/>
    <xf numFmtId="164" fontId="276" fillId="273" borderId="270" xfId="0" applyNumberFormat="1" applyFont="1" applyFill="1" applyBorder="1"/>
    <xf numFmtId="164" fontId="277" fillId="274" borderId="271" xfId="0" applyNumberFormat="1" applyFont="1" applyFill="1" applyBorder="1"/>
    <xf numFmtId="164" fontId="278" fillId="275" borderId="272" xfId="0" applyNumberFormat="1" applyFont="1" applyFill="1" applyBorder="1"/>
    <xf numFmtId="0" fontId="279" fillId="276" borderId="273" xfId="0" applyFont="1" applyFill="1" applyBorder="1" applyAlignment="1">
      <alignment horizontal="center"/>
    </xf>
    <xf numFmtId="0" fontId="280" fillId="277" borderId="274" xfId="0" applyFont="1" applyFill="1" applyBorder="1"/>
    <xf numFmtId="3" fontId="281" fillId="278" borderId="275" xfId="0" applyNumberFormat="1" applyFont="1" applyFill="1" applyBorder="1"/>
    <xf numFmtId="3" fontId="282" fillId="279" borderId="276" xfId="0" applyNumberFormat="1" applyFont="1" applyFill="1" applyBorder="1"/>
    <xf numFmtId="3" fontId="283" fillId="280" borderId="277" xfId="0" applyNumberFormat="1" applyFont="1" applyFill="1" applyBorder="1"/>
    <xf numFmtId="164" fontId="284" fillId="281" borderId="278" xfId="0" applyNumberFormat="1" applyFont="1" applyFill="1" applyBorder="1"/>
    <xf numFmtId="164" fontId="285" fillId="282" borderId="279" xfId="0" applyNumberFormat="1" applyFont="1" applyFill="1" applyBorder="1"/>
    <xf numFmtId="164" fontId="286" fillId="283" borderId="280" xfId="0" applyNumberFormat="1" applyFont="1" applyFill="1" applyBorder="1"/>
    <xf numFmtId="0" fontId="288" fillId="285" borderId="282" xfId="0" applyFont="1" applyFill="1" applyBorder="1" applyAlignment="1">
      <alignment horizontal="center" vertical="center"/>
    </xf>
    <xf numFmtId="0" fontId="289" fillId="286" borderId="283" xfId="0" applyFont="1" applyFill="1" applyBorder="1" applyAlignment="1">
      <alignment horizontal="center" vertical="center"/>
    </xf>
    <xf numFmtId="0" fontId="290" fillId="287" borderId="284" xfId="0" applyFont="1" applyFill="1" applyBorder="1" applyAlignment="1">
      <alignment horizontal="center" vertical="center"/>
    </xf>
    <xf numFmtId="0" fontId="291" fillId="288" borderId="285" xfId="0" applyFont="1" applyFill="1" applyBorder="1" applyAlignment="1">
      <alignment horizontal="center" vertical="center"/>
    </xf>
    <xf numFmtId="0" fontId="292" fillId="289" borderId="286" xfId="0" applyFont="1" applyFill="1" applyBorder="1" applyAlignment="1">
      <alignment horizontal="center" vertical="center"/>
    </xf>
    <xf numFmtId="0" fontId="293" fillId="290" borderId="287" xfId="0" applyFont="1" applyFill="1" applyBorder="1" applyAlignment="1">
      <alignment horizontal="center" vertical="center"/>
    </xf>
    <xf numFmtId="0" fontId="294" fillId="291" borderId="288" xfId="0" applyFont="1" applyFill="1" applyBorder="1" applyAlignment="1">
      <alignment horizontal="center" vertical="center"/>
    </xf>
    <xf numFmtId="0" fontId="295" fillId="292" borderId="289" xfId="0" applyFont="1" applyFill="1" applyBorder="1" applyAlignment="1">
      <alignment horizontal="center" vertical="center"/>
    </xf>
    <xf numFmtId="0" fontId="296" fillId="293" borderId="290" xfId="0" applyFont="1" applyFill="1" applyBorder="1" applyAlignment="1">
      <alignment horizontal="center" vertical="center"/>
    </xf>
    <xf numFmtId="0" fontId="297" fillId="294" borderId="291" xfId="0" applyFont="1" applyFill="1" applyBorder="1" applyAlignment="1">
      <alignment horizontal="center" vertical="center"/>
    </xf>
    <xf numFmtId="0" fontId="298" fillId="295" borderId="292" xfId="0" applyFont="1" applyFill="1" applyBorder="1" applyAlignment="1">
      <alignment horizontal="center"/>
    </xf>
    <xf numFmtId="166" fontId="299" fillId="296" borderId="293" xfId="0" applyNumberFormat="1" applyFont="1" applyFill="1" applyBorder="1" applyAlignment="1">
      <alignment horizontal="center"/>
    </xf>
    <xf numFmtId="3" fontId="300" fillId="297" borderId="294" xfId="0" applyNumberFormat="1" applyFont="1" applyFill="1" applyBorder="1"/>
    <xf numFmtId="3" fontId="301" fillId="298" borderId="295" xfId="0" applyNumberFormat="1" applyFont="1" applyFill="1" applyBorder="1"/>
    <xf numFmtId="3" fontId="302" fillId="299" borderId="296" xfId="0" applyNumberFormat="1" applyFont="1" applyFill="1" applyBorder="1"/>
    <xf numFmtId="3" fontId="303" fillId="300" borderId="297" xfId="0" applyNumberFormat="1" applyFont="1" applyFill="1" applyBorder="1"/>
    <xf numFmtId="3" fontId="304" fillId="301" borderId="298" xfId="0" applyNumberFormat="1" applyFont="1" applyFill="1" applyBorder="1"/>
    <xf numFmtId="3" fontId="305" fillId="302" borderId="299" xfId="0" applyNumberFormat="1" applyFont="1" applyFill="1" applyBorder="1"/>
    <xf numFmtId="3" fontId="306" fillId="303" borderId="300" xfId="0" applyNumberFormat="1" applyFont="1" applyFill="1" applyBorder="1"/>
    <xf numFmtId="0" fontId="307" fillId="304" borderId="301" xfId="0" applyFont="1" applyFill="1" applyBorder="1"/>
    <xf numFmtId="0" fontId="308" fillId="305" borderId="302" xfId="0" applyFont="1" applyFill="1" applyBorder="1" applyAlignment="1">
      <alignment horizontal="center"/>
    </xf>
    <xf numFmtId="166" fontId="309" fillId="306" borderId="303" xfId="0" applyNumberFormat="1" applyFont="1" applyFill="1" applyBorder="1" applyAlignment="1">
      <alignment horizontal="center"/>
    </xf>
    <xf numFmtId="3" fontId="310" fillId="307" borderId="304" xfId="0" applyNumberFormat="1" applyFont="1" applyFill="1" applyBorder="1"/>
    <xf numFmtId="3" fontId="311" fillId="308" borderId="305" xfId="0" applyNumberFormat="1" applyFont="1" applyFill="1" applyBorder="1"/>
    <xf numFmtId="3" fontId="312" fillId="309" borderId="306" xfId="0" applyNumberFormat="1" applyFont="1" applyFill="1" applyBorder="1"/>
    <xf numFmtId="3" fontId="313" fillId="310" borderId="307" xfId="0" applyNumberFormat="1" applyFont="1" applyFill="1" applyBorder="1"/>
    <xf numFmtId="3" fontId="314" fillId="311" borderId="308" xfId="0" applyNumberFormat="1" applyFont="1" applyFill="1" applyBorder="1"/>
    <xf numFmtId="3" fontId="315" fillId="312" borderId="309" xfId="0" applyNumberFormat="1" applyFont="1" applyFill="1" applyBorder="1"/>
    <xf numFmtId="3" fontId="316" fillId="313" borderId="310" xfId="0" applyNumberFormat="1" applyFont="1" applyFill="1" applyBorder="1"/>
    <xf numFmtId="0" fontId="317" fillId="314" borderId="311" xfId="0" applyFont="1" applyFill="1" applyBorder="1"/>
    <xf numFmtId="0" fontId="318" fillId="315" borderId="312" xfId="0" applyFont="1" applyFill="1" applyBorder="1" applyAlignment="1">
      <alignment horizontal="center"/>
    </xf>
    <xf numFmtId="166" fontId="319" fillId="316" borderId="313" xfId="0" applyNumberFormat="1" applyFont="1" applyFill="1" applyBorder="1" applyAlignment="1">
      <alignment horizontal="center"/>
    </xf>
    <xf numFmtId="3" fontId="320" fillId="317" borderId="314" xfId="0" applyNumberFormat="1" applyFont="1" applyFill="1" applyBorder="1"/>
    <xf numFmtId="3" fontId="321" fillId="318" borderId="315" xfId="0" applyNumberFormat="1" applyFont="1" applyFill="1" applyBorder="1"/>
    <xf numFmtId="3" fontId="322" fillId="319" borderId="316" xfId="0" applyNumberFormat="1" applyFont="1" applyFill="1" applyBorder="1"/>
    <xf numFmtId="3" fontId="323" fillId="320" borderId="317" xfId="0" applyNumberFormat="1" applyFont="1" applyFill="1" applyBorder="1"/>
    <xf numFmtId="3" fontId="324" fillId="321" borderId="318" xfId="0" applyNumberFormat="1" applyFont="1" applyFill="1" applyBorder="1"/>
    <xf numFmtId="3" fontId="325" fillId="322" borderId="319" xfId="0" applyNumberFormat="1" applyFont="1" applyFill="1" applyBorder="1"/>
    <xf numFmtId="3" fontId="326" fillId="323" borderId="320" xfId="0" applyNumberFormat="1" applyFont="1" applyFill="1" applyBorder="1"/>
    <xf numFmtId="0" fontId="327" fillId="324" borderId="321" xfId="0" applyFont="1" applyFill="1" applyBorder="1"/>
    <xf numFmtId="0" fontId="328" fillId="325" borderId="322" xfId="0" applyFont="1" applyFill="1" applyBorder="1" applyAlignment="1">
      <alignment horizontal="center"/>
    </xf>
    <xf numFmtId="166" fontId="329" fillId="326" borderId="323" xfId="0" applyNumberFormat="1" applyFont="1" applyFill="1" applyBorder="1" applyAlignment="1">
      <alignment horizontal="center"/>
    </xf>
    <xf numFmtId="3" fontId="330" fillId="327" borderId="324" xfId="0" applyNumberFormat="1" applyFont="1" applyFill="1" applyBorder="1"/>
    <xf numFmtId="3" fontId="331" fillId="328" borderId="325" xfId="0" applyNumberFormat="1" applyFont="1" applyFill="1" applyBorder="1"/>
    <xf numFmtId="3" fontId="332" fillId="329" borderId="326" xfId="0" applyNumberFormat="1" applyFont="1" applyFill="1" applyBorder="1"/>
    <xf numFmtId="3" fontId="333" fillId="330" borderId="327" xfId="0" applyNumberFormat="1" applyFont="1" applyFill="1" applyBorder="1"/>
    <xf numFmtId="3" fontId="334" fillId="331" borderId="328" xfId="0" applyNumberFormat="1" applyFont="1" applyFill="1" applyBorder="1"/>
    <xf numFmtId="3" fontId="335" fillId="332" borderId="329" xfId="0" applyNumberFormat="1" applyFont="1" applyFill="1" applyBorder="1"/>
    <xf numFmtId="3" fontId="336" fillId="333" borderId="330" xfId="0" applyNumberFormat="1" applyFont="1" applyFill="1" applyBorder="1"/>
    <xf numFmtId="0" fontId="337" fillId="334" borderId="331" xfId="0" applyFont="1" applyFill="1" applyBorder="1"/>
    <xf numFmtId="0" fontId="338" fillId="335" borderId="332" xfId="0" applyFont="1" applyFill="1" applyBorder="1" applyAlignment="1">
      <alignment horizontal="center"/>
    </xf>
    <xf numFmtId="166" fontId="339" fillId="336" borderId="333" xfId="0" applyNumberFormat="1" applyFont="1" applyFill="1" applyBorder="1" applyAlignment="1">
      <alignment horizontal="center"/>
    </xf>
    <xf numFmtId="3" fontId="340" fillId="337" borderId="334" xfId="0" applyNumberFormat="1" applyFont="1" applyFill="1" applyBorder="1"/>
    <xf numFmtId="3" fontId="341" fillId="338" borderId="335" xfId="0" applyNumberFormat="1" applyFont="1" applyFill="1" applyBorder="1"/>
    <xf numFmtId="3" fontId="342" fillId="339" borderId="336" xfId="0" applyNumberFormat="1" applyFont="1" applyFill="1" applyBorder="1"/>
    <xf numFmtId="3" fontId="343" fillId="340" borderId="337" xfId="0" applyNumberFormat="1" applyFont="1" applyFill="1" applyBorder="1"/>
    <xf numFmtId="3" fontId="344" fillId="341" borderId="338" xfId="0" applyNumberFormat="1" applyFont="1" applyFill="1" applyBorder="1"/>
    <xf numFmtId="3" fontId="345" fillId="342" borderId="339" xfId="0" applyNumberFormat="1" applyFont="1" applyFill="1" applyBorder="1"/>
    <xf numFmtId="3" fontId="346" fillId="343" borderId="340" xfId="0" applyNumberFormat="1" applyFont="1" applyFill="1" applyBorder="1"/>
    <xf numFmtId="0" fontId="347" fillId="344" borderId="341" xfId="0" applyFont="1" applyFill="1" applyBorder="1"/>
    <xf numFmtId="0" fontId="348" fillId="345" borderId="342" xfId="0" applyFont="1" applyFill="1" applyBorder="1" applyAlignment="1">
      <alignment horizontal="center"/>
    </xf>
    <xf numFmtId="166" fontId="349" fillId="346" borderId="343" xfId="0" applyNumberFormat="1" applyFont="1" applyFill="1" applyBorder="1" applyAlignment="1">
      <alignment horizontal="center"/>
    </xf>
    <xf numFmtId="3" fontId="350" fillId="347" borderId="344" xfId="0" applyNumberFormat="1" applyFont="1" applyFill="1" applyBorder="1"/>
    <xf numFmtId="3" fontId="351" fillId="348" borderId="345" xfId="0" applyNumberFormat="1" applyFont="1" applyFill="1" applyBorder="1"/>
    <xf numFmtId="3" fontId="352" fillId="349" borderId="346" xfId="0" applyNumberFormat="1" applyFont="1" applyFill="1" applyBorder="1"/>
    <xf numFmtId="3" fontId="353" fillId="350" borderId="347" xfId="0" applyNumberFormat="1" applyFont="1" applyFill="1" applyBorder="1"/>
    <xf numFmtId="3" fontId="354" fillId="351" borderId="348" xfId="0" applyNumberFormat="1" applyFont="1" applyFill="1" applyBorder="1"/>
    <xf numFmtId="3" fontId="355" fillId="352" borderId="349" xfId="0" applyNumberFormat="1" applyFont="1" applyFill="1" applyBorder="1"/>
    <xf numFmtId="3" fontId="356" fillId="353" borderId="350" xfId="0" applyNumberFormat="1" applyFont="1" applyFill="1" applyBorder="1"/>
    <xf numFmtId="0" fontId="357" fillId="354" borderId="351" xfId="0" applyFont="1" applyFill="1" applyBorder="1"/>
    <xf numFmtId="0" fontId="358" fillId="355" borderId="352" xfId="0" applyFont="1" applyFill="1" applyBorder="1" applyAlignment="1">
      <alignment horizontal="center"/>
    </xf>
    <xf numFmtId="0" fontId="359" fillId="356" borderId="353" xfId="0" applyFont="1" applyFill="1" applyBorder="1"/>
    <xf numFmtId="3" fontId="360" fillId="357" borderId="354" xfId="0" applyNumberFormat="1" applyFont="1" applyFill="1" applyBorder="1"/>
    <xf numFmtId="3" fontId="361" fillId="358" borderId="355" xfId="0" applyNumberFormat="1" applyFont="1" applyFill="1" applyBorder="1"/>
    <xf numFmtId="3" fontId="362" fillId="359" borderId="356" xfId="0" applyNumberFormat="1" applyFont="1" applyFill="1" applyBorder="1"/>
    <xf numFmtId="3" fontId="363" fillId="360" borderId="357" xfId="0" applyNumberFormat="1" applyFont="1" applyFill="1" applyBorder="1"/>
    <xf numFmtId="3" fontId="364" fillId="361" borderId="358" xfId="0" applyNumberFormat="1" applyFont="1" applyFill="1" applyBorder="1"/>
    <xf numFmtId="3" fontId="365" fillId="362" borderId="359" xfId="0" applyNumberFormat="1" applyFont="1" applyFill="1" applyBorder="1"/>
    <xf numFmtId="3" fontId="366" fillId="363" borderId="360" xfId="0" applyNumberFormat="1" applyFont="1" applyFill="1" applyBorder="1"/>
    <xf numFmtId="0" fontId="367" fillId="364" borderId="361" xfId="0" applyFont="1" applyFill="1" applyBorder="1"/>
    <xf numFmtId="0" fontId="369" fillId="366" borderId="362" xfId="0" applyFont="1" applyFill="1" applyBorder="1" applyAlignment="1">
      <alignment horizontal="center" vertical="center"/>
    </xf>
    <xf numFmtId="0" fontId="370" fillId="367" borderId="363" xfId="0" applyFont="1" applyFill="1" applyBorder="1" applyAlignment="1">
      <alignment horizontal="center" vertical="center"/>
    </xf>
    <xf numFmtId="0" fontId="371" fillId="368" borderId="364" xfId="0" applyFont="1" applyFill="1" applyBorder="1" applyAlignment="1">
      <alignment horizontal="center" vertical="center"/>
    </xf>
    <xf numFmtId="0" fontId="372" fillId="369" borderId="365" xfId="0" applyFont="1" applyFill="1" applyBorder="1"/>
    <xf numFmtId="3" fontId="373" fillId="370" borderId="366" xfId="0" applyNumberFormat="1" applyFont="1" applyFill="1" applyBorder="1"/>
    <xf numFmtId="164" fontId="374" fillId="371" borderId="367" xfId="0" applyNumberFormat="1" applyFont="1" applyFill="1" applyBorder="1"/>
    <xf numFmtId="0" fontId="375" fillId="372" borderId="368" xfId="0" applyFont="1" applyFill="1" applyBorder="1"/>
    <xf numFmtId="3" fontId="376" fillId="373" borderId="369" xfId="0" applyNumberFormat="1" applyFont="1" applyFill="1" applyBorder="1"/>
    <xf numFmtId="164" fontId="377" fillId="374" borderId="370" xfId="0" applyNumberFormat="1" applyFont="1" applyFill="1" applyBorder="1"/>
    <xf numFmtId="0" fontId="378" fillId="375" borderId="371" xfId="0" applyFont="1" applyFill="1" applyBorder="1"/>
    <xf numFmtId="3" fontId="379" fillId="376" borderId="372" xfId="0" applyNumberFormat="1" applyFont="1" applyFill="1" applyBorder="1"/>
    <xf numFmtId="164" fontId="380" fillId="377" borderId="373" xfId="0" applyNumberFormat="1" applyFont="1" applyFill="1" applyBorder="1"/>
    <xf numFmtId="0" fontId="381" fillId="378" borderId="374" xfId="0" applyFont="1" applyFill="1" applyBorder="1"/>
    <xf numFmtId="3" fontId="382" fillId="379" borderId="375" xfId="0" applyNumberFormat="1" applyFont="1" applyFill="1" applyBorder="1"/>
    <xf numFmtId="164" fontId="383" fillId="380" borderId="376" xfId="0" applyNumberFormat="1" applyFont="1" applyFill="1" applyBorder="1"/>
    <xf numFmtId="0" fontId="384" fillId="381" borderId="377" xfId="0" applyFont="1" applyFill="1" applyBorder="1"/>
    <xf numFmtId="3" fontId="385" fillId="382" borderId="378" xfId="0" applyNumberFormat="1" applyFont="1" applyFill="1" applyBorder="1"/>
    <xf numFmtId="164" fontId="386" fillId="383" borderId="379" xfId="0" applyNumberFormat="1" applyFont="1" applyFill="1" applyBorder="1"/>
    <xf numFmtId="0" fontId="387" fillId="384" borderId="380" xfId="0" applyFont="1" applyFill="1" applyBorder="1"/>
    <xf numFmtId="3" fontId="388" fillId="385" borderId="381" xfId="0" applyNumberFormat="1" applyFont="1" applyFill="1" applyBorder="1"/>
    <xf numFmtId="164" fontId="389" fillId="386" borderId="382" xfId="0" applyNumberFormat="1" applyFont="1" applyFill="1" applyBorder="1"/>
    <xf numFmtId="0" fontId="390" fillId="387" borderId="383" xfId="0" applyFont="1" applyFill="1" applyBorder="1"/>
    <xf numFmtId="3" fontId="391" fillId="388" borderId="384" xfId="0" applyNumberFormat="1" applyFont="1" applyFill="1" applyBorder="1"/>
    <xf numFmtId="164" fontId="392" fillId="389" borderId="385" xfId="0" applyNumberFormat="1" applyFont="1" applyFill="1" applyBorder="1"/>
    <xf numFmtId="0" fontId="393" fillId="390" borderId="386" xfId="0" applyFont="1" applyFill="1" applyBorder="1"/>
    <xf numFmtId="3" fontId="394" fillId="391" borderId="387" xfId="0" applyNumberFormat="1" applyFont="1" applyFill="1" applyBorder="1"/>
    <xf numFmtId="164" fontId="395" fillId="392" borderId="388" xfId="0" applyNumberFormat="1" applyFont="1" applyFill="1" applyBorder="1"/>
    <xf numFmtId="0" fontId="396" fillId="393" borderId="389" xfId="0" applyFont="1" applyFill="1" applyBorder="1" applyAlignment="1">
      <alignment horizontal="center"/>
    </xf>
    <xf numFmtId="3" fontId="397" fillId="394" borderId="390" xfId="0" applyNumberFormat="1" applyFont="1" applyFill="1" applyBorder="1"/>
    <xf numFmtId="164" fontId="398" fillId="395" borderId="391" xfId="0" applyNumberFormat="1" applyFont="1" applyFill="1" applyBorder="1"/>
    <xf numFmtId="0" fontId="408" fillId="405" borderId="401" xfId="0" applyFont="1" applyFill="1" applyBorder="1"/>
    <xf numFmtId="0" fontId="409" fillId="406" borderId="402" xfId="0" applyFont="1" applyFill="1" applyBorder="1"/>
    <xf numFmtId="0" fontId="410" fillId="407" borderId="403" xfId="0" applyFont="1" applyFill="1" applyBorder="1"/>
    <xf numFmtId="0" fontId="411" fillId="408" borderId="404" xfId="0" applyFont="1" applyFill="1" applyBorder="1"/>
    <xf numFmtId="0" fontId="412" fillId="409" borderId="405" xfId="0" applyFont="1" applyFill="1" applyBorder="1"/>
    <xf numFmtId="0" fontId="413" fillId="410" borderId="406" xfId="0" applyFont="1" applyFill="1" applyBorder="1"/>
    <xf numFmtId="0" fontId="414" fillId="411" borderId="407" xfId="0" applyFont="1" applyFill="1" applyBorder="1"/>
    <xf numFmtId="0" fontId="415" fillId="412" borderId="408" xfId="0" applyFont="1" applyFill="1" applyBorder="1"/>
    <xf numFmtId="0" fontId="416" fillId="413" borderId="409" xfId="0" applyFont="1" applyFill="1" applyBorder="1"/>
    <xf numFmtId="0" fontId="417" fillId="414" borderId="410" xfId="0" applyFont="1" applyFill="1" applyBorder="1"/>
    <xf numFmtId="0" fontId="426" fillId="423" borderId="419" xfId="0" applyFont="1" applyFill="1" applyBorder="1"/>
    <xf numFmtId="0" fontId="427" fillId="424" borderId="420" xfId="0" applyFont="1" applyFill="1" applyBorder="1"/>
    <xf numFmtId="0" fontId="432" fillId="429" borderId="425" xfId="0" applyFont="1" applyFill="1" applyBorder="1"/>
    <xf numFmtId="0" fontId="433" fillId="430" borderId="426" xfId="0" applyFont="1" applyFill="1" applyBorder="1"/>
    <xf numFmtId="0" fontId="434" fillId="431" borderId="427" xfId="0" applyFont="1" applyFill="1" applyBorder="1"/>
    <xf numFmtId="0" fontId="440" fillId="437" borderId="433" xfId="0" applyFont="1" applyFill="1" applyBorder="1"/>
    <xf numFmtId="0" fontId="441" fillId="438" borderId="434" xfId="0" applyFont="1" applyFill="1" applyBorder="1"/>
    <xf numFmtId="0" fontId="442" fillId="439" borderId="435" xfId="0" applyFont="1" applyFill="1" applyBorder="1"/>
    <xf numFmtId="0" fontId="448" fillId="445" borderId="441" xfId="0" applyFont="1" applyFill="1" applyBorder="1"/>
    <xf numFmtId="0" fontId="449" fillId="446" borderId="442" xfId="0" applyFont="1" applyFill="1" applyBorder="1"/>
    <xf numFmtId="0" fontId="450" fillId="447" borderId="443" xfId="0" applyFont="1" applyFill="1" applyBorder="1"/>
    <xf numFmtId="0" fontId="456" fillId="453" borderId="449" xfId="0" applyFont="1" applyFill="1" applyBorder="1"/>
    <xf numFmtId="0" fontId="457" fillId="454" borderId="450" xfId="0" applyFont="1" applyFill="1" applyBorder="1"/>
    <xf numFmtId="0" fontId="458" fillId="455" borderId="451" xfId="0" applyFont="1" applyFill="1" applyBorder="1"/>
    <xf numFmtId="0" fontId="464" fillId="461" borderId="457" xfId="0" applyFont="1" applyFill="1" applyBorder="1"/>
    <xf numFmtId="0" fontId="465" fillId="462" borderId="458" xfId="0" applyFont="1" applyFill="1" applyBorder="1"/>
    <xf numFmtId="0" fontId="466" fillId="463" borderId="459" xfId="0" applyFont="1" applyFill="1" applyBorder="1"/>
    <xf numFmtId="0" fontId="467" fillId="464" borderId="460" xfId="0" applyFont="1" applyFill="1" applyBorder="1"/>
    <xf numFmtId="0" fontId="468" fillId="465" borderId="461" xfId="0" applyFont="1" applyFill="1" applyBorder="1"/>
    <xf numFmtId="0" fontId="469" fillId="466" borderId="462" xfId="0" applyFont="1" applyFill="1" applyBorder="1"/>
    <xf numFmtId="0" fontId="470" fillId="467" borderId="463" xfId="0" applyFont="1" applyFill="1" applyBorder="1"/>
    <xf numFmtId="0" fontId="471" fillId="468" borderId="464" xfId="0" applyFont="1" applyFill="1" applyBorder="1"/>
    <xf numFmtId="0" fontId="472" fillId="469" borderId="465" xfId="0" applyFont="1" applyFill="1" applyBorder="1"/>
    <xf numFmtId="0" fontId="473" fillId="470" borderId="466" xfId="0" applyFont="1" applyFill="1" applyBorder="1"/>
    <xf numFmtId="0" fontId="474" fillId="471" borderId="467" xfId="0" applyFont="1" applyFill="1" applyBorder="1"/>
    <xf numFmtId="0" fontId="484" fillId="481" borderId="477" xfId="0" applyFont="1" applyFill="1" applyBorder="1"/>
    <xf numFmtId="0" fontId="485" fillId="482" borderId="478" xfId="0" applyFont="1" applyFill="1" applyBorder="1"/>
    <xf numFmtId="0" fontId="486" fillId="483" borderId="479" xfId="0" applyFont="1" applyFill="1" applyBorder="1"/>
    <xf numFmtId="0" fontId="487" fillId="484" borderId="480" xfId="0" applyFont="1" applyFill="1" applyBorder="1"/>
    <xf numFmtId="0" fontId="488" fillId="485" borderId="481" xfId="0" applyFont="1" applyFill="1" applyBorder="1"/>
    <xf numFmtId="0" fontId="489" fillId="486" borderId="482" xfId="0" applyFont="1" applyFill="1" applyBorder="1"/>
    <xf numFmtId="0" fontId="490" fillId="487" borderId="483" xfId="0" applyFont="1" applyFill="1" applyBorder="1"/>
    <xf numFmtId="0" fontId="491" fillId="488" borderId="484" xfId="0" applyFont="1" applyFill="1" applyBorder="1"/>
    <xf numFmtId="0" fontId="492" fillId="489" borderId="485" xfId="0" applyFont="1" applyFill="1" applyBorder="1"/>
    <xf numFmtId="0" fontId="493" fillId="490" borderId="486" xfId="0" applyFont="1" applyFill="1" applyBorder="1"/>
    <xf numFmtId="0" fontId="494" fillId="491" borderId="487" xfId="0" applyFont="1" applyFill="1" applyBorder="1"/>
    <xf numFmtId="0" fontId="495" fillId="492" borderId="488" xfId="0" applyFont="1" applyFill="1" applyBorder="1"/>
    <xf numFmtId="0" fontId="496" fillId="493" borderId="489" xfId="0" applyFont="1" applyFill="1" applyBorder="1"/>
    <xf numFmtId="0" fontId="497" fillId="494" borderId="490" xfId="0" applyFont="1" applyFill="1" applyBorder="1"/>
    <xf numFmtId="0" fontId="498" fillId="495" borderId="491" xfId="0" applyFont="1" applyFill="1" applyBorder="1"/>
    <xf numFmtId="0" fontId="499" fillId="496" borderId="492" xfId="0" applyFont="1" applyFill="1" applyBorder="1"/>
    <xf numFmtId="0" fontId="500" fillId="497" borderId="493" xfId="0" applyFont="1" applyFill="1" applyBorder="1"/>
    <xf numFmtId="0" fontId="501" fillId="498" borderId="494" xfId="0" applyFont="1" applyFill="1" applyBorder="1"/>
    <xf numFmtId="0" fontId="502" fillId="499" borderId="495" xfId="0" applyFont="1" applyFill="1" applyBorder="1"/>
    <xf numFmtId="0" fontId="503" fillId="500" borderId="496" xfId="0" applyFont="1" applyFill="1" applyBorder="1"/>
    <xf numFmtId="0" fontId="504" fillId="501" borderId="497" xfId="0" applyFont="1" applyFill="1" applyBorder="1"/>
    <xf numFmtId="0" fontId="505" fillId="502" borderId="498" xfId="0" applyFont="1" applyFill="1" applyBorder="1"/>
    <xf numFmtId="0" fontId="506" fillId="503" borderId="499" xfId="0" applyFont="1" applyFill="1" applyBorder="1"/>
    <xf numFmtId="0" fontId="507" fillId="504" borderId="500" xfId="0" applyFont="1" applyFill="1" applyBorder="1"/>
    <xf numFmtId="0" fontId="508" fillId="505" borderId="501" xfId="0" applyFont="1" applyFill="1" applyBorder="1"/>
    <xf numFmtId="0" fontId="509" fillId="506" borderId="502" xfId="0" applyFont="1" applyFill="1" applyBorder="1"/>
    <xf numFmtId="0" fontId="519" fillId="516" borderId="512" xfId="0" applyFont="1" applyFill="1" applyBorder="1"/>
    <xf numFmtId="0" fontId="520" fillId="517" borderId="513" xfId="0" applyFont="1" applyFill="1" applyBorder="1"/>
    <xf numFmtId="0" fontId="521" fillId="518" borderId="514" xfId="0" applyFont="1" applyFill="1" applyBorder="1"/>
    <xf numFmtId="0" fontId="522" fillId="519" borderId="515" xfId="0" applyFont="1" applyFill="1" applyBorder="1"/>
    <xf numFmtId="0" fontId="523" fillId="520" borderId="516" xfId="0" applyFont="1" applyFill="1" applyBorder="1"/>
    <xf numFmtId="0" fontId="524" fillId="521" borderId="517" xfId="0" applyFont="1" applyFill="1" applyBorder="1"/>
    <xf numFmtId="0" fontId="525" fillId="522" borderId="518" xfId="0" applyFont="1" applyFill="1" applyBorder="1"/>
    <xf numFmtId="0" fontId="526" fillId="523" borderId="519" xfId="0" applyFont="1" applyFill="1" applyBorder="1"/>
    <xf numFmtId="0" fontId="527" fillId="524" borderId="520" xfId="0" applyFont="1" applyFill="1" applyBorder="1"/>
    <xf numFmtId="0" fontId="528" fillId="525" borderId="521" xfId="0" applyFont="1" applyFill="1" applyBorder="1"/>
    <xf numFmtId="0" fontId="529" fillId="526" borderId="522" xfId="0" applyFont="1" applyFill="1" applyBorder="1"/>
    <xf numFmtId="0" fontId="530" fillId="527" borderId="523" xfId="0" applyFont="1" applyFill="1" applyBorder="1"/>
    <xf numFmtId="0" fontId="531" fillId="528" borderId="524" xfId="0" applyFont="1" applyFill="1" applyBorder="1"/>
    <xf numFmtId="0" fontId="532" fillId="529" borderId="525" xfId="0" applyFont="1" applyFill="1" applyBorder="1"/>
    <xf numFmtId="0" fontId="533" fillId="530" borderId="526" xfId="0" applyFont="1" applyFill="1" applyBorder="1"/>
    <xf numFmtId="0" fontId="534" fillId="531" borderId="527" xfId="0" applyFont="1" applyFill="1" applyBorder="1"/>
    <xf numFmtId="0" fontId="535" fillId="532" borderId="528" xfId="0" applyFont="1" applyFill="1" applyBorder="1"/>
    <xf numFmtId="0" fontId="536" fillId="533" borderId="529" xfId="0" applyFont="1" applyFill="1" applyBorder="1"/>
    <xf numFmtId="0" fontId="537" fillId="534" borderId="530" xfId="0" applyFont="1" applyFill="1" applyBorder="1"/>
    <xf numFmtId="0" fontId="538" fillId="535" borderId="531" xfId="0" applyFont="1" applyFill="1" applyBorder="1"/>
    <xf numFmtId="0" fontId="540" fillId="537" borderId="533" xfId="0" applyFont="1" applyFill="1" applyBorder="1"/>
    <xf numFmtId="0" fontId="541" fillId="538" borderId="534" xfId="0" applyFont="1" applyFill="1" applyBorder="1"/>
    <xf numFmtId="0" fontId="542" fillId="539" borderId="535" xfId="0" applyFont="1" applyFill="1" applyBorder="1"/>
    <xf numFmtId="0" fontId="543" fillId="540" borderId="536" xfId="0" applyFont="1" applyFill="1" applyBorder="1"/>
    <xf numFmtId="0" fontId="544" fillId="541" borderId="537" xfId="0" applyFont="1" applyFill="1" applyBorder="1"/>
    <xf numFmtId="0" fontId="545" fillId="542" borderId="538" xfId="0" applyFont="1" applyFill="1" applyBorder="1"/>
    <xf numFmtId="0" fontId="546" fillId="543" borderId="539" xfId="0" applyFont="1" applyFill="1" applyBorder="1"/>
    <xf numFmtId="0" fontId="547" fillId="544" borderId="540" xfId="0" applyFont="1" applyFill="1" applyBorder="1"/>
    <xf numFmtId="0" fontId="548" fillId="545" borderId="541" xfId="0" applyFont="1" applyFill="1" applyBorder="1"/>
    <xf numFmtId="0" fontId="549" fillId="546" borderId="542" xfId="0" applyFont="1" applyFill="1" applyBorder="1"/>
    <xf numFmtId="0" fontId="550" fillId="547" borderId="543" xfId="0" applyFont="1" applyFill="1" applyBorder="1"/>
    <xf numFmtId="0" fontId="551" fillId="548" borderId="544" xfId="0" applyFont="1" applyFill="1" applyBorder="1"/>
    <xf numFmtId="0" fontId="552" fillId="549" borderId="545" xfId="0" applyFont="1" applyFill="1" applyBorder="1"/>
    <xf numFmtId="0" fontId="553" fillId="550" borderId="546" xfId="0" applyFont="1" applyFill="1" applyBorder="1"/>
    <xf numFmtId="0" fontId="554" fillId="551" borderId="547" xfId="0" applyFont="1" applyFill="1" applyBorder="1"/>
    <xf numFmtId="0" fontId="555" fillId="552" borderId="548" xfId="0" applyFont="1" applyFill="1" applyBorder="1"/>
    <xf numFmtId="0" fontId="556" fillId="553" borderId="549" xfId="0" applyFont="1" applyFill="1" applyBorder="1"/>
    <xf numFmtId="0" fontId="557" fillId="554" borderId="550" xfId="0" applyFont="1" applyFill="1" applyBorder="1"/>
    <xf numFmtId="0" fontId="558" fillId="555" borderId="551" xfId="0" applyFont="1" applyFill="1" applyBorder="1"/>
    <xf numFmtId="0" fontId="559" fillId="556" borderId="552" xfId="0" applyFont="1" applyFill="1" applyBorder="1"/>
    <xf numFmtId="0" fontId="561" fillId="558" borderId="554" xfId="0" applyFont="1" applyFill="1" applyBorder="1" applyAlignment="1">
      <alignment horizontal="right"/>
    </xf>
    <xf numFmtId="0" fontId="562" fillId="559" borderId="555" xfId="0" applyFont="1" applyFill="1" applyBorder="1"/>
    <xf numFmtId="0" fontId="563" fillId="560" borderId="556" xfId="0" applyFont="1" applyFill="1" applyBorder="1" applyAlignment="1">
      <alignment horizontal="right"/>
    </xf>
    <xf numFmtId="164" fontId="564" fillId="561" borderId="557" xfId="0" applyNumberFormat="1" applyFont="1" applyFill="1" applyBorder="1"/>
    <xf numFmtId="0" fontId="565" fillId="562" borderId="558" xfId="0" applyFont="1" applyFill="1" applyBorder="1" applyAlignment="1">
      <alignment horizontal="center" vertical="center"/>
    </xf>
    <xf numFmtId="0" fontId="566" fillId="563" borderId="559" xfId="0" applyFont="1" applyFill="1" applyBorder="1" applyAlignment="1">
      <alignment horizontal="center" vertical="center"/>
    </xf>
    <xf numFmtId="0" fontId="567" fillId="564" borderId="560" xfId="0" applyFont="1" applyFill="1" applyBorder="1" applyAlignment="1">
      <alignment horizontal="center" vertical="center"/>
    </xf>
    <xf numFmtId="0" fontId="568" fillId="565" borderId="561" xfId="0" applyFont="1" applyFill="1" applyBorder="1" applyAlignment="1">
      <alignment horizontal="center" vertical="center"/>
    </xf>
    <xf numFmtId="0" fontId="569" fillId="566" borderId="562" xfId="0" applyFont="1" applyFill="1" applyBorder="1" applyAlignment="1">
      <alignment horizontal="center" vertical="center"/>
    </xf>
    <xf numFmtId="0" fontId="570" fillId="567" borderId="563" xfId="0" applyFont="1" applyFill="1" applyBorder="1" applyAlignment="1">
      <alignment horizontal="center" vertical="center"/>
    </xf>
    <xf numFmtId="0" fontId="571" fillId="568" borderId="564" xfId="0" applyFont="1" applyFill="1" applyBorder="1" applyAlignment="1">
      <alignment horizontal="center" vertical="center"/>
    </xf>
    <xf numFmtId="166" fontId="572" fillId="570" borderId="566" xfId="0" applyNumberFormat="1" applyFont="1" applyFill="1" applyBorder="1" applyAlignment="1">
      <alignment horizontal="center"/>
    </xf>
    <xf numFmtId="3" fontId="573" fillId="571" borderId="567" xfId="0" applyNumberFormat="1" applyFont="1" applyFill="1" applyBorder="1"/>
    <xf numFmtId="164" fontId="574" fillId="572" borderId="568" xfId="0" applyNumberFormat="1" applyFont="1" applyFill="1" applyBorder="1"/>
    <xf numFmtId="164" fontId="575" fillId="573" borderId="569" xfId="0" applyNumberFormat="1" applyFont="1" applyFill="1" applyBorder="1"/>
    <xf numFmtId="164" fontId="576" fillId="574" borderId="570" xfId="0" applyNumberFormat="1" applyFont="1" applyFill="1" applyBorder="1" applyAlignment="1">
      <alignment horizontal="right"/>
    </xf>
    <xf numFmtId="164" fontId="577" fillId="575" borderId="571" xfId="0" applyNumberFormat="1" applyFont="1" applyFill="1" applyBorder="1"/>
    <xf numFmtId="166" fontId="579" fillId="577" borderId="572" xfId="0" applyNumberFormat="1" applyFont="1" applyFill="1" applyBorder="1" applyAlignment="1">
      <alignment horizontal="center"/>
    </xf>
    <xf numFmtId="3" fontId="580" fillId="578" borderId="573" xfId="0" applyNumberFormat="1" applyFont="1" applyFill="1" applyBorder="1"/>
    <xf numFmtId="164" fontId="581" fillId="579" borderId="574" xfId="0" applyNumberFormat="1" applyFont="1" applyFill="1" applyBorder="1"/>
    <xf numFmtId="164" fontId="582" fillId="580" borderId="575" xfId="0" applyNumberFormat="1" applyFont="1" applyFill="1" applyBorder="1"/>
    <xf numFmtId="164" fontId="583" fillId="581" borderId="576" xfId="0" applyNumberFormat="1" applyFont="1" applyFill="1" applyBorder="1" applyAlignment="1">
      <alignment horizontal="right"/>
    </xf>
    <xf numFmtId="164" fontId="584" fillId="582" borderId="577" xfId="0" applyNumberFormat="1" applyFont="1" applyFill="1" applyBorder="1"/>
    <xf numFmtId="166" fontId="586" fillId="584" borderId="578" xfId="0" applyNumberFormat="1" applyFont="1" applyFill="1" applyBorder="1" applyAlignment="1">
      <alignment horizontal="center"/>
    </xf>
    <xf numFmtId="3" fontId="587" fillId="585" borderId="579" xfId="0" applyNumberFormat="1" applyFont="1" applyFill="1" applyBorder="1"/>
    <xf numFmtId="164" fontId="588" fillId="586" borderId="580" xfId="0" applyNumberFormat="1" applyFont="1" applyFill="1" applyBorder="1"/>
    <xf numFmtId="164" fontId="589" fillId="587" borderId="581" xfId="0" applyNumberFormat="1" applyFont="1" applyFill="1" applyBorder="1"/>
    <xf numFmtId="164" fontId="590" fillId="588" borderId="582" xfId="0" applyNumberFormat="1" applyFont="1" applyFill="1" applyBorder="1" applyAlignment="1">
      <alignment horizontal="right"/>
    </xf>
    <xf numFmtId="164" fontId="591" fillId="589" borderId="583" xfId="0" applyNumberFormat="1" applyFont="1" applyFill="1" applyBorder="1"/>
    <xf numFmtId="3" fontId="592" fillId="590" borderId="584" xfId="0" applyNumberFormat="1" applyFont="1" applyFill="1" applyBorder="1"/>
    <xf numFmtId="164" fontId="593" fillId="591" borderId="585" xfId="0" applyNumberFormat="1" applyFont="1" applyFill="1" applyBorder="1"/>
    <xf numFmtId="164" fontId="594" fillId="592" borderId="586" xfId="0" applyNumberFormat="1" applyFont="1" applyFill="1" applyBorder="1"/>
    <xf numFmtId="164" fontId="595" fillId="593" borderId="587" xfId="0" applyNumberFormat="1" applyFont="1" applyFill="1" applyBorder="1" applyAlignment="1">
      <alignment horizontal="right"/>
    </xf>
    <xf numFmtId="164" fontId="596" fillId="594" borderId="588" xfId="0" applyNumberFormat="1" applyFont="1" applyFill="1" applyBorder="1"/>
    <xf numFmtId="0" fontId="597" fillId="595" borderId="589" xfId="0" applyFont="1" applyFill="1" applyBorder="1" applyAlignment="1">
      <alignment horizontal="center"/>
    </xf>
    <xf numFmtId="3" fontId="598" fillId="596" borderId="590" xfId="0" applyNumberFormat="1" applyFont="1" applyFill="1" applyBorder="1"/>
    <xf numFmtId="164" fontId="599" fillId="597" borderId="591" xfId="0" applyNumberFormat="1" applyFont="1" applyFill="1" applyBorder="1"/>
    <xf numFmtId="164" fontId="600" fillId="598" borderId="592" xfId="0" applyNumberFormat="1" applyFont="1" applyFill="1" applyBorder="1"/>
    <xf numFmtId="164" fontId="601" fillId="599" borderId="593" xfId="0" applyNumberFormat="1" applyFont="1" applyFill="1" applyBorder="1" applyAlignment="1">
      <alignment horizontal="right"/>
    </xf>
    <xf numFmtId="164" fontId="602" fillId="600" borderId="594" xfId="0" applyNumberFormat="1" applyFont="1" applyFill="1" applyBorder="1"/>
    <xf numFmtId="0" fontId="612" fillId="610" borderId="604" xfId="0" applyFont="1" applyFill="1" applyBorder="1"/>
    <xf numFmtId="0" fontId="613" fillId="611" borderId="605" xfId="0" applyFont="1" applyFill="1" applyBorder="1"/>
    <xf numFmtId="0" fontId="614" fillId="612" borderId="606" xfId="0" applyFont="1" applyFill="1" applyBorder="1"/>
    <xf numFmtId="0" fontId="615" fillId="613" borderId="607" xfId="0" applyFont="1" applyFill="1" applyBorder="1"/>
    <xf numFmtId="0" fontId="616" fillId="614" borderId="608" xfId="0" applyFont="1" applyFill="1" applyBorder="1"/>
    <xf numFmtId="0" fontId="617" fillId="615" borderId="609" xfId="0" applyFont="1" applyFill="1" applyBorder="1"/>
    <xf numFmtId="0" fontId="618" fillId="616" borderId="610" xfId="0" applyFont="1" applyFill="1" applyBorder="1"/>
    <xf numFmtId="0" fontId="619" fillId="617" borderId="611" xfId="0" applyFont="1" applyFill="1" applyBorder="1"/>
    <xf numFmtId="0" fontId="620" fillId="618" borderId="612" xfId="0" applyFont="1" applyFill="1" applyBorder="1"/>
    <xf numFmtId="0" fontId="621" fillId="619" borderId="613" xfId="0" applyFont="1" applyFill="1" applyBorder="1"/>
    <xf numFmtId="0" fontId="622" fillId="620" borderId="614" xfId="0" applyFont="1" applyFill="1" applyBorder="1"/>
    <xf numFmtId="0" fontId="623" fillId="621" borderId="615" xfId="0" applyFont="1" applyFill="1" applyBorder="1"/>
    <xf numFmtId="0" fontId="624" fillId="622" borderId="616" xfId="0" applyFont="1" applyFill="1" applyBorder="1"/>
    <xf numFmtId="0" fontId="625" fillId="623" borderId="617" xfId="0" applyFont="1" applyFill="1" applyBorder="1"/>
    <xf numFmtId="0" fontId="626" fillId="624" borderId="618" xfId="0" applyFont="1" applyFill="1" applyBorder="1"/>
    <xf numFmtId="0" fontId="627" fillId="625" borderId="619" xfId="0" applyFont="1" applyFill="1" applyBorder="1"/>
    <xf numFmtId="0" fontId="628" fillId="626" borderId="620" xfId="0" applyFont="1" applyFill="1" applyBorder="1"/>
    <xf numFmtId="0" fontId="629" fillId="627" borderId="621" xfId="0" applyFont="1" applyFill="1" applyBorder="1"/>
    <xf numFmtId="0" fontId="630" fillId="628" borderId="622" xfId="0" applyFont="1" applyFill="1" applyBorder="1"/>
    <xf numFmtId="0" fontId="631" fillId="629" borderId="623" xfId="0" applyFont="1" applyFill="1" applyBorder="1"/>
    <xf numFmtId="0" fontId="632" fillId="630" borderId="624" xfId="0" applyFont="1" applyFill="1" applyBorder="1"/>
    <xf numFmtId="0" fontId="633" fillId="631" borderId="625" xfId="0" applyFont="1" applyFill="1" applyBorder="1"/>
    <xf numFmtId="0" fontId="634" fillId="632" borderId="626" xfId="0" applyFont="1" applyFill="1" applyBorder="1"/>
    <xf numFmtId="0" fontId="635" fillId="633" borderId="627" xfId="0" applyFont="1" applyFill="1" applyBorder="1"/>
    <xf numFmtId="0" fontId="636" fillId="634" borderId="628" xfId="0" applyFont="1" applyFill="1" applyBorder="1"/>
    <xf numFmtId="0" fontId="637" fillId="635" borderId="629" xfId="0" applyFont="1" applyFill="1" applyBorder="1"/>
    <xf numFmtId="0" fontId="638" fillId="637" borderId="631" xfId="0" applyFont="1" applyFill="1" applyBorder="1"/>
    <xf numFmtId="0" fontId="639" fillId="638" borderId="632" xfId="0" applyFont="1" applyFill="1" applyBorder="1"/>
    <xf numFmtId="0" fontId="640" fillId="639" borderId="633" xfId="0" applyFont="1" applyFill="1" applyBorder="1"/>
    <xf numFmtId="0" fontId="641" fillId="640" borderId="634" xfId="0" applyFont="1" applyFill="1" applyBorder="1"/>
    <xf numFmtId="0" fontId="642" fillId="641" borderId="635" xfId="0" applyFont="1" applyFill="1" applyBorder="1"/>
    <xf numFmtId="0" fontId="643" fillId="642" borderId="636" xfId="0" applyFont="1" applyFill="1" applyBorder="1"/>
    <xf numFmtId="164" fontId="644" fillId="643" borderId="637" xfId="0" applyNumberFormat="1" applyFont="1" applyFill="1" applyBorder="1" applyAlignment="1">
      <alignment horizontal="right"/>
    </xf>
    <xf numFmtId="164" fontId="645" fillId="644" borderId="638" xfId="0" applyNumberFormat="1" applyFont="1" applyFill="1" applyBorder="1" applyAlignment="1">
      <alignment horizontal="right"/>
    </xf>
    <xf numFmtId="164" fontId="646" fillId="645" borderId="639" xfId="0" applyNumberFormat="1" applyFont="1" applyFill="1" applyBorder="1" applyAlignment="1">
      <alignment horizontal="right"/>
    </xf>
    <xf numFmtId="164" fontId="647" fillId="646" borderId="640" xfId="0" applyNumberFormat="1" applyFont="1" applyFill="1" applyBorder="1" applyAlignment="1">
      <alignment horizontal="right"/>
    </xf>
    <xf numFmtId="164" fontId="648" fillId="647" borderId="641" xfId="0" applyNumberFormat="1" applyFont="1" applyFill="1" applyBorder="1" applyAlignment="1">
      <alignment horizontal="right"/>
    </xf>
    <xf numFmtId="164" fontId="649" fillId="648" borderId="642" xfId="0" applyNumberFormat="1" applyFont="1" applyFill="1" applyBorder="1" applyAlignment="1">
      <alignment horizontal="right"/>
    </xf>
    <xf numFmtId="164" fontId="650" fillId="649" borderId="643" xfId="0" applyNumberFormat="1" applyFont="1" applyFill="1" applyBorder="1" applyAlignment="1">
      <alignment horizontal="right"/>
    </xf>
    <xf numFmtId="164" fontId="651" fillId="650" borderId="644" xfId="0" applyNumberFormat="1" applyFont="1" applyFill="1" applyBorder="1" applyAlignment="1">
      <alignment horizontal="right"/>
    </xf>
    <xf numFmtId="164" fontId="652" fillId="651" borderId="645" xfId="0" applyNumberFormat="1" applyFont="1" applyFill="1" applyBorder="1" applyAlignment="1">
      <alignment horizontal="right"/>
    </xf>
    <xf numFmtId="164" fontId="653" fillId="652" borderId="646" xfId="0" applyNumberFormat="1" applyFont="1" applyFill="1" applyBorder="1" applyAlignment="1">
      <alignment horizontal="right"/>
    </xf>
    <xf numFmtId="0" fontId="223" fillId="569" borderId="565" xfId="0" applyFont="1" applyFill="1" applyBorder="1" applyAlignment="1">
      <alignment horizontal="center" vertical="center"/>
    </xf>
    <xf numFmtId="0" fontId="223" fillId="636" borderId="630" xfId="0" applyFont="1" applyFill="1" applyBorder="1" applyAlignment="1">
      <alignment horizontal="center" vertical="center"/>
    </xf>
    <xf numFmtId="2" fontId="578" fillId="576" borderId="646" xfId="0" applyNumberFormat="1" applyFont="1" applyFill="1" applyBorder="1"/>
    <xf numFmtId="2" fontId="585" fillId="583" borderId="646" xfId="0" applyNumberFormat="1" applyFont="1" applyFill="1" applyBorder="1"/>
    <xf numFmtId="0" fontId="662" fillId="662" borderId="646" xfId="0" applyFont="1" applyFill="1" applyBorder="1" applyAlignment="1">
      <alignment horizontal="left" vertical="center"/>
    </xf>
    <xf numFmtId="0" fontId="671" fillId="671" borderId="646" xfId="0" applyFont="1" applyFill="1" applyBorder="1" applyAlignment="1">
      <alignment horizontal="left" vertical="center"/>
    </xf>
    <xf numFmtId="0" fontId="679" fillId="679" borderId="646" xfId="0" applyFont="1" applyFill="1" applyBorder="1" applyAlignment="1">
      <alignment horizontal="left" vertical="center"/>
    </xf>
    <xf numFmtId="0" fontId="687" fillId="687" borderId="646" xfId="0" applyFont="1" applyFill="1" applyBorder="1" applyAlignment="1">
      <alignment horizontal="left" vertical="center"/>
    </xf>
    <xf numFmtId="0" fontId="695" fillId="695" borderId="646" xfId="0" applyFont="1" applyFill="1" applyBorder="1" applyAlignment="1">
      <alignment horizontal="left" vertical="center"/>
    </xf>
    <xf numFmtId="0" fontId="703" fillId="703" borderId="646" xfId="0" applyFont="1" applyFill="1" applyBorder="1" applyAlignment="1">
      <alignment horizontal="center" vertical="center"/>
    </xf>
    <xf numFmtId="0" fontId="539" fillId="536" borderId="532" xfId="0" applyFont="1" applyFill="1" applyBorder="1"/>
    <xf numFmtId="0" fontId="705" fillId="705" borderId="648" xfId="0" applyFont="1" applyFill="1" applyBorder="1" applyAlignment="1">
      <alignment horizontal="center" vertical="center"/>
    </xf>
    <xf numFmtId="0" fontId="706" fillId="706" borderId="649" xfId="0" applyFont="1" applyFill="1" applyBorder="1" applyAlignment="1">
      <alignment horizontal="center" vertical="center"/>
    </xf>
    <xf numFmtId="0" fontId="707" fillId="707" borderId="650" xfId="0" applyFont="1" applyFill="1" applyBorder="1" applyAlignment="1">
      <alignment horizontal="center" vertical="center"/>
    </xf>
    <xf numFmtId="0" fontId="708" fillId="708" borderId="651" xfId="0" applyFont="1" applyFill="1" applyBorder="1" applyAlignment="1">
      <alignment horizontal="center" vertical="center"/>
    </xf>
    <xf numFmtId="0" fontId="709" fillId="709" borderId="652" xfId="0" applyFont="1" applyFill="1" applyBorder="1" applyAlignment="1">
      <alignment horizontal="center" vertical="center"/>
    </xf>
    <xf numFmtId="0" fontId="710" fillId="710" borderId="653" xfId="0" applyFont="1" applyFill="1" applyBorder="1" applyAlignment="1">
      <alignment horizontal="center" vertical="center"/>
    </xf>
    <xf numFmtId="0" fontId="711" fillId="711" borderId="654" xfId="0" applyFont="1" applyFill="1" applyBorder="1" applyAlignment="1">
      <alignment horizontal="center" vertical="center"/>
    </xf>
    <xf numFmtId="0" fontId="712" fillId="712" borderId="655" xfId="0" applyFont="1" applyFill="1" applyBorder="1" applyAlignment="1">
      <alignment horizontal="center" vertical="center"/>
    </xf>
    <xf numFmtId="0" fontId="713" fillId="713" borderId="656" xfId="0" applyFont="1" applyFill="1" applyBorder="1" applyAlignment="1">
      <alignment horizontal="center" vertical="center"/>
    </xf>
    <xf numFmtId="0" fontId="714" fillId="714" borderId="657" xfId="0" applyFont="1" applyFill="1" applyBorder="1" applyAlignment="1">
      <alignment horizontal="center" vertical="center"/>
    </xf>
    <xf numFmtId="0" fontId="715" fillId="715" borderId="658" xfId="0" applyFont="1" applyFill="1" applyBorder="1"/>
    <xf numFmtId="0" fontId="716" fillId="716" borderId="659" xfId="0" applyFont="1" applyFill="1" applyBorder="1"/>
    <xf numFmtId="0" fontId="717" fillId="717" borderId="660" xfId="0" applyFont="1" applyFill="1" applyBorder="1"/>
    <xf numFmtId="0" fontId="718" fillId="718" borderId="661" xfId="0" applyFont="1" applyFill="1" applyBorder="1" applyAlignment="1">
      <alignment horizontal="center" vertical="center"/>
    </xf>
    <xf numFmtId="0" fontId="719" fillId="719" borderId="662" xfId="0" applyFont="1" applyFill="1" applyBorder="1" applyAlignment="1">
      <alignment horizontal="center" vertical="center"/>
    </xf>
    <xf numFmtId="0" fontId="720" fillId="720" borderId="663" xfId="0" applyFont="1" applyFill="1" applyBorder="1" applyAlignment="1">
      <alignment horizontal="center" vertical="center"/>
    </xf>
    <xf numFmtId="0" fontId="721" fillId="721" borderId="664" xfId="0" applyFont="1" applyFill="1" applyBorder="1" applyAlignment="1">
      <alignment horizontal="center" vertical="center"/>
    </xf>
    <xf numFmtId="0" fontId="722" fillId="722" borderId="665" xfId="0" applyFont="1" applyFill="1" applyBorder="1" applyAlignment="1">
      <alignment horizontal="center" vertical="center"/>
    </xf>
    <xf numFmtId="0" fontId="723" fillId="723" borderId="666" xfId="0" applyFont="1" applyFill="1" applyBorder="1" applyAlignment="1">
      <alignment horizontal="center" vertical="center"/>
    </xf>
    <xf numFmtId="0" fontId="724" fillId="724" borderId="667" xfId="0" applyFont="1" applyFill="1" applyBorder="1" applyAlignment="1">
      <alignment horizontal="center" vertical="center"/>
    </xf>
    <xf numFmtId="2" fontId="725" fillId="725" borderId="668" xfId="0" applyNumberFormat="1" applyFont="1" applyFill="1" applyBorder="1" applyAlignment="1">
      <alignment horizontal="center"/>
    </xf>
    <xf numFmtId="0" fontId="726" fillId="726" borderId="669" xfId="0" applyFont="1" applyFill="1" applyBorder="1" applyAlignment="1">
      <alignment horizontal="center"/>
    </xf>
    <xf numFmtId="1" fontId="727" fillId="727" borderId="670" xfId="0" applyNumberFormat="1" applyFont="1" applyFill="1" applyBorder="1" applyAlignment="1">
      <alignment horizontal="center"/>
    </xf>
    <xf numFmtId="0" fontId="728" fillId="728" borderId="671" xfId="0" applyFont="1" applyFill="1" applyBorder="1"/>
    <xf numFmtId="0" fontId="729" fillId="729" borderId="672" xfId="0" applyFont="1" applyFill="1" applyBorder="1"/>
    <xf numFmtId="0" fontId="730" fillId="730" borderId="673" xfId="0" applyFont="1" applyFill="1" applyBorder="1"/>
    <xf numFmtId="0" fontId="731" fillId="731" borderId="674" xfId="0" applyFont="1" applyFill="1" applyBorder="1" applyAlignment="1">
      <alignment horizontal="center" vertical="center"/>
    </xf>
    <xf numFmtId="0" fontId="732" fillId="732" borderId="675" xfId="0" applyFont="1" applyFill="1" applyBorder="1" applyAlignment="1">
      <alignment horizontal="center" vertical="center"/>
    </xf>
    <xf numFmtId="0" fontId="733" fillId="733" borderId="676" xfId="0" applyFont="1" applyFill="1" applyBorder="1" applyAlignment="1">
      <alignment horizontal="center" vertical="center"/>
    </xf>
    <xf numFmtId="0" fontId="734" fillId="734" borderId="677" xfId="0" applyFont="1" applyFill="1" applyBorder="1" applyAlignment="1">
      <alignment horizontal="center" vertical="center"/>
    </xf>
    <xf numFmtId="0" fontId="735" fillId="735" borderId="678" xfId="0" applyFont="1" applyFill="1" applyBorder="1" applyAlignment="1">
      <alignment horizontal="center" vertical="center"/>
    </xf>
    <xf numFmtId="0" fontId="736" fillId="736" borderId="679" xfId="0" applyFont="1" applyFill="1" applyBorder="1" applyAlignment="1">
      <alignment horizontal="center" vertical="center"/>
    </xf>
    <xf numFmtId="0" fontId="737" fillId="737" borderId="680" xfId="0" applyFont="1" applyFill="1" applyBorder="1" applyAlignment="1">
      <alignment horizontal="center" vertical="center"/>
    </xf>
    <xf numFmtId="2" fontId="738" fillId="738" borderId="681" xfId="0" applyNumberFormat="1" applyFont="1" applyFill="1" applyBorder="1" applyAlignment="1">
      <alignment horizontal="center"/>
    </xf>
    <xf numFmtId="0" fontId="739" fillId="739" borderId="682" xfId="0" applyFont="1" applyFill="1" applyBorder="1" applyAlignment="1">
      <alignment horizontal="center"/>
    </xf>
    <xf numFmtId="1" fontId="740" fillId="740" borderId="683" xfId="0" applyNumberFormat="1" applyFont="1" applyFill="1" applyBorder="1" applyAlignment="1">
      <alignment horizontal="center"/>
    </xf>
    <xf numFmtId="0" fontId="741" fillId="741" borderId="684" xfId="0" applyFont="1" applyFill="1" applyBorder="1"/>
    <xf numFmtId="0" fontId="742" fillId="742" borderId="685" xfId="0" applyFont="1" applyFill="1" applyBorder="1"/>
    <xf numFmtId="0" fontId="743" fillId="743" borderId="686" xfId="0" applyFont="1" applyFill="1" applyBorder="1"/>
    <xf numFmtId="0" fontId="744" fillId="744" borderId="687" xfId="0" applyFont="1" applyFill="1" applyBorder="1" applyAlignment="1">
      <alignment horizontal="center" vertical="center"/>
    </xf>
    <xf numFmtId="0" fontId="745" fillId="745" borderId="688" xfId="0" applyFont="1" applyFill="1" applyBorder="1" applyAlignment="1">
      <alignment horizontal="center" vertical="center"/>
    </xf>
    <xf numFmtId="0" fontId="746" fillId="746" borderId="689" xfId="0" applyFont="1" applyFill="1" applyBorder="1" applyAlignment="1">
      <alignment horizontal="center" vertical="center"/>
    </xf>
    <xf numFmtId="0" fontId="747" fillId="747" borderId="690" xfId="0" applyFont="1" applyFill="1" applyBorder="1" applyAlignment="1">
      <alignment horizontal="center" vertical="center"/>
    </xf>
    <xf numFmtId="0" fontId="748" fillId="748" borderId="691" xfId="0" applyFont="1" applyFill="1" applyBorder="1" applyAlignment="1">
      <alignment horizontal="center" vertical="center"/>
    </xf>
    <xf numFmtId="0" fontId="749" fillId="749" borderId="692" xfId="0" applyFont="1" applyFill="1" applyBorder="1" applyAlignment="1">
      <alignment horizontal="center" vertical="center"/>
    </xf>
    <xf numFmtId="0" fontId="750" fillId="750" borderId="693" xfId="0" applyFont="1" applyFill="1" applyBorder="1" applyAlignment="1">
      <alignment horizontal="center" vertical="center"/>
    </xf>
    <xf numFmtId="2" fontId="751" fillId="751" borderId="694" xfId="0" applyNumberFormat="1" applyFont="1" applyFill="1" applyBorder="1" applyAlignment="1">
      <alignment horizontal="center"/>
    </xf>
    <xf numFmtId="0" fontId="752" fillId="752" borderId="695" xfId="0" applyFont="1" applyFill="1" applyBorder="1" applyAlignment="1">
      <alignment horizontal="center"/>
    </xf>
    <xf numFmtId="1" fontId="753" fillId="753" borderId="696" xfId="0" applyNumberFormat="1" applyFont="1" applyFill="1" applyBorder="1" applyAlignment="1">
      <alignment horizontal="center"/>
    </xf>
    <xf numFmtId="0" fontId="754" fillId="754" borderId="697" xfId="0" applyFont="1" applyFill="1" applyBorder="1"/>
    <xf numFmtId="0" fontId="755" fillId="755" borderId="698" xfId="0" applyFont="1" applyFill="1" applyBorder="1"/>
    <xf numFmtId="0" fontId="756" fillId="756" borderId="699" xfId="0" applyFont="1" applyFill="1" applyBorder="1"/>
    <xf numFmtId="0" fontId="757" fillId="757" borderId="700" xfId="0" applyFont="1" applyFill="1" applyBorder="1" applyAlignment="1">
      <alignment horizontal="center" vertical="center"/>
    </xf>
    <xf numFmtId="0" fontId="758" fillId="758" borderId="701" xfId="0" applyFont="1" applyFill="1" applyBorder="1" applyAlignment="1">
      <alignment horizontal="center" vertical="center"/>
    </xf>
    <xf numFmtId="0" fontId="759" fillId="759" borderId="702" xfId="0" applyFont="1" applyFill="1" applyBorder="1" applyAlignment="1">
      <alignment horizontal="center" vertical="center"/>
    </xf>
    <xf numFmtId="0" fontId="760" fillId="760" borderId="703" xfId="0" applyFont="1" applyFill="1" applyBorder="1" applyAlignment="1">
      <alignment horizontal="center" vertical="center"/>
    </xf>
    <xf numFmtId="0" fontId="761" fillId="761" borderId="704" xfId="0" applyFont="1" applyFill="1" applyBorder="1" applyAlignment="1">
      <alignment horizontal="center" vertical="center"/>
    </xf>
    <xf numFmtId="0" fontId="762" fillId="762" borderId="705" xfId="0" applyFont="1" applyFill="1" applyBorder="1" applyAlignment="1">
      <alignment horizontal="center" vertical="center"/>
    </xf>
    <xf numFmtId="0" fontId="763" fillId="763" borderId="706" xfId="0" applyFont="1" applyFill="1" applyBorder="1" applyAlignment="1">
      <alignment horizontal="center" vertical="center"/>
    </xf>
    <xf numFmtId="2" fontId="764" fillId="764" borderId="707" xfId="0" applyNumberFormat="1" applyFont="1" applyFill="1" applyBorder="1" applyAlignment="1">
      <alignment horizontal="center"/>
    </xf>
    <xf numFmtId="0" fontId="765" fillId="765" borderId="708" xfId="0" applyFont="1" applyFill="1" applyBorder="1" applyAlignment="1">
      <alignment horizontal="center"/>
    </xf>
    <xf numFmtId="1" fontId="766" fillId="766" borderId="709" xfId="0" applyNumberFormat="1" applyFont="1" applyFill="1" applyBorder="1" applyAlignment="1">
      <alignment horizontal="center"/>
    </xf>
    <xf numFmtId="0" fontId="767" fillId="767" borderId="710" xfId="0" applyFont="1" applyFill="1" applyBorder="1"/>
    <xf numFmtId="0" fontId="768" fillId="768" borderId="711" xfId="0" applyFont="1" applyFill="1" applyBorder="1"/>
    <xf numFmtId="0" fontId="769" fillId="769" borderId="712" xfId="0" applyFont="1" applyFill="1" applyBorder="1"/>
    <xf numFmtId="0" fontId="770" fillId="770" borderId="713" xfId="0" applyFont="1" applyFill="1" applyBorder="1" applyAlignment="1">
      <alignment horizontal="center" vertical="center"/>
    </xf>
    <xf numFmtId="0" fontId="771" fillId="771" borderId="714" xfId="0" applyFont="1" applyFill="1" applyBorder="1" applyAlignment="1">
      <alignment horizontal="center" vertical="center"/>
    </xf>
    <xf numFmtId="0" fontId="772" fillId="772" borderId="715" xfId="0" applyFont="1" applyFill="1" applyBorder="1" applyAlignment="1">
      <alignment horizontal="center" vertical="center"/>
    </xf>
    <xf numFmtId="0" fontId="773" fillId="773" borderId="716" xfId="0" applyFont="1" applyFill="1" applyBorder="1" applyAlignment="1">
      <alignment horizontal="center" vertical="center"/>
    </xf>
    <xf numFmtId="0" fontId="774" fillId="774" borderId="717" xfId="0" applyFont="1" applyFill="1" applyBorder="1" applyAlignment="1">
      <alignment horizontal="center" vertical="center"/>
    </xf>
    <xf numFmtId="0" fontId="775" fillId="775" borderId="718" xfId="0" applyFont="1" applyFill="1" applyBorder="1" applyAlignment="1">
      <alignment horizontal="center" vertical="center"/>
    </xf>
    <xf numFmtId="0" fontId="776" fillId="776" borderId="719" xfId="0" applyFont="1" applyFill="1" applyBorder="1" applyAlignment="1">
      <alignment horizontal="center" vertical="center"/>
    </xf>
    <xf numFmtId="2" fontId="777" fillId="777" borderId="720" xfId="0" applyNumberFormat="1" applyFont="1" applyFill="1" applyBorder="1" applyAlignment="1">
      <alignment horizontal="center"/>
    </xf>
    <xf numFmtId="0" fontId="778" fillId="778" borderId="721" xfId="0" applyFont="1" applyFill="1" applyBorder="1" applyAlignment="1">
      <alignment horizontal="center"/>
    </xf>
    <xf numFmtId="1" fontId="779" fillId="779" borderId="722" xfId="0" applyNumberFormat="1" applyFont="1" applyFill="1" applyBorder="1" applyAlignment="1">
      <alignment horizontal="center"/>
    </xf>
    <xf numFmtId="0" fontId="780" fillId="780" borderId="723" xfId="0" applyFont="1" applyFill="1" applyBorder="1"/>
    <xf numFmtId="0" fontId="781" fillId="781" borderId="724" xfId="0" applyFont="1" applyFill="1" applyBorder="1"/>
    <xf numFmtId="0" fontId="782" fillId="782" borderId="725" xfId="0" applyFont="1" applyFill="1" applyBorder="1"/>
    <xf numFmtId="0" fontId="783" fillId="783" borderId="726" xfId="0" applyFont="1" applyFill="1" applyBorder="1" applyAlignment="1">
      <alignment horizontal="center" vertical="center"/>
    </xf>
    <xf numFmtId="0" fontId="784" fillId="784" borderId="727" xfId="0" applyFont="1" applyFill="1" applyBorder="1" applyAlignment="1">
      <alignment horizontal="center" vertical="center"/>
    </xf>
    <xf numFmtId="0" fontId="785" fillId="785" borderId="728" xfId="0" applyFont="1" applyFill="1" applyBorder="1" applyAlignment="1">
      <alignment horizontal="center" vertical="center"/>
    </xf>
    <xf numFmtId="0" fontId="786" fillId="786" borderId="729" xfId="0" applyFont="1" applyFill="1" applyBorder="1" applyAlignment="1">
      <alignment horizontal="center" vertical="center"/>
    </xf>
    <xf numFmtId="0" fontId="787" fillId="787" borderId="730" xfId="0" applyFont="1" applyFill="1" applyBorder="1" applyAlignment="1">
      <alignment horizontal="center" vertical="center"/>
    </xf>
    <xf numFmtId="0" fontId="788" fillId="788" borderId="731" xfId="0" applyFont="1" applyFill="1" applyBorder="1" applyAlignment="1">
      <alignment horizontal="center" vertical="center"/>
    </xf>
    <xf numFmtId="0" fontId="789" fillId="789" borderId="732" xfId="0" applyFont="1" applyFill="1" applyBorder="1" applyAlignment="1">
      <alignment horizontal="center" vertical="center"/>
    </xf>
    <xf numFmtId="2" fontId="790" fillId="790" borderId="733" xfId="0" applyNumberFormat="1" applyFont="1" applyFill="1" applyBorder="1" applyAlignment="1">
      <alignment horizontal="center"/>
    </xf>
    <xf numFmtId="0" fontId="791" fillId="791" borderId="734" xfId="0" applyFont="1" applyFill="1" applyBorder="1" applyAlignment="1">
      <alignment horizontal="center"/>
    </xf>
    <xf numFmtId="1" fontId="792" fillId="792" borderId="735" xfId="0" applyNumberFormat="1" applyFont="1" applyFill="1" applyBorder="1" applyAlignment="1">
      <alignment horizontal="center"/>
    </xf>
    <xf numFmtId="0" fontId="793" fillId="793" borderId="736" xfId="0" applyFont="1" applyFill="1" applyBorder="1"/>
    <xf numFmtId="0" fontId="794" fillId="794" borderId="737" xfId="0" applyFont="1" applyFill="1" applyBorder="1"/>
    <xf numFmtId="0" fontId="795" fillId="795" borderId="738" xfId="0" applyFont="1" applyFill="1" applyBorder="1"/>
    <xf numFmtId="0" fontId="796" fillId="796" borderId="739" xfId="0" applyFont="1" applyFill="1" applyBorder="1" applyAlignment="1">
      <alignment horizontal="center" vertical="center"/>
    </xf>
    <xf numFmtId="0" fontId="797" fillId="797" borderId="740" xfId="0" applyFont="1" applyFill="1" applyBorder="1" applyAlignment="1">
      <alignment horizontal="center" vertical="center"/>
    </xf>
    <xf numFmtId="0" fontId="798" fillId="798" borderId="741" xfId="0" applyFont="1" applyFill="1" applyBorder="1" applyAlignment="1">
      <alignment horizontal="center" vertical="center"/>
    </xf>
    <xf numFmtId="0" fontId="799" fillId="799" borderId="742" xfId="0" applyFont="1" applyFill="1" applyBorder="1" applyAlignment="1">
      <alignment horizontal="center" vertical="center"/>
    </xf>
    <xf numFmtId="0" fontId="800" fillId="800" borderId="743" xfId="0" applyFont="1" applyFill="1" applyBorder="1" applyAlignment="1">
      <alignment horizontal="center" vertical="center"/>
    </xf>
    <xf numFmtId="0" fontId="801" fillId="801" borderId="744" xfId="0" applyFont="1" applyFill="1" applyBorder="1" applyAlignment="1">
      <alignment horizontal="center" vertical="center"/>
    </xf>
    <xf numFmtId="0" fontId="802" fillId="802" borderId="745" xfId="0" applyFont="1" applyFill="1" applyBorder="1" applyAlignment="1">
      <alignment horizontal="center" vertical="center"/>
    </xf>
    <xf numFmtId="2" fontId="803" fillId="803" borderId="746" xfId="0" applyNumberFormat="1" applyFont="1" applyFill="1" applyBorder="1" applyAlignment="1">
      <alignment horizontal="center"/>
    </xf>
    <xf numFmtId="0" fontId="804" fillId="804" borderId="747" xfId="0" applyFont="1" applyFill="1" applyBorder="1" applyAlignment="1">
      <alignment horizontal="center"/>
    </xf>
    <xf numFmtId="1" fontId="805" fillId="805" borderId="748" xfId="0" applyNumberFormat="1" applyFont="1" applyFill="1" applyBorder="1" applyAlignment="1">
      <alignment horizontal="center"/>
    </xf>
    <xf numFmtId="0" fontId="806" fillId="806" borderId="749" xfId="0" applyFont="1" applyFill="1" applyBorder="1"/>
    <xf numFmtId="0" fontId="807" fillId="807" borderId="750" xfId="0" applyFont="1" applyFill="1" applyBorder="1"/>
    <xf numFmtId="0" fontId="808" fillId="808" borderId="751" xfId="0" applyFont="1" applyFill="1" applyBorder="1"/>
    <xf numFmtId="0" fontId="809" fillId="809" borderId="752" xfId="0" applyFont="1" applyFill="1" applyBorder="1" applyAlignment="1">
      <alignment horizontal="center" vertical="center"/>
    </xf>
    <xf numFmtId="0" fontId="810" fillId="810" borderId="753" xfId="0" applyFont="1" applyFill="1" applyBorder="1" applyAlignment="1">
      <alignment horizontal="center" vertical="center"/>
    </xf>
    <xf numFmtId="0" fontId="811" fillId="811" borderId="754" xfId="0" applyFont="1" applyFill="1" applyBorder="1" applyAlignment="1">
      <alignment horizontal="center" vertical="center"/>
    </xf>
    <xf numFmtId="0" fontId="812" fillId="812" borderId="755" xfId="0" applyFont="1" applyFill="1" applyBorder="1" applyAlignment="1">
      <alignment horizontal="center" vertical="center"/>
    </xf>
    <xf numFmtId="0" fontId="813" fillId="813" borderId="756" xfId="0" applyFont="1" applyFill="1" applyBorder="1" applyAlignment="1">
      <alignment horizontal="center" vertical="center"/>
    </xf>
    <xf numFmtId="0" fontId="814" fillId="814" borderId="757" xfId="0" applyFont="1" applyFill="1" applyBorder="1" applyAlignment="1">
      <alignment horizontal="center" vertical="center"/>
    </xf>
    <xf numFmtId="0" fontId="815" fillId="815" borderId="758" xfId="0" applyFont="1" applyFill="1" applyBorder="1" applyAlignment="1">
      <alignment horizontal="center" vertical="center"/>
    </xf>
    <xf numFmtId="2" fontId="816" fillId="816" borderId="759" xfId="0" applyNumberFormat="1" applyFont="1" applyFill="1" applyBorder="1" applyAlignment="1">
      <alignment horizontal="center"/>
    </xf>
    <xf numFmtId="0" fontId="817" fillId="817" borderId="760" xfId="0" applyFont="1" applyFill="1" applyBorder="1" applyAlignment="1">
      <alignment horizontal="center"/>
    </xf>
    <xf numFmtId="1" fontId="818" fillId="818" borderId="761" xfId="0" applyNumberFormat="1" applyFont="1" applyFill="1" applyBorder="1" applyAlignment="1">
      <alignment horizontal="center"/>
    </xf>
    <xf numFmtId="0" fontId="819" fillId="819" borderId="762" xfId="0" applyFont="1" applyFill="1" applyBorder="1"/>
    <xf numFmtId="0" fontId="820" fillId="820" borderId="763" xfId="0" applyFont="1" applyFill="1" applyBorder="1"/>
    <xf numFmtId="0" fontId="821" fillId="821" borderId="764" xfId="0" applyFont="1" applyFill="1" applyBorder="1"/>
    <xf numFmtId="0" fontId="822" fillId="822" borderId="765" xfId="0" applyFont="1" applyFill="1" applyBorder="1" applyAlignment="1">
      <alignment horizontal="center" vertical="center"/>
    </xf>
    <xf numFmtId="0" fontId="823" fillId="823" borderId="766" xfId="0" applyFont="1" applyFill="1" applyBorder="1" applyAlignment="1">
      <alignment horizontal="center" vertical="center"/>
    </xf>
    <xf numFmtId="0" fontId="824" fillId="824" borderId="767" xfId="0" applyFont="1" applyFill="1" applyBorder="1" applyAlignment="1">
      <alignment horizontal="center" vertical="center"/>
    </xf>
    <xf numFmtId="0" fontId="825" fillId="825" borderId="768" xfId="0" applyFont="1" applyFill="1" applyBorder="1" applyAlignment="1">
      <alignment horizontal="center" vertical="center"/>
    </xf>
    <xf numFmtId="0" fontId="826" fillId="826" borderId="769" xfId="0" applyFont="1" applyFill="1" applyBorder="1" applyAlignment="1">
      <alignment horizontal="center" vertical="center"/>
    </xf>
    <xf numFmtId="0" fontId="827" fillId="827" borderId="770" xfId="0" applyFont="1" applyFill="1" applyBorder="1" applyAlignment="1">
      <alignment horizontal="center" vertical="center"/>
    </xf>
    <xf numFmtId="0" fontId="828" fillId="828" borderId="771" xfId="0" applyFont="1" applyFill="1" applyBorder="1" applyAlignment="1">
      <alignment horizontal="center" vertical="center"/>
    </xf>
    <xf numFmtId="2" fontId="829" fillId="829" borderId="772" xfId="0" applyNumberFormat="1" applyFont="1" applyFill="1" applyBorder="1" applyAlignment="1">
      <alignment horizontal="center"/>
    </xf>
    <xf numFmtId="0" fontId="830" fillId="830" borderId="773" xfId="0" applyFont="1" applyFill="1" applyBorder="1" applyAlignment="1">
      <alignment horizontal="center"/>
    </xf>
    <xf numFmtId="1" fontId="831" fillId="831" borderId="774" xfId="0" applyNumberFormat="1" applyFont="1" applyFill="1" applyBorder="1" applyAlignment="1">
      <alignment horizontal="center"/>
    </xf>
    <xf numFmtId="0" fontId="832" fillId="832" borderId="775" xfId="0" applyFont="1" applyFill="1" applyBorder="1"/>
    <xf numFmtId="0" fontId="833" fillId="833" borderId="776" xfId="0" applyFont="1" applyFill="1" applyBorder="1"/>
    <xf numFmtId="0" fontId="834" fillId="834" borderId="777" xfId="0" applyFont="1" applyFill="1" applyBorder="1"/>
    <xf numFmtId="0" fontId="835" fillId="835" borderId="778" xfId="0" applyFont="1" applyFill="1" applyBorder="1" applyAlignment="1">
      <alignment horizontal="center" vertical="center"/>
    </xf>
    <xf numFmtId="0" fontId="836" fillId="836" borderId="779" xfId="0" applyFont="1" applyFill="1" applyBorder="1" applyAlignment="1">
      <alignment horizontal="center" vertical="center"/>
    </xf>
    <xf numFmtId="0" fontId="837" fillId="837" borderId="780" xfId="0" applyFont="1" applyFill="1" applyBorder="1" applyAlignment="1">
      <alignment horizontal="center" vertical="center"/>
    </xf>
    <xf numFmtId="0" fontId="838" fillId="838" borderId="781" xfId="0" applyFont="1" applyFill="1" applyBorder="1" applyAlignment="1">
      <alignment horizontal="center" vertical="center"/>
    </xf>
    <xf numFmtId="0" fontId="839" fillId="839" borderId="782" xfId="0" applyFont="1" applyFill="1" applyBorder="1" applyAlignment="1">
      <alignment horizontal="center" vertical="center"/>
    </xf>
    <xf numFmtId="0" fontId="840" fillId="840" borderId="783" xfId="0" applyFont="1" applyFill="1" applyBorder="1" applyAlignment="1">
      <alignment horizontal="center" vertical="center"/>
    </xf>
    <xf numFmtId="0" fontId="841" fillId="841" borderId="784" xfId="0" applyFont="1" applyFill="1" applyBorder="1" applyAlignment="1">
      <alignment horizontal="center" vertical="center"/>
    </xf>
    <xf numFmtId="2" fontId="842" fillId="842" borderId="785" xfId="0" applyNumberFormat="1" applyFont="1" applyFill="1" applyBorder="1" applyAlignment="1">
      <alignment horizontal="center"/>
    </xf>
    <xf numFmtId="0" fontId="843" fillId="843" borderId="786" xfId="0" applyFont="1" applyFill="1" applyBorder="1" applyAlignment="1">
      <alignment horizontal="center"/>
    </xf>
    <xf numFmtId="1" fontId="844" fillId="844" borderId="787" xfId="0" applyNumberFormat="1" applyFont="1" applyFill="1" applyBorder="1" applyAlignment="1">
      <alignment horizontal="center"/>
    </xf>
    <xf numFmtId="0" fontId="845" fillId="845" borderId="788" xfId="0" applyFont="1" applyFill="1" applyBorder="1"/>
    <xf numFmtId="0" fontId="846" fillId="846" borderId="789" xfId="0" applyFont="1" applyFill="1" applyBorder="1"/>
    <xf numFmtId="0" fontId="847" fillId="847" borderId="790" xfId="0" applyFont="1" applyFill="1" applyBorder="1"/>
    <xf numFmtId="0" fontId="848" fillId="848" borderId="791" xfId="0" applyFont="1" applyFill="1" applyBorder="1" applyAlignment="1">
      <alignment horizontal="center" vertical="center"/>
    </xf>
    <xf numFmtId="0" fontId="849" fillId="849" borderId="792" xfId="0" applyFont="1" applyFill="1" applyBorder="1" applyAlignment="1">
      <alignment horizontal="center" vertical="center"/>
    </xf>
    <xf numFmtId="0" fontId="850" fillId="850" borderId="793" xfId="0" applyFont="1" applyFill="1" applyBorder="1" applyAlignment="1">
      <alignment horizontal="center" vertical="center"/>
    </xf>
    <xf numFmtId="0" fontId="851" fillId="851" borderId="794" xfId="0" applyFont="1" applyFill="1" applyBorder="1" applyAlignment="1">
      <alignment horizontal="center" vertical="center"/>
    </xf>
    <xf numFmtId="0" fontId="852" fillId="852" borderId="795" xfId="0" applyFont="1" applyFill="1" applyBorder="1" applyAlignment="1">
      <alignment horizontal="center" vertical="center"/>
    </xf>
    <xf numFmtId="0" fontId="853" fillId="853" borderId="796" xfId="0" applyFont="1" applyFill="1" applyBorder="1" applyAlignment="1">
      <alignment horizontal="center" vertical="center"/>
    </xf>
    <xf numFmtId="0" fontId="854" fillId="854" borderId="797" xfId="0" applyFont="1" applyFill="1" applyBorder="1" applyAlignment="1">
      <alignment horizontal="center" vertical="center"/>
    </xf>
    <xf numFmtId="2" fontId="855" fillId="855" borderId="798" xfId="0" applyNumberFormat="1" applyFont="1" applyFill="1" applyBorder="1" applyAlignment="1">
      <alignment horizontal="center"/>
    </xf>
    <xf numFmtId="0" fontId="856" fillId="856" borderId="799" xfId="0" applyFont="1" applyFill="1" applyBorder="1" applyAlignment="1">
      <alignment horizontal="center"/>
    </xf>
    <xf numFmtId="1" fontId="857" fillId="857" borderId="800" xfId="0" applyNumberFormat="1" applyFont="1" applyFill="1" applyBorder="1" applyAlignment="1">
      <alignment horizontal="center"/>
    </xf>
    <xf numFmtId="0" fontId="858" fillId="858" borderId="801" xfId="0" applyFont="1" applyFill="1" applyBorder="1"/>
    <xf numFmtId="0" fontId="859" fillId="859" borderId="802" xfId="0" applyFont="1" applyFill="1" applyBorder="1"/>
    <xf numFmtId="0" fontId="860" fillId="860" borderId="803" xfId="0" applyFont="1" applyFill="1" applyBorder="1"/>
    <xf numFmtId="0" fontId="861" fillId="861" borderId="804" xfId="0" applyFont="1" applyFill="1" applyBorder="1" applyAlignment="1">
      <alignment horizontal="center" vertical="center"/>
    </xf>
    <xf numFmtId="0" fontId="862" fillId="862" borderId="805" xfId="0" applyFont="1" applyFill="1" applyBorder="1" applyAlignment="1">
      <alignment horizontal="center" vertical="center"/>
    </xf>
    <xf numFmtId="0" fontId="863" fillId="863" borderId="806" xfId="0" applyFont="1" applyFill="1" applyBorder="1" applyAlignment="1">
      <alignment horizontal="center" vertical="center"/>
    </xf>
    <xf numFmtId="0" fontId="864" fillId="864" borderId="807" xfId="0" applyFont="1" applyFill="1" applyBorder="1" applyAlignment="1">
      <alignment horizontal="center" vertical="center"/>
    </xf>
    <xf numFmtId="0" fontId="865" fillId="865" borderId="808" xfId="0" applyFont="1" applyFill="1" applyBorder="1" applyAlignment="1">
      <alignment horizontal="center" vertical="center"/>
    </xf>
    <xf numFmtId="0" fontId="866" fillId="866" borderId="809" xfId="0" applyFont="1" applyFill="1" applyBorder="1" applyAlignment="1">
      <alignment horizontal="center" vertical="center"/>
    </xf>
    <xf numFmtId="0" fontId="867" fillId="867" borderId="810" xfId="0" applyFont="1" applyFill="1" applyBorder="1" applyAlignment="1">
      <alignment horizontal="center" vertical="center"/>
    </xf>
    <xf numFmtId="2" fontId="868" fillId="868" borderId="811" xfId="0" applyNumberFormat="1" applyFont="1" applyFill="1" applyBorder="1" applyAlignment="1">
      <alignment horizontal="center"/>
    </xf>
    <xf numFmtId="0" fontId="869" fillId="869" borderId="812" xfId="0" applyFont="1" applyFill="1" applyBorder="1" applyAlignment="1">
      <alignment horizontal="center"/>
    </xf>
    <xf numFmtId="1" fontId="870" fillId="870" borderId="813" xfId="0" applyNumberFormat="1" applyFont="1" applyFill="1" applyBorder="1" applyAlignment="1">
      <alignment horizontal="center"/>
    </xf>
    <xf numFmtId="0" fontId="871" fillId="871" borderId="814" xfId="0" applyFont="1" applyFill="1" applyBorder="1"/>
    <xf numFmtId="0" fontId="872" fillId="872" borderId="815" xfId="0" applyFont="1" applyFill="1" applyBorder="1"/>
    <xf numFmtId="0" fontId="873" fillId="873" borderId="816" xfId="0" applyFont="1" applyFill="1" applyBorder="1"/>
    <xf numFmtId="0" fontId="874" fillId="874" borderId="817" xfId="0" applyFont="1" applyFill="1" applyBorder="1" applyAlignment="1">
      <alignment horizontal="center" vertical="center"/>
    </xf>
    <xf numFmtId="0" fontId="875" fillId="875" borderId="818" xfId="0" applyFont="1" applyFill="1" applyBorder="1" applyAlignment="1">
      <alignment horizontal="center" vertical="center"/>
    </xf>
    <xf numFmtId="0" fontId="876" fillId="876" borderId="819" xfId="0" applyFont="1" applyFill="1" applyBorder="1" applyAlignment="1">
      <alignment horizontal="center" vertical="center"/>
    </xf>
    <xf numFmtId="0" fontId="877" fillId="877" borderId="820" xfId="0" applyFont="1" applyFill="1" applyBorder="1" applyAlignment="1">
      <alignment horizontal="center" vertical="center"/>
    </xf>
    <xf numFmtId="0" fontId="878" fillId="878" borderId="821" xfId="0" applyFont="1" applyFill="1" applyBorder="1" applyAlignment="1">
      <alignment horizontal="center" vertical="center"/>
    </xf>
    <xf numFmtId="0" fontId="879" fillId="879" borderId="822" xfId="0" applyFont="1" applyFill="1" applyBorder="1" applyAlignment="1">
      <alignment horizontal="center" vertical="center"/>
    </xf>
    <xf numFmtId="0" fontId="880" fillId="880" borderId="823" xfId="0" applyFont="1" applyFill="1" applyBorder="1" applyAlignment="1">
      <alignment horizontal="center" vertical="center"/>
    </xf>
    <xf numFmtId="2" fontId="881" fillId="881" borderId="824" xfId="0" applyNumberFormat="1" applyFont="1" applyFill="1" applyBorder="1" applyAlignment="1">
      <alignment horizontal="center"/>
    </xf>
    <xf numFmtId="0" fontId="882" fillId="882" borderId="825" xfId="0" applyFont="1" applyFill="1" applyBorder="1" applyAlignment="1">
      <alignment horizontal="center"/>
    </xf>
    <xf numFmtId="1" fontId="883" fillId="883" borderId="826" xfId="0" applyNumberFormat="1" applyFont="1" applyFill="1" applyBorder="1" applyAlignment="1">
      <alignment horizontal="center"/>
    </xf>
    <xf numFmtId="0" fontId="884" fillId="884" borderId="827" xfId="0" applyFont="1" applyFill="1" applyBorder="1"/>
    <xf numFmtId="0" fontId="885" fillId="885" borderId="828" xfId="0" applyFont="1" applyFill="1" applyBorder="1"/>
    <xf numFmtId="0" fontId="886" fillId="886" borderId="829" xfId="0" applyFont="1" applyFill="1" applyBorder="1"/>
    <xf numFmtId="0" fontId="887" fillId="887" borderId="830" xfId="0" applyFont="1" applyFill="1" applyBorder="1" applyAlignment="1">
      <alignment horizontal="center" vertical="center"/>
    </xf>
    <xf numFmtId="0" fontId="888" fillId="888" borderId="831" xfId="0" applyFont="1" applyFill="1" applyBorder="1" applyAlignment="1">
      <alignment horizontal="center" vertical="center"/>
    </xf>
    <xf numFmtId="0" fontId="889" fillId="889" borderId="832" xfId="0" applyFont="1" applyFill="1" applyBorder="1" applyAlignment="1">
      <alignment horizontal="center" vertical="center"/>
    </xf>
    <xf numFmtId="0" fontId="890" fillId="890" borderId="833" xfId="0" applyFont="1" applyFill="1" applyBorder="1" applyAlignment="1">
      <alignment horizontal="center" vertical="center"/>
    </xf>
    <xf numFmtId="0" fontId="891" fillId="891" borderId="834" xfId="0" applyFont="1" applyFill="1" applyBorder="1" applyAlignment="1">
      <alignment horizontal="center" vertical="center"/>
    </xf>
    <xf numFmtId="0" fontId="892" fillId="892" borderId="835" xfId="0" applyFont="1" applyFill="1" applyBorder="1" applyAlignment="1">
      <alignment horizontal="center" vertical="center"/>
    </xf>
    <xf numFmtId="0" fontId="893" fillId="893" borderId="836" xfId="0" applyFont="1" applyFill="1" applyBorder="1" applyAlignment="1">
      <alignment horizontal="center" vertical="center"/>
    </xf>
    <xf numFmtId="2" fontId="894" fillId="894" borderId="837" xfId="0" applyNumberFormat="1" applyFont="1" applyFill="1" applyBorder="1" applyAlignment="1">
      <alignment horizontal="center"/>
    </xf>
    <xf numFmtId="0" fontId="895" fillId="895" borderId="838" xfId="0" applyFont="1" applyFill="1" applyBorder="1" applyAlignment="1">
      <alignment horizontal="center"/>
    </xf>
    <xf numFmtId="1" fontId="896" fillId="896" borderId="839" xfId="0" applyNumberFormat="1" applyFont="1" applyFill="1" applyBorder="1" applyAlignment="1">
      <alignment horizontal="center"/>
    </xf>
    <xf numFmtId="0" fontId="897" fillId="897" borderId="840" xfId="0" applyFont="1" applyFill="1" applyBorder="1"/>
    <xf numFmtId="0" fontId="898" fillId="898" borderId="841" xfId="0" applyFont="1" applyFill="1" applyBorder="1"/>
    <xf numFmtId="0" fontId="899" fillId="899" borderId="842" xfId="0" applyFont="1" applyFill="1" applyBorder="1"/>
    <xf numFmtId="0" fontId="900" fillId="900" borderId="843" xfId="0" applyFont="1" applyFill="1" applyBorder="1" applyAlignment="1">
      <alignment horizontal="center" vertical="center"/>
    </xf>
    <xf numFmtId="0" fontId="901" fillId="901" borderId="844" xfId="0" applyFont="1" applyFill="1" applyBorder="1" applyAlignment="1">
      <alignment horizontal="center" vertical="center"/>
    </xf>
    <xf numFmtId="0" fontId="902" fillId="902" borderId="845" xfId="0" applyFont="1" applyFill="1" applyBorder="1" applyAlignment="1">
      <alignment horizontal="center" vertical="center"/>
    </xf>
    <xf numFmtId="0" fontId="903" fillId="903" borderId="846" xfId="0" applyFont="1" applyFill="1" applyBorder="1" applyAlignment="1">
      <alignment horizontal="center" vertical="center"/>
    </xf>
    <xf numFmtId="0" fontId="904" fillId="904" borderId="847" xfId="0" applyFont="1" applyFill="1" applyBorder="1" applyAlignment="1">
      <alignment horizontal="center" vertical="center"/>
    </xf>
    <xf numFmtId="0" fontId="905" fillId="905" borderId="848" xfId="0" applyFont="1" applyFill="1" applyBorder="1" applyAlignment="1">
      <alignment horizontal="center" vertical="center"/>
    </xf>
    <xf numFmtId="0" fontId="906" fillId="906" borderId="849" xfId="0" applyFont="1" applyFill="1" applyBorder="1" applyAlignment="1">
      <alignment horizontal="center" vertical="center"/>
    </xf>
    <xf numFmtId="2" fontId="907" fillId="907" borderId="850" xfId="0" applyNumberFormat="1" applyFont="1" applyFill="1" applyBorder="1" applyAlignment="1">
      <alignment horizontal="center"/>
    </xf>
    <xf numFmtId="0" fontId="908" fillId="908" borderId="851" xfId="0" applyFont="1" applyFill="1" applyBorder="1" applyAlignment="1">
      <alignment horizontal="center"/>
    </xf>
    <xf numFmtId="1" fontId="909" fillId="909" borderId="852" xfId="0" applyNumberFormat="1" applyFont="1" applyFill="1" applyBorder="1" applyAlignment="1">
      <alignment horizontal="center"/>
    </xf>
    <xf numFmtId="0" fontId="910" fillId="910" borderId="853" xfId="0" applyFont="1" applyFill="1" applyBorder="1"/>
    <xf numFmtId="0" fontId="911" fillId="911" borderId="854" xfId="0" applyFont="1" applyFill="1" applyBorder="1"/>
    <xf numFmtId="0" fontId="912" fillId="912" borderId="855" xfId="0" applyFont="1" applyFill="1" applyBorder="1"/>
    <xf numFmtId="0" fontId="913" fillId="913" borderId="856" xfId="0" applyFont="1" applyFill="1" applyBorder="1" applyAlignment="1">
      <alignment horizontal="center" vertical="center"/>
    </xf>
    <xf numFmtId="0" fontId="914" fillId="914" borderId="857" xfId="0" applyFont="1" applyFill="1" applyBorder="1" applyAlignment="1">
      <alignment horizontal="center" vertical="center"/>
    </xf>
    <xf numFmtId="0" fontId="915" fillId="915" borderId="858" xfId="0" applyFont="1" applyFill="1" applyBorder="1" applyAlignment="1">
      <alignment horizontal="center" vertical="center"/>
    </xf>
    <xf numFmtId="0" fontId="916" fillId="916" borderId="859" xfId="0" applyFont="1" applyFill="1" applyBorder="1" applyAlignment="1">
      <alignment horizontal="center" vertical="center"/>
    </xf>
    <xf numFmtId="0" fontId="917" fillId="917" borderId="860" xfId="0" applyFont="1" applyFill="1" applyBorder="1" applyAlignment="1">
      <alignment horizontal="center" vertical="center"/>
    </xf>
    <xf numFmtId="0" fontId="918" fillId="918" borderId="861" xfId="0" applyFont="1" applyFill="1" applyBorder="1" applyAlignment="1">
      <alignment horizontal="center" vertical="center"/>
    </xf>
    <xf numFmtId="0" fontId="919" fillId="919" borderId="862" xfId="0" applyFont="1" applyFill="1" applyBorder="1" applyAlignment="1">
      <alignment horizontal="center" vertical="center"/>
    </xf>
    <xf numFmtId="2" fontId="920" fillId="920" borderId="863" xfId="0" applyNumberFormat="1" applyFont="1" applyFill="1" applyBorder="1" applyAlignment="1">
      <alignment horizontal="center"/>
    </xf>
    <xf numFmtId="0" fontId="921" fillId="921" borderId="864" xfId="0" applyFont="1" applyFill="1" applyBorder="1" applyAlignment="1">
      <alignment horizontal="center"/>
    </xf>
    <xf numFmtId="1" fontId="922" fillId="922" borderId="865" xfId="0" applyNumberFormat="1" applyFont="1" applyFill="1" applyBorder="1" applyAlignment="1">
      <alignment horizontal="center"/>
    </xf>
    <xf numFmtId="0" fontId="923" fillId="923" borderId="866" xfId="0" applyFont="1" applyFill="1" applyBorder="1"/>
    <xf numFmtId="0" fontId="924" fillId="924" borderId="867" xfId="0" applyFont="1" applyFill="1" applyBorder="1"/>
    <xf numFmtId="0" fontId="925" fillId="925" borderId="868" xfId="0" applyFont="1" applyFill="1" applyBorder="1"/>
    <xf numFmtId="0" fontId="926" fillId="926" borderId="869" xfId="0" applyFont="1" applyFill="1" applyBorder="1" applyAlignment="1">
      <alignment horizontal="center" vertical="center"/>
    </xf>
    <xf numFmtId="0" fontId="927" fillId="927" borderId="870" xfId="0" applyFont="1" applyFill="1" applyBorder="1" applyAlignment="1">
      <alignment horizontal="center" vertical="center"/>
    </xf>
    <xf numFmtId="0" fontId="928" fillId="928" borderId="871" xfId="0" applyFont="1" applyFill="1" applyBorder="1" applyAlignment="1">
      <alignment horizontal="center" vertical="center"/>
    </xf>
    <xf numFmtId="0" fontId="929" fillId="929" borderId="872" xfId="0" applyFont="1" applyFill="1" applyBorder="1" applyAlignment="1">
      <alignment horizontal="center" vertical="center"/>
    </xf>
    <xf numFmtId="0" fontId="930" fillId="930" borderId="873" xfId="0" applyFont="1" applyFill="1" applyBorder="1" applyAlignment="1">
      <alignment horizontal="center" vertical="center"/>
    </xf>
    <xf numFmtId="0" fontId="931" fillId="931" borderId="874" xfId="0" applyFont="1" applyFill="1" applyBorder="1" applyAlignment="1">
      <alignment horizontal="center" vertical="center"/>
    </xf>
    <xf numFmtId="0" fontId="932" fillId="932" borderId="875" xfId="0" applyFont="1" applyFill="1" applyBorder="1" applyAlignment="1">
      <alignment horizontal="center" vertical="center"/>
    </xf>
    <xf numFmtId="2" fontId="933" fillId="933" borderId="876" xfId="0" applyNumberFormat="1" applyFont="1" applyFill="1" applyBorder="1" applyAlignment="1">
      <alignment horizontal="center"/>
    </xf>
    <xf numFmtId="0" fontId="934" fillId="934" borderId="877" xfId="0" applyFont="1" applyFill="1" applyBorder="1" applyAlignment="1">
      <alignment horizontal="center"/>
    </xf>
    <xf numFmtId="1" fontId="935" fillId="935" borderId="878" xfId="0" applyNumberFormat="1" applyFont="1" applyFill="1" applyBorder="1" applyAlignment="1">
      <alignment horizontal="center"/>
    </xf>
    <xf numFmtId="0" fontId="936" fillId="936" borderId="879" xfId="0" applyFont="1" applyFill="1" applyBorder="1"/>
    <xf numFmtId="0" fontId="937" fillId="937" borderId="880" xfId="0" applyFont="1" applyFill="1" applyBorder="1"/>
    <xf numFmtId="0" fontId="938" fillId="938" borderId="881" xfId="0" applyFont="1" applyFill="1" applyBorder="1"/>
    <xf numFmtId="0" fontId="939" fillId="939" borderId="882" xfId="0" applyFont="1" applyFill="1" applyBorder="1" applyAlignment="1">
      <alignment horizontal="center" vertical="center"/>
    </xf>
    <xf numFmtId="0" fontId="940" fillId="940" borderId="883" xfId="0" applyFont="1" applyFill="1" applyBorder="1" applyAlignment="1">
      <alignment horizontal="center" vertical="center"/>
    </xf>
    <xf numFmtId="0" fontId="941" fillId="941" borderId="884" xfId="0" applyFont="1" applyFill="1" applyBorder="1" applyAlignment="1">
      <alignment horizontal="center" vertical="center"/>
    </xf>
    <xf numFmtId="0" fontId="942" fillId="942" borderId="885" xfId="0" applyFont="1" applyFill="1" applyBorder="1" applyAlignment="1">
      <alignment horizontal="center" vertical="center"/>
    </xf>
    <xf numFmtId="0" fontId="943" fillId="943" borderId="886" xfId="0" applyFont="1" applyFill="1" applyBorder="1" applyAlignment="1">
      <alignment horizontal="center" vertical="center"/>
    </xf>
    <xf numFmtId="0" fontId="944" fillId="944" borderId="887" xfId="0" applyFont="1" applyFill="1" applyBorder="1" applyAlignment="1">
      <alignment horizontal="center" vertical="center"/>
    </xf>
    <xf numFmtId="0" fontId="945" fillId="945" borderId="888" xfId="0" applyFont="1" applyFill="1" applyBorder="1" applyAlignment="1">
      <alignment horizontal="center" vertical="center"/>
    </xf>
    <xf numFmtId="2" fontId="946" fillId="946" borderId="889" xfId="0" applyNumberFormat="1" applyFont="1" applyFill="1" applyBorder="1" applyAlignment="1">
      <alignment horizontal="center"/>
    </xf>
    <xf numFmtId="0" fontId="947" fillId="947" borderId="890" xfId="0" applyFont="1" applyFill="1" applyBorder="1" applyAlignment="1">
      <alignment horizontal="center"/>
    </xf>
    <xf numFmtId="1" fontId="948" fillId="948" borderId="891" xfId="0" applyNumberFormat="1" applyFont="1" applyFill="1" applyBorder="1" applyAlignment="1">
      <alignment horizontal="center"/>
    </xf>
    <xf numFmtId="0" fontId="949" fillId="949" borderId="892" xfId="0" applyFont="1" applyFill="1" applyBorder="1"/>
    <xf numFmtId="0" fontId="950" fillId="950" borderId="893" xfId="0" applyFont="1" applyFill="1" applyBorder="1"/>
    <xf numFmtId="0" fontId="951" fillId="951" borderId="894" xfId="0" applyFont="1" applyFill="1" applyBorder="1"/>
    <xf numFmtId="0" fontId="952" fillId="952" borderId="895" xfId="0" applyFont="1" applyFill="1" applyBorder="1" applyAlignment="1">
      <alignment horizontal="center" vertical="center"/>
    </xf>
    <xf numFmtId="0" fontId="953" fillId="953" borderId="896" xfId="0" applyFont="1" applyFill="1" applyBorder="1" applyAlignment="1">
      <alignment horizontal="center" vertical="center"/>
    </xf>
    <xf numFmtId="0" fontId="954" fillId="954" borderId="897" xfId="0" applyFont="1" applyFill="1" applyBorder="1" applyAlignment="1">
      <alignment horizontal="center" vertical="center"/>
    </xf>
    <xf numFmtId="0" fontId="955" fillId="955" borderId="898" xfId="0" applyFont="1" applyFill="1" applyBorder="1" applyAlignment="1">
      <alignment horizontal="center" vertical="center"/>
    </xf>
    <xf numFmtId="0" fontId="956" fillId="956" borderId="899" xfId="0" applyFont="1" applyFill="1" applyBorder="1" applyAlignment="1">
      <alignment horizontal="center" vertical="center"/>
    </xf>
    <xf numFmtId="0" fontId="957" fillId="957" borderId="900" xfId="0" applyFont="1" applyFill="1" applyBorder="1" applyAlignment="1">
      <alignment horizontal="center" vertical="center"/>
    </xf>
    <xf numFmtId="0" fontId="958" fillId="958" borderId="901" xfId="0" applyFont="1" applyFill="1" applyBorder="1" applyAlignment="1">
      <alignment horizontal="center" vertical="center"/>
    </xf>
    <xf numFmtId="2" fontId="959" fillId="959" borderId="902" xfId="0" applyNumberFormat="1" applyFont="1" applyFill="1" applyBorder="1" applyAlignment="1">
      <alignment horizontal="center"/>
    </xf>
    <xf numFmtId="0" fontId="960" fillId="960" borderId="903" xfId="0" applyFont="1" applyFill="1" applyBorder="1" applyAlignment="1">
      <alignment horizontal="center"/>
    </xf>
    <xf numFmtId="1" fontId="961" fillId="961" borderId="904" xfId="0" applyNumberFormat="1" applyFont="1" applyFill="1" applyBorder="1" applyAlignment="1">
      <alignment horizontal="center"/>
    </xf>
    <xf numFmtId="0" fontId="962" fillId="962" borderId="905" xfId="0" applyFont="1" applyFill="1" applyBorder="1"/>
    <xf numFmtId="0" fontId="963" fillId="963" borderId="906" xfId="0" applyFont="1" applyFill="1" applyBorder="1"/>
    <xf numFmtId="0" fontId="964" fillId="964" borderId="907" xfId="0" applyFont="1" applyFill="1" applyBorder="1"/>
    <xf numFmtId="0" fontId="965" fillId="965" borderId="908" xfId="0" applyFont="1" applyFill="1" applyBorder="1" applyAlignment="1">
      <alignment horizontal="center" vertical="center"/>
    </xf>
    <xf numFmtId="0" fontId="966" fillId="966" borderId="909" xfId="0" applyFont="1" applyFill="1" applyBorder="1" applyAlignment="1">
      <alignment horizontal="center" vertical="center"/>
    </xf>
    <xf numFmtId="0" fontId="967" fillId="967" borderId="910" xfId="0" applyFont="1" applyFill="1" applyBorder="1" applyAlignment="1">
      <alignment horizontal="center" vertical="center"/>
    </xf>
    <xf numFmtId="0" fontId="968" fillId="968" borderId="911" xfId="0" applyFont="1" applyFill="1" applyBorder="1" applyAlignment="1">
      <alignment horizontal="center" vertical="center"/>
    </xf>
    <xf numFmtId="0" fontId="969" fillId="969" borderId="912" xfId="0" applyFont="1" applyFill="1" applyBorder="1" applyAlignment="1">
      <alignment horizontal="center" vertical="center"/>
    </xf>
    <xf numFmtId="0" fontId="970" fillId="970" borderId="913" xfId="0" applyFont="1" applyFill="1" applyBorder="1" applyAlignment="1">
      <alignment horizontal="center" vertical="center"/>
    </xf>
    <xf numFmtId="0" fontId="971" fillId="971" borderId="914" xfId="0" applyFont="1" applyFill="1" applyBorder="1" applyAlignment="1">
      <alignment horizontal="center" vertical="center"/>
    </xf>
    <xf numFmtId="2" fontId="972" fillId="972" borderId="915" xfId="0" applyNumberFormat="1" applyFont="1" applyFill="1" applyBorder="1" applyAlignment="1">
      <alignment horizontal="center"/>
    </xf>
    <xf numFmtId="0" fontId="973" fillId="973" borderId="916" xfId="0" applyFont="1" applyFill="1" applyBorder="1" applyAlignment="1">
      <alignment horizontal="center"/>
    </xf>
    <xf numFmtId="1" fontId="974" fillId="974" borderId="917" xfId="0" applyNumberFormat="1" applyFont="1" applyFill="1" applyBorder="1" applyAlignment="1">
      <alignment horizontal="center"/>
    </xf>
    <xf numFmtId="0" fontId="975" fillId="975" borderId="918" xfId="0" applyFont="1" applyFill="1" applyBorder="1"/>
    <xf numFmtId="0" fontId="976" fillId="976" borderId="919" xfId="0" applyFont="1" applyFill="1" applyBorder="1"/>
    <xf numFmtId="0" fontId="977" fillId="977" borderId="920" xfId="0" applyFont="1" applyFill="1" applyBorder="1"/>
    <xf numFmtId="0" fontId="978" fillId="978" borderId="921" xfId="0" applyFont="1" applyFill="1" applyBorder="1" applyAlignment="1">
      <alignment horizontal="center" vertical="center"/>
    </xf>
    <xf numFmtId="0" fontId="979" fillId="979" borderId="922" xfId="0" applyFont="1" applyFill="1" applyBorder="1" applyAlignment="1">
      <alignment horizontal="center" vertical="center"/>
    </xf>
    <xf numFmtId="0" fontId="980" fillId="980" borderId="923" xfId="0" applyFont="1" applyFill="1" applyBorder="1" applyAlignment="1">
      <alignment horizontal="center" vertical="center"/>
    </xf>
    <xf numFmtId="0" fontId="981" fillId="981" borderId="924" xfId="0" applyFont="1" applyFill="1" applyBorder="1" applyAlignment="1">
      <alignment horizontal="center" vertical="center"/>
    </xf>
    <xf numFmtId="0" fontId="982" fillId="982" borderId="925" xfId="0" applyFont="1" applyFill="1" applyBorder="1" applyAlignment="1">
      <alignment horizontal="center" vertical="center"/>
    </xf>
    <xf numFmtId="0" fontId="983" fillId="983" borderId="926" xfId="0" applyFont="1" applyFill="1" applyBorder="1" applyAlignment="1">
      <alignment horizontal="center" vertical="center"/>
    </xf>
    <xf numFmtId="0" fontId="984" fillId="984" borderId="927" xfId="0" applyFont="1" applyFill="1" applyBorder="1" applyAlignment="1">
      <alignment horizontal="center" vertical="center"/>
    </xf>
    <xf numFmtId="2" fontId="985" fillId="985" borderId="928" xfId="0" applyNumberFormat="1" applyFont="1" applyFill="1" applyBorder="1" applyAlignment="1">
      <alignment horizontal="center"/>
    </xf>
    <xf numFmtId="0" fontId="986" fillId="986" borderId="929" xfId="0" applyFont="1" applyFill="1" applyBorder="1" applyAlignment="1">
      <alignment horizontal="center"/>
    </xf>
    <xf numFmtId="1" fontId="987" fillId="987" borderId="930" xfId="0" applyNumberFormat="1" applyFont="1" applyFill="1" applyBorder="1" applyAlignment="1">
      <alignment horizontal="center"/>
    </xf>
    <xf numFmtId="0" fontId="988" fillId="988" borderId="931" xfId="0" applyFont="1" applyFill="1" applyBorder="1"/>
    <xf numFmtId="0" fontId="989" fillId="989" borderId="932" xfId="0" applyFont="1" applyFill="1" applyBorder="1"/>
    <xf numFmtId="0" fontId="990" fillId="990" borderId="933" xfId="0" applyFont="1" applyFill="1" applyBorder="1"/>
    <xf numFmtId="0" fontId="991" fillId="991" borderId="934" xfId="0" applyFont="1" applyFill="1" applyBorder="1" applyAlignment="1">
      <alignment horizontal="center" vertical="center"/>
    </xf>
    <xf numFmtId="0" fontId="992" fillId="992" borderId="935" xfId="0" applyFont="1" applyFill="1" applyBorder="1" applyAlignment="1">
      <alignment horizontal="center" vertical="center"/>
    </xf>
    <xf numFmtId="0" fontId="993" fillId="993" borderId="936" xfId="0" applyFont="1" applyFill="1" applyBorder="1" applyAlignment="1">
      <alignment horizontal="center" vertical="center"/>
    </xf>
    <xf numFmtId="0" fontId="994" fillId="994" borderId="937" xfId="0" applyFont="1" applyFill="1" applyBorder="1" applyAlignment="1">
      <alignment horizontal="center" vertical="center"/>
    </xf>
    <xf numFmtId="0" fontId="995" fillId="995" borderId="938" xfId="0" applyFont="1" applyFill="1" applyBorder="1" applyAlignment="1">
      <alignment horizontal="center" vertical="center"/>
    </xf>
    <xf numFmtId="0" fontId="996" fillId="996" borderId="939" xfId="0" applyFont="1" applyFill="1" applyBorder="1" applyAlignment="1">
      <alignment horizontal="center" vertical="center"/>
    </xf>
    <xf numFmtId="0" fontId="997" fillId="997" borderId="940" xfId="0" applyFont="1" applyFill="1" applyBorder="1" applyAlignment="1">
      <alignment horizontal="center" vertical="center"/>
    </xf>
    <xf numFmtId="2" fontId="998" fillId="998" borderId="941" xfId="0" applyNumberFormat="1" applyFont="1" applyFill="1" applyBorder="1" applyAlignment="1">
      <alignment horizontal="center"/>
    </xf>
    <xf numFmtId="0" fontId="999" fillId="999" borderId="942" xfId="0" applyFont="1" applyFill="1" applyBorder="1" applyAlignment="1">
      <alignment horizontal="center"/>
    </xf>
    <xf numFmtId="1" fontId="1000" fillId="1000" borderId="943" xfId="0" applyNumberFormat="1" applyFont="1" applyFill="1" applyBorder="1" applyAlignment="1">
      <alignment horizontal="center"/>
    </xf>
    <xf numFmtId="0" fontId="1001" fillId="1001" borderId="944" xfId="0" applyFont="1" applyFill="1" applyBorder="1"/>
    <xf numFmtId="0" fontId="1002" fillId="1002" borderId="945" xfId="0" applyFont="1" applyFill="1" applyBorder="1"/>
    <xf numFmtId="0" fontId="1003" fillId="1003" borderId="946" xfId="0" applyFont="1" applyFill="1" applyBorder="1"/>
    <xf numFmtId="0" fontId="1004" fillId="1004" borderId="947" xfId="0" applyFont="1" applyFill="1" applyBorder="1" applyAlignment="1">
      <alignment horizontal="center" vertical="center"/>
    </xf>
    <xf numFmtId="0" fontId="1005" fillId="1005" borderId="948" xfId="0" applyFont="1" applyFill="1" applyBorder="1" applyAlignment="1">
      <alignment horizontal="center" vertical="center"/>
    </xf>
    <xf numFmtId="0" fontId="1006" fillId="1006" borderId="949" xfId="0" applyFont="1" applyFill="1" applyBorder="1" applyAlignment="1">
      <alignment horizontal="center" vertical="center"/>
    </xf>
    <xf numFmtId="0" fontId="1007" fillId="1007" borderId="950" xfId="0" applyFont="1" applyFill="1" applyBorder="1" applyAlignment="1">
      <alignment horizontal="center" vertical="center"/>
    </xf>
    <xf numFmtId="0" fontId="1008" fillId="1008" borderId="951" xfId="0" applyFont="1" applyFill="1" applyBorder="1" applyAlignment="1">
      <alignment horizontal="center" vertical="center"/>
    </xf>
    <xf numFmtId="0" fontId="1009" fillId="1009" borderId="952" xfId="0" applyFont="1" applyFill="1" applyBorder="1" applyAlignment="1">
      <alignment horizontal="center" vertical="center"/>
    </xf>
    <xf numFmtId="0" fontId="1010" fillId="1010" borderId="953" xfId="0" applyFont="1" applyFill="1" applyBorder="1" applyAlignment="1">
      <alignment horizontal="center" vertical="center"/>
    </xf>
    <xf numFmtId="2" fontId="1011" fillId="1011" borderId="954" xfId="0" applyNumberFormat="1" applyFont="1" applyFill="1" applyBorder="1" applyAlignment="1">
      <alignment horizontal="center"/>
    </xf>
    <xf numFmtId="0" fontId="1012" fillId="1012" borderId="955" xfId="0" applyFont="1" applyFill="1" applyBorder="1" applyAlignment="1">
      <alignment horizontal="center"/>
    </xf>
    <xf numFmtId="1" fontId="1013" fillId="1013" borderId="956" xfId="0" applyNumberFormat="1" applyFont="1" applyFill="1" applyBorder="1" applyAlignment="1">
      <alignment horizontal="center"/>
    </xf>
    <xf numFmtId="0" fontId="1014" fillId="1014" borderId="957" xfId="0" applyFont="1" applyFill="1" applyBorder="1"/>
    <xf numFmtId="0" fontId="1015" fillId="1015" borderId="958" xfId="0" applyFont="1" applyFill="1" applyBorder="1"/>
    <xf numFmtId="0" fontId="1016" fillId="1016" borderId="959" xfId="0" applyFont="1" applyFill="1" applyBorder="1"/>
    <xf numFmtId="0" fontId="1017" fillId="1017" borderId="960" xfId="0" applyFont="1" applyFill="1" applyBorder="1" applyAlignment="1">
      <alignment horizontal="center" vertical="center"/>
    </xf>
    <xf numFmtId="0" fontId="1018" fillId="1018" borderId="961" xfId="0" applyFont="1" applyFill="1" applyBorder="1" applyAlignment="1">
      <alignment horizontal="center" vertical="center"/>
    </xf>
    <xf numFmtId="0" fontId="1019" fillId="1019" borderId="962" xfId="0" applyFont="1" applyFill="1" applyBorder="1" applyAlignment="1">
      <alignment horizontal="center" vertical="center"/>
    </xf>
    <xf numFmtId="0" fontId="1020" fillId="1020" borderId="963" xfId="0" applyFont="1" applyFill="1" applyBorder="1" applyAlignment="1">
      <alignment horizontal="center" vertical="center"/>
    </xf>
    <xf numFmtId="0" fontId="1021" fillId="1021" borderId="964" xfId="0" applyFont="1" applyFill="1" applyBorder="1" applyAlignment="1">
      <alignment horizontal="center" vertical="center"/>
    </xf>
    <xf numFmtId="0" fontId="1022" fillId="1022" borderId="965" xfId="0" applyFont="1" applyFill="1" applyBorder="1" applyAlignment="1">
      <alignment horizontal="center" vertical="center"/>
    </xf>
    <xf numFmtId="0" fontId="1023" fillId="1023" borderId="966" xfId="0" applyFont="1" applyFill="1" applyBorder="1" applyAlignment="1">
      <alignment horizontal="center" vertical="center"/>
    </xf>
    <xf numFmtId="2" fontId="1024" fillId="1024" borderId="967" xfId="0" applyNumberFormat="1" applyFont="1" applyFill="1" applyBorder="1" applyAlignment="1">
      <alignment horizontal="center"/>
    </xf>
    <xf numFmtId="0" fontId="1025" fillId="1025" borderId="968" xfId="0" applyFont="1" applyFill="1" applyBorder="1" applyAlignment="1">
      <alignment horizontal="center"/>
    </xf>
    <xf numFmtId="1" fontId="1026" fillId="1026" borderId="969" xfId="0" applyNumberFormat="1" applyFont="1" applyFill="1" applyBorder="1" applyAlignment="1">
      <alignment horizontal="center"/>
    </xf>
    <xf numFmtId="0" fontId="1027" fillId="1027" borderId="970" xfId="0" applyFont="1" applyFill="1" applyBorder="1"/>
    <xf numFmtId="0" fontId="1028" fillId="1028" borderId="971" xfId="0" applyFont="1" applyFill="1" applyBorder="1"/>
    <xf numFmtId="0" fontId="1029" fillId="1029" borderId="972" xfId="0" applyFont="1" applyFill="1" applyBorder="1"/>
    <xf numFmtId="0" fontId="1030" fillId="1030" borderId="973" xfId="0" applyFont="1" applyFill="1" applyBorder="1" applyAlignment="1">
      <alignment horizontal="center" vertical="center"/>
    </xf>
    <xf numFmtId="0" fontId="1031" fillId="1031" borderId="974" xfId="0" applyFont="1" applyFill="1" applyBorder="1" applyAlignment="1">
      <alignment horizontal="center" vertical="center"/>
    </xf>
    <xf numFmtId="0" fontId="1032" fillId="1032" borderId="975" xfId="0" applyFont="1" applyFill="1" applyBorder="1" applyAlignment="1">
      <alignment horizontal="center" vertical="center"/>
    </xf>
    <xf numFmtId="0" fontId="1033" fillId="1033" borderId="976" xfId="0" applyFont="1" applyFill="1" applyBorder="1" applyAlignment="1">
      <alignment horizontal="center" vertical="center"/>
    </xf>
    <xf numFmtId="0" fontId="1034" fillId="1034" borderId="977" xfId="0" applyFont="1" applyFill="1" applyBorder="1" applyAlignment="1">
      <alignment horizontal="center" vertical="center"/>
    </xf>
    <xf numFmtId="0" fontId="1035" fillId="1035" borderId="978" xfId="0" applyFont="1" applyFill="1" applyBorder="1" applyAlignment="1">
      <alignment horizontal="center" vertical="center"/>
    </xf>
    <xf numFmtId="0" fontId="1036" fillId="1036" borderId="979" xfId="0" applyFont="1" applyFill="1" applyBorder="1" applyAlignment="1">
      <alignment horizontal="center" vertical="center"/>
    </xf>
    <xf numFmtId="2" fontId="1037" fillId="1037" borderId="980" xfId="0" applyNumberFormat="1" applyFont="1" applyFill="1" applyBorder="1" applyAlignment="1">
      <alignment horizontal="center"/>
    </xf>
    <xf numFmtId="0" fontId="1038" fillId="1038" borderId="981" xfId="0" applyFont="1" applyFill="1" applyBorder="1" applyAlignment="1">
      <alignment horizontal="center"/>
    </xf>
    <xf numFmtId="1" fontId="1039" fillId="1039" borderId="982" xfId="0" applyNumberFormat="1" applyFont="1" applyFill="1" applyBorder="1" applyAlignment="1">
      <alignment horizontal="center"/>
    </xf>
    <xf numFmtId="0" fontId="1040" fillId="1040" borderId="983" xfId="0" applyFont="1" applyFill="1" applyBorder="1"/>
    <xf numFmtId="0" fontId="1041" fillId="1041" borderId="984" xfId="0" applyFont="1" applyFill="1" applyBorder="1"/>
    <xf numFmtId="0" fontId="1042" fillId="1042" borderId="985" xfId="0" applyFont="1" applyFill="1" applyBorder="1"/>
    <xf numFmtId="0" fontId="1043" fillId="1043" borderId="986" xfId="0" applyFont="1" applyFill="1" applyBorder="1" applyAlignment="1">
      <alignment horizontal="center" vertical="center"/>
    </xf>
    <xf numFmtId="0" fontId="1044" fillId="1044" borderId="987" xfId="0" applyFont="1" applyFill="1" applyBorder="1" applyAlignment="1">
      <alignment horizontal="center" vertical="center"/>
    </xf>
    <xf numFmtId="0" fontId="1045" fillId="1045" borderId="988" xfId="0" applyFont="1" applyFill="1" applyBorder="1" applyAlignment="1">
      <alignment horizontal="center" vertical="center"/>
    </xf>
    <xf numFmtId="0" fontId="1046" fillId="1046" borderId="989" xfId="0" applyFont="1" applyFill="1" applyBorder="1" applyAlignment="1">
      <alignment horizontal="center" vertical="center"/>
    </xf>
    <xf numFmtId="0" fontId="1047" fillId="1047" borderId="990" xfId="0" applyFont="1" applyFill="1" applyBorder="1" applyAlignment="1">
      <alignment horizontal="center" vertical="center"/>
    </xf>
    <xf numFmtId="0" fontId="1048" fillId="1048" borderId="991" xfId="0" applyFont="1" applyFill="1" applyBorder="1" applyAlignment="1">
      <alignment horizontal="center" vertical="center"/>
    </xf>
    <xf numFmtId="0" fontId="1049" fillId="1049" borderId="992" xfId="0" applyFont="1" applyFill="1" applyBorder="1" applyAlignment="1">
      <alignment horizontal="center" vertical="center"/>
    </xf>
    <xf numFmtId="2" fontId="1050" fillId="1050" borderId="993" xfId="0" applyNumberFormat="1" applyFont="1" applyFill="1" applyBorder="1" applyAlignment="1">
      <alignment horizontal="center"/>
    </xf>
    <xf numFmtId="0" fontId="1051" fillId="1051" borderId="994" xfId="0" applyFont="1" applyFill="1" applyBorder="1" applyAlignment="1">
      <alignment horizontal="center"/>
    </xf>
    <xf numFmtId="1" fontId="1052" fillId="1052" borderId="995" xfId="0" applyNumberFormat="1" applyFont="1" applyFill="1" applyBorder="1" applyAlignment="1">
      <alignment horizontal="center"/>
    </xf>
    <xf numFmtId="0" fontId="1053" fillId="1053" borderId="996" xfId="0" applyFont="1" applyFill="1" applyBorder="1"/>
    <xf numFmtId="0" fontId="1054" fillId="1054" borderId="997" xfId="0" applyFont="1" applyFill="1" applyBorder="1"/>
    <xf numFmtId="0" fontId="1055" fillId="1055" borderId="998" xfId="0" applyFont="1" applyFill="1" applyBorder="1"/>
    <xf numFmtId="0" fontId="1056" fillId="1056" borderId="999" xfId="0" applyFont="1" applyFill="1" applyBorder="1" applyAlignment="1">
      <alignment horizontal="center" vertical="center"/>
    </xf>
    <xf numFmtId="0" fontId="1057" fillId="1057" borderId="1000" xfId="0" applyFont="1" applyFill="1" applyBorder="1" applyAlignment="1">
      <alignment horizontal="center" vertical="center"/>
    </xf>
    <xf numFmtId="0" fontId="1058" fillId="1058" borderId="1001" xfId="0" applyFont="1" applyFill="1" applyBorder="1" applyAlignment="1">
      <alignment horizontal="center" vertical="center"/>
    </xf>
    <xf numFmtId="0" fontId="1059" fillId="1059" borderId="1002" xfId="0" applyFont="1" applyFill="1" applyBorder="1" applyAlignment="1">
      <alignment horizontal="center" vertical="center"/>
    </xf>
    <xf numFmtId="0" fontId="1060" fillId="1060" borderId="1003" xfId="0" applyFont="1" applyFill="1" applyBorder="1" applyAlignment="1">
      <alignment horizontal="center" vertical="center"/>
    </xf>
    <xf numFmtId="0" fontId="1061" fillId="1061" borderId="1004" xfId="0" applyFont="1" applyFill="1" applyBorder="1" applyAlignment="1">
      <alignment horizontal="center" vertical="center"/>
    </xf>
    <xf numFmtId="0" fontId="1062" fillId="1062" borderId="1005" xfId="0" applyFont="1" applyFill="1" applyBorder="1" applyAlignment="1">
      <alignment horizontal="center" vertical="center"/>
    </xf>
    <xf numFmtId="2" fontId="1063" fillId="1063" borderId="1006" xfId="0" applyNumberFormat="1" applyFont="1" applyFill="1" applyBorder="1" applyAlignment="1">
      <alignment horizontal="center"/>
    </xf>
    <xf numFmtId="0" fontId="1064" fillId="1064" borderId="1007" xfId="0" applyFont="1" applyFill="1" applyBorder="1" applyAlignment="1">
      <alignment horizontal="center"/>
    </xf>
    <xf numFmtId="1" fontId="1065" fillId="1065" borderId="1008" xfId="0" applyNumberFormat="1" applyFont="1" applyFill="1" applyBorder="1" applyAlignment="1">
      <alignment horizontal="center"/>
    </xf>
    <xf numFmtId="0" fontId="1066" fillId="1066" borderId="1009" xfId="0" applyFont="1" applyFill="1" applyBorder="1"/>
    <xf numFmtId="0" fontId="1067" fillId="1067" borderId="1010" xfId="0" applyFont="1" applyFill="1" applyBorder="1"/>
    <xf numFmtId="0" fontId="1068" fillId="1068" borderId="1011" xfId="0" applyFont="1" applyFill="1" applyBorder="1"/>
    <xf numFmtId="0" fontId="1069" fillId="1069" borderId="1012" xfId="0" applyFont="1" applyFill="1" applyBorder="1" applyAlignment="1">
      <alignment horizontal="center" vertical="center"/>
    </xf>
    <xf numFmtId="0" fontId="1070" fillId="1070" borderId="1013" xfId="0" applyFont="1" applyFill="1" applyBorder="1" applyAlignment="1">
      <alignment horizontal="center" vertical="center"/>
    </xf>
    <xf numFmtId="0" fontId="1071" fillId="1071" borderId="1014" xfId="0" applyFont="1" applyFill="1" applyBorder="1" applyAlignment="1">
      <alignment horizontal="center" vertical="center"/>
    </xf>
    <xf numFmtId="0" fontId="1072" fillId="1072" borderId="1015" xfId="0" applyFont="1" applyFill="1" applyBorder="1" applyAlignment="1">
      <alignment horizontal="center" vertical="center"/>
    </xf>
    <xf numFmtId="0" fontId="1073" fillId="1073" borderId="1016" xfId="0" applyFont="1" applyFill="1" applyBorder="1" applyAlignment="1">
      <alignment horizontal="center" vertical="center"/>
    </xf>
    <xf numFmtId="0" fontId="1074" fillId="1074" borderId="1017" xfId="0" applyFont="1" applyFill="1" applyBorder="1" applyAlignment="1">
      <alignment horizontal="center" vertical="center"/>
    </xf>
    <xf numFmtId="0" fontId="1075" fillId="1075" borderId="1018" xfId="0" applyFont="1" applyFill="1" applyBorder="1" applyAlignment="1">
      <alignment horizontal="center" vertical="center"/>
    </xf>
    <xf numFmtId="2" fontId="1076" fillId="1076" borderId="1019" xfId="0" applyNumberFormat="1" applyFont="1" applyFill="1" applyBorder="1" applyAlignment="1">
      <alignment horizontal="center"/>
    </xf>
    <xf numFmtId="0" fontId="1077" fillId="1077" borderId="1020" xfId="0" applyFont="1" applyFill="1" applyBorder="1" applyAlignment="1">
      <alignment horizontal="center"/>
    </xf>
    <xf numFmtId="1" fontId="1078" fillId="1078" borderId="1021" xfId="0" applyNumberFormat="1" applyFont="1" applyFill="1" applyBorder="1" applyAlignment="1">
      <alignment horizontal="center"/>
    </xf>
    <xf numFmtId="0" fontId="1079" fillId="1079" borderId="1022" xfId="0" applyFont="1" applyFill="1" applyBorder="1"/>
    <xf numFmtId="0" fontId="1080" fillId="1080" borderId="1023" xfId="0" applyFont="1" applyFill="1" applyBorder="1"/>
    <xf numFmtId="0" fontId="1081" fillId="1081" borderId="1024" xfId="0" applyFont="1" applyFill="1" applyBorder="1"/>
    <xf numFmtId="0" fontId="1082" fillId="1082" borderId="1025" xfId="0" applyFont="1" applyFill="1" applyBorder="1" applyAlignment="1">
      <alignment horizontal="center" vertical="center"/>
    </xf>
    <xf numFmtId="0" fontId="1083" fillId="1083" borderId="1026" xfId="0" applyFont="1" applyFill="1" applyBorder="1" applyAlignment="1">
      <alignment horizontal="center" vertical="center"/>
    </xf>
    <xf numFmtId="0" fontId="1084" fillId="1084" borderId="1027" xfId="0" applyFont="1" applyFill="1" applyBorder="1" applyAlignment="1">
      <alignment horizontal="center" vertical="center"/>
    </xf>
    <xf numFmtId="0" fontId="1085" fillId="1085" borderId="1028" xfId="0" applyFont="1" applyFill="1" applyBorder="1" applyAlignment="1">
      <alignment horizontal="center" vertical="center"/>
    </xf>
    <xf numFmtId="0" fontId="1086" fillId="1086" borderId="1029" xfId="0" applyFont="1" applyFill="1" applyBorder="1" applyAlignment="1">
      <alignment horizontal="center" vertical="center"/>
    </xf>
    <xf numFmtId="0" fontId="1087" fillId="1087" borderId="1030" xfId="0" applyFont="1" applyFill="1" applyBorder="1" applyAlignment="1">
      <alignment horizontal="center" vertical="center"/>
    </xf>
    <xf numFmtId="0" fontId="1088" fillId="1088" borderId="1031" xfId="0" applyFont="1" applyFill="1" applyBorder="1" applyAlignment="1">
      <alignment horizontal="center" vertical="center"/>
    </xf>
    <xf numFmtId="2" fontId="1089" fillId="1089" borderId="1032" xfId="0" applyNumberFormat="1" applyFont="1" applyFill="1" applyBorder="1" applyAlignment="1">
      <alignment horizontal="center"/>
    </xf>
    <xf numFmtId="0" fontId="1090" fillId="1090" borderId="1033" xfId="0" applyFont="1" applyFill="1" applyBorder="1" applyAlignment="1">
      <alignment horizontal="center"/>
    </xf>
    <xf numFmtId="1" fontId="1091" fillId="1091" borderId="1034" xfId="0" applyNumberFormat="1" applyFont="1" applyFill="1" applyBorder="1" applyAlignment="1">
      <alignment horizontal="center"/>
    </xf>
    <xf numFmtId="0" fontId="1092" fillId="1092" borderId="1035" xfId="0" applyFont="1" applyFill="1" applyBorder="1"/>
    <xf numFmtId="0" fontId="1093" fillId="1093" borderId="1036" xfId="0" applyFont="1" applyFill="1" applyBorder="1"/>
    <xf numFmtId="0" fontId="1094" fillId="1094" borderId="1037" xfId="0" applyFont="1" applyFill="1" applyBorder="1"/>
    <xf numFmtId="0" fontId="1095" fillId="1095" borderId="1038" xfId="0" applyFont="1" applyFill="1" applyBorder="1" applyAlignment="1">
      <alignment horizontal="center" vertical="center"/>
    </xf>
    <xf numFmtId="0" fontId="1096" fillId="1096" borderId="1039" xfId="0" applyFont="1" applyFill="1" applyBorder="1" applyAlignment="1">
      <alignment horizontal="center" vertical="center"/>
    </xf>
    <xf numFmtId="0" fontId="1097" fillId="1097" borderId="1040" xfId="0" applyFont="1" applyFill="1" applyBorder="1" applyAlignment="1">
      <alignment horizontal="center" vertical="center"/>
    </xf>
    <xf numFmtId="0" fontId="1098" fillId="1098" borderId="1041" xfId="0" applyFont="1" applyFill="1" applyBorder="1" applyAlignment="1">
      <alignment horizontal="center" vertical="center"/>
    </xf>
    <xf numFmtId="0" fontId="1099" fillId="1099" borderId="1042" xfId="0" applyFont="1" applyFill="1" applyBorder="1" applyAlignment="1">
      <alignment horizontal="center" vertical="center"/>
    </xf>
    <xf numFmtId="0" fontId="1100" fillId="1100" borderId="1043" xfId="0" applyFont="1" applyFill="1" applyBorder="1" applyAlignment="1">
      <alignment horizontal="center" vertical="center"/>
    </xf>
    <xf numFmtId="0" fontId="1101" fillId="1101" borderId="1044" xfId="0" applyFont="1" applyFill="1" applyBorder="1" applyAlignment="1">
      <alignment horizontal="center" vertical="center"/>
    </xf>
    <xf numFmtId="2" fontId="1102" fillId="1102" borderId="1045" xfId="0" applyNumberFormat="1" applyFont="1" applyFill="1" applyBorder="1" applyAlignment="1">
      <alignment horizontal="center"/>
    </xf>
    <xf numFmtId="0" fontId="1103" fillId="1103" borderId="1046" xfId="0" applyFont="1" applyFill="1" applyBorder="1" applyAlignment="1">
      <alignment horizontal="center"/>
    </xf>
    <xf numFmtId="1" fontId="1104" fillId="1104" borderId="1047" xfId="0" applyNumberFormat="1" applyFont="1" applyFill="1" applyBorder="1" applyAlignment="1">
      <alignment horizontal="center"/>
    </xf>
    <xf numFmtId="0" fontId="1105" fillId="1105" borderId="1048" xfId="0" applyFont="1" applyFill="1" applyBorder="1"/>
    <xf numFmtId="0" fontId="1106" fillId="1106" borderId="1049" xfId="0" applyFont="1" applyFill="1" applyBorder="1"/>
    <xf numFmtId="0" fontId="1107" fillId="1107" borderId="1050" xfId="0" applyFont="1" applyFill="1" applyBorder="1"/>
    <xf numFmtId="0" fontId="1108" fillId="1108" borderId="1051" xfId="0" applyFont="1" applyFill="1" applyBorder="1" applyAlignment="1">
      <alignment horizontal="center" vertical="center"/>
    </xf>
    <xf numFmtId="0" fontId="1109" fillId="1109" borderId="1052" xfId="0" applyFont="1" applyFill="1" applyBorder="1" applyAlignment="1">
      <alignment horizontal="center" vertical="center"/>
    </xf>
    <xf numFmtId="0" fontId="1110" fillId="1110" borderId="1053" xfId="0" applyFont="1" applyFill="1" applyBorder="1" applyAlignment="1">
      <alignment horizontal="center" vertical="center"/>
    </xf>
    <xf numFmtId="0" fontId="1111" fillId="1111" borderId="1054" xfId="0" applyFont="1" applyFill="1" applyBorder="1" applyAlignment="1">
      <alignment horizontal="center" vertical="center"/>
    </xf>
    <xf numFmtId="0" fontId="1112" fillId="1112" borderId="1055" xfId="0" applyFont="1" applyFill="1" applyBorder="1" applyAlignment="1">
      <alignment horizontal="center" vertical="center"/>
    </xf>
    <xf numFmtId="0" fontId="1113" fillId="1113" borderId="1056" xfId="0" applyFont="1" applyFill="1" applyBorder="1" applyAlignment="1">
      <alignment horizontal="center" vertical="center"/>
    </xf>
    <xf numFmtId="0" fontId="1114" fillId="1114" borderId="1057" xfId="0" applyFont="1" applyFill="1" applyBorder="1" applyAlignment="1">
      <alignment horizontal="center" vertical="center"/>
    </xf>
    <xf numFmtId="2" fontId="1115" fillId="1115" borderId="1058" xfId="0" applyNumberFormat="1" applyFont="1" applyFill="1" applyBorder="1" applyAlignment="1">
      <alignment horizontal="center"/>
    </xf>
    <xf numFmtId="0" fontId="1116" fillId="1116" borderId="1059" xfId="0" applyFont="1" applyFill="1" applyBorder="1" applyAlignment="1">
      <alignment horizontal="center"/>
    </xf>
    <xf numFmtId="1" fontId="1117" fillId="1117" borderId="1060" xfId="0" applyNumberFormat="1" applyFont="1" applyFill="1" applyBorder="1" applyAlignment="1">
      <alignment horizontal="center"/>
    </xf>
    <xf numFmtId="0" fontId="1118" fillId="1118" borderId="1061" xfId="0" applyFont="1" applyFill="1" applyBorder="1"/>
    <xf numFmtId="0" fontId="1119" fillId="1119" borderId="1062" xfId="0" applyFont="1" applyFill="1" applyBorder="1"/>
    <xf numFmtId="0" fontId="1120" fillId="1120" borderId="1063" xfId="0" applyFont="1" applyFill="1" applyBorder="1"/>
    <xf numFmtId="0" fontId="1121" fillId="1121" borderId="1064" xfId="0" applyFont="1" applyFill="1" applyBorder="1" applyAlignment="1">
      <alignment horizontal="center" vertical="center"/>
    </xf>
    <xf numFmtId="0" fontId="1122" fillId="1122" borderId="1065" xfId="0" applyFont="1" applyFill="1" applyBorder="1" applyAlignment="1">
      <alignment horizontal="center" vertical="center"/>
    </xf>
    <xf numFmtId="0" fontId="1123" fillId="1123" borderId="1066" xfId="0" applyFont="1" applyFill="1" applyBorder="1" applyAlignment="1">
      <alignment horizontal="center" vertical="center"/>
    </xf>
    <xf numFmtId="0" fontId="1124" fillId="1124" borderId="1067" xfId="0" applyFont="1" applyFill="1" applyBorder="1" applyAlignment="1">
      <alignment horizontal="center" vertical="center"/>
    </xf>
    <xf numFmtId="0" fontId="1125" fillId="1125" borderId="1068" xfId="0" applyFont="1" applyFill="1" applyBorder="1" applyAlignment="1">
      <alignment horizontal="center" vertical="center"/>
    </xf>
    <xf numFmtId="0" fontId="1126" fillId="1126" borderId="1069" xfId="0" applyFont="1" applyFill="1" applyBorder="1" applyAlignment="1">
      <alignment horizontal="center" vertical="center"/>
    </xf>
    <xf numFmtId="0" fontId="1127" fillId="1127" borderId="1070" xfId="0" applyFont="1" applyFill="1" applyBorder="1" applyAlignment="1">
      <alignment horizontal="center" vertical="center"/>
    </xf>
    <xf numFmtId="2" fontId="1128" fillId="1128" borderId="1071" xfId="0" applyNumberFormat="1" applyFont="1" applyFill="1" applyBorder="1" applyAlignment="1">
      <alignment horizontal="center"/>
    </xf>
    <xf numFmtId="0" fontId="1129" fillId="1129" borderId="1072" xfId="0" applyFont="1" applyFill="1" applyBorder="1" applyAlignment="1">
      <alignment horizontal="center"/>
    </xf>
    <xf numFmtId="1" fontId="1130" fillId="1130" borderId="1073" xfId="0" applyNumberFormat="1" applyFont="1" applyFill="1" applyBorder="1" applyAlignment="1">
      <alignment horizontal="center"/>
    </xf>
    <xf numFmtId="0" fontId="1131" fillId="1131" borderId="1074" xfId="0" applyFont="1" applyFill="1" applyBorder="1"/>
    <xf numFmtId="0" fontId="1132" fillId="1132" borderId="1075" xfId="0" applyFont="1" applyFill="1" applyBorder="1"/>
    <xf numFmtId="0" fontId="1133" fillId="1133" borderId="1076" xfId="0" applyFont="1" applyFill="1" applyBorder="1"/>
    <xf numFmtId="0" fontId="1134" fillId="1134" borderId="1077" xfId="0" applyFont="1" applyFill="1" applyBorder="1" applyAlignment="1">
      <alignment horizontal="center" vertical="center"/>
    </xf>
    <xf numFmtId="0" fontId="1135" fillId="1135" borderId="1078" xfId="0" applyFont="1" applyFill="1" applyBorder="1" applyAlignment="1">
      <alignment horizontal="center" vertical="center"/>
    </xf>
    <xf numFmtId="0" fontId="1136" fillId="1136" borderId="1079" xfId="0" applyFont="1" applyFill="1" applyBorder="1" applyAlignment="1">
      <alignment horizontal="center" vertical="center"/>
    </xf>
    <xf numFmtId="0" fontId="1137" fillId="1137" borderId="1080" xfId="0" applyFont="1" applyFill="1" applyBorder="1" applyAlignment="1">
      <alignment horizontal="center" vertical="center"/>
    </xf>
    <xf numFmtId="0" fontId="1138" fillId="1138" borderId="1081" xfId="0" applyFont="1" applyFill="1" applyBorder="1" applyAlignment="1">
      <alignment horizontal="center" vertical="center"/>
    </xf>
    <xf numFmtId="0" fontId="1139" fillId="1139" borderId="1082" xfId="0" applyFont="1" applyFill="1" applyBorder="1" applyAlignment="1">
      <alignment horizontal="center" vertical="center"/>
    </xf>
    <xf numFmtId="0" fontId="1140" fillId="1140" borderId="1083" xfId="0" applyFont="1" applyFill="1" applyBorder="1" applyAlignment="1">
      <alignment horizontal="center" vertical="center"/>
    </xf>
    <xf numFmtId="0" fontId="1141" fillId="1141" borderId="1084" xfId="0" applyFont="1" applyFill="1" applyBorder="1"/>
    <xf numFmtId="0" fontId="1142" fillId="1142" borderId="1085" xfId="0" applyFont="1" applyFill="1" applyBorder="1"/>
    <xf numFmtId="0" fontId="1143" fillId="1143" borderId="1086" xfId="0" applyFont="1" applyFill="1" applyBorder="1"/>
    <xf numFmtId="0" fontId="1144" fillId="1144" borderId="1087" xfId="0" applyFont="1" applyFill="1" applyBorder="1"/>
    <xf numFmtId="0" fontId="1145" fillId="1145" borderId="1088" xfId="0" applyFont="1" applyFill="1" applyBorder="1"/>
    <xf numFmtId="0" fontId="1146" fillId="1146" borderId="1089" xfId="0" applyFont="1" applyFill="1" applyBorder="1"/>
    <xf numFmtId="0" fontId="1147" fillId="1147" borderId="1090" xfId="0" applyFont="1" applyFill="1" applyBorder="1"/>
    <xf numFmtId="0" fontId="1148" fillId="1148" borderId="1091" xfId="0" applyFont="1" applyFill="1" applyBorder="1"/>
    <xf numFmtId="0" fontId="1149" fillId="1149" borderId="1092" xfId="0" applyFont="1" applyFill="1" applyBorder="1" applyAlignment="1">
      <alignment horizontal="center" vertical="center"/>
    </xf>
    <xf numFmtId="0" fontId="1150" fillId="1150" borderId="1093" xfId="0" applyFont="1" applyFill="1" applyBorder="1" applyAlignment="1">
      <alignment horizontal="center" vertical="center"/>
    </xf>
    <xf numFmtId="0" fontId="1151" fillId="1151" borderId="1094" xfId="0" applyFont="1" applyFill="1" applyBorder="1" applyAlignment="1">
      <alignment horizontal="center" vertical="center"/>
    </xf>
    <xf numFmtId="0" fontId="1152" fillId="1152" borderId="1095" xfId="0" applyFont="1" applyFill="1" applyBorder="1" applyAlignment="1">
      <alignment horizontal="center" vertical="center"/>
    </xf>
    <xf numFmtId="0" fontId="1153" fillId="1153" borderId="1096" xfId="0" applyFont="1" applyFill="1" applyBorder="1" applyAlignment="1">
      <alignment horizontal="center" vertical="center"/>
    </xf>
    <xf numFmtId="0" fontId="1154" fillId="1154" borderId="1097" xfId="0" applyFont="1" applyFill="1" applyBorder="1" applyAlignment="1">
      <alignment horizontal="center" vertical="center"/>
    </xf>
    <xf numFmtId="0" fontId="1155" fillId="1155" borderId="1098" xfId="0" applyFont="1" applyFill="1" applyBorder="1" applyAlignment="1">
      <alignment horizontal="center" vertical="center"/>
    </xf>
    <xf numFmtId="0" fontId="1156" fillId="1156" borderId="1099" xfId="0" applyFont="1" applyFill="1" applyBorder="1"/>
    <xf numFmtId="0" fontId="1157" fillId="1157" borderId="1100" xfId="0" applyFont="1" applyFill="1" applyBorder="1"/>
    <xf numFmtId="0" fontId="1158" fillId="1158" borderId="1101" xfId="0" applyFont="1" applyFill="1" applyBorder="1"/>
    <xf numFmtId="0" fontId="1159" fillId="1159" borderId="1102" xfId="0" applyFont="1" applyFill="1" applyBorder="1"/>
    <xf numFmtId="0" fontId="1160" fillId="1160" borderId="1103" xfId="0" applyFont="1" applyFill="1" applyBorder="1"/>
    <xf numFmtId="0" fontId="1161" fillId="1161" borderId="1104" xfId="0" applyFont="1" applyFill="1" applyBorder="1"/>
    <xf numFmtId="0" fontId="1162" fillId="1162" borderId="1105" xfId="0" applyFont="1" applyFill="1" applyBorder="1"/>
    <xf numFmtId="0" fontId="1163" fillId="1163" borderId="1106" xfId="0" applyFont="1" applyFill="1" applyBorder="1"/>
    <xf numFmtId="0" fontId="1164" fillId="1164" borderId="1107" xfId="0" applyFont="1" applyFill="1" applyBorder="1" applyAlignment="1">
      <alignment horizontal="center" vertical="center"/>
    </xf>
    <xf numFmtId="0" fontId="1165" fillId="1165" borderId="1108" xfId="0" applyFont="1" applyFill="1" applyBorder="1" applyAlignment="1">
      <alignment horizontal="center" vertical="center"/>
    </xf>
    <xf numFmtId="0" fontId="1166" fillId="1166" borderId="1109" xfId="0" applyFont="1" applyFill="1" applyBorder="1" applyAlignment="1">
      <alignment horizontal="center" vertical="center"/>
    </xf>
    <xf numFmtId="0" fontId="1167" fillId="1167" borderId="1110" xfId="0" applyFont="1" applyFill="1" applyBorder="1" applyAlignment="1">
      <alignment horizontal="center" vertical="center"/>
    </xf>
    <xf numFmtId="0" fontId="1168" fillId="1168" borderId="1111" xfId="0" applyFont="1" applyFill="1" applyBorder="1" applyAlignment="1">
      <alignment horizontal="center" vertical="center"/>
    </xf>
    <xf numFmtId="0" fontId="1169" fillId="1169" borderId="1112" xfId="0" applyFont="1" applyFill="1" applyBorder="1" applyAlignment="1">
      <alignment horizontal="center" vertical="center"/>
    </xf>
    <xf numFmtId="0" fontId="1170" fillId="1170" borderId="1113" xfId="0" applyFont="1" applyFill="1" applyBorder="1" applyAlignment="1">
      <alignment horizontal="center" vertical="center"/>
    </xf>
    <xf numFmtId="0" fontId="1171" fillId="1171" borderId="1114" xfId="0" applyFont="1" applyFill="1" applyBorder="1"/>
    <xf numFmtId="0" fontId="1172" fillId="1172" borderId="1115" xfId="0" applyFont="1" applyFill="1" applyBorder="1"/>
    <xf numFmtId="0" fontId="1173" fillId="1173" borderId="1116" xfId="0" applyFont="1" applyFill="1" applyBorder="1"/>
    <xf numFmtId="0" fontId="1174" fillId="1174" borderId="1117" xfId="0" applyFont="1" applyFill="1" applyBorder="1"/>
    <xf numFmtId="0" fontId="1175" fillId="1175" borderId="1118" xfId="0" applyFont="1" applyFill="1" applyBorder="1"/>
    <xf numFmtId="0" fontId="1176" fillId="1176" borderId="1119" xfId="0" applyFont="1" applyFill="1" applyBorder="1"/>
    <xf numFmtId="0" fontId="1177" fillId="1177" borderId="1120" xfId="0" applyFont="1" applyFill="1" applyBorder="1"/>
    <xf numFmtId="0" fontId="1178" fillId="1178" borderId="1121" xfId="0" applyFont="1" applyFill="1" applyBorder="1"/>
    <xf numFmtId="0" fontId="1179" fillId="1179" borderId="1122" xfId="0" applyFont="1" applyFill="1" applyBorder="1" applyAlignment="1">
      <alignment horizontal="center" vertical="center"/>
    </xf>
    <xf numFmtId="0" fontId="1180" fillId="1180" borderId="1123" xfId="0" applyFont="1" applyFill="1" applyBorder="1" applyAlignment="1">
      <alignment horizontal="center" vertical="center"/>
    </xf>
    <xf numFmtId="0" fontId="1181" fillId="1181" borderId="1124" xfId="0" applyFont="1" applyFill="1" applyBorder="1" applyAlignment="1">
      <alignment horizontal="center" vertical="center"/>
    </xf>
    <xf numFmtId="0" fontId="1182" fillId="1182" borderId="1125" xfId="0" applyFont="1" applyFill="1" applyBorder="1" applyAlignment="1">
      <alignment horizontal="center" vertical="center"/>
    </xf>
    <xf numFmtId="0" fontId="1183" fillId="1183" borderId="1126" xfId="0" applyFont="1" applyFill="1" applyBorder="1" applyAlignment="1">
      <alignment horizontal="center" vertical="center"/>
    </xf>
    <xf numFmtId="0" fontId="1184" fillId="1184" borderId="1127" xfId="0" applyFont="1" applyFill="1" applyBorder="1" applyAlignment="1">
      <alignment horizontal="center" vertical="center"/>
    </xf>
    <xf numFmtId="0" fontId="1185" fillId="1185" borderId="1128" xfId="0" applyFont="1" applyFill="1" applyBorder="1" applyAlignment="1">
      <alignment horizontal="center" vertical="center"/>
    </xf>
    <xf numFmtId="0" fontId="1186" fillId="1186" borderId="1129" xfId="0" applyFont="1" applyFill="1" applyBorder="1"/>
    <xf numFmtId="0" fontId="1187" fillId="1187" borderId="1130" xfId="0" applyFont="1" applyFill="1" applyBorder="1"/>
    <xf numFmtId="0" fontId="1188" fillId="1188" borderId="1131" xfId="0" applyFont="1" applyFill="1" applyBorder="1"/>
    <xf numFmtId="0" fontId="1189" fillId="1189" borderId="1132" xfId="0" applyFont="1" applyFill="1" applyBorder="1"/>
    <xf numFmtId="0" fontId="1190" fillId="1190" borderId="1133" xfId="0" applyFont="1" applyFill="1" applyBorder="1"/>
    <xf numFmtId="0" fontId="1191" fillId="1191" borderId="1134" xfId="0" applyFont="1" applyFill="1" applyBorder="1"/>
    <xf numFmtId="0" fontId="1192" fillId="1192" borderId="1135" xfId="0" applyFont="1" applyFill="1" applyBorder="1"/>
    <xf numFmtId="0" fontId="1193" fillId="1193" borderId="1136" xfId="0" applyFont="1" applyFill="1" applyBorder="1"/>
    <xf numFmtId="0" fontId="1194" fillId="1194" borderId="1137" xfId="0" applyFont="1" applyFill="1" applyBorder="1" applyAlignment="1">
      <alignment horizontal="center" vertical="center"/>
    </xf>
    <xf numFmtId="0" fontId="1195" fillId="1195" borderId="1138" xfId="0" applyFont="1" applyFill="1" applyBorder="1" applyAlignment="1">
      <alignment horizontal="center" vertical="center"/>
    </xf>
    <xf numFmtId="0" fontId="1196" fillId="1196" borderId="1139" xfId="0" applyFont="1" applyFill="1" applyBorder="1" applyAlignment="1">
      <alignment horizontal="center" vertical="center"/>
    </xf>
    <xf numFmtId="0" fontId="1197" fillId="1197" borderId="1140" xfId="0" applyFont="1" applyFill="1" applyBorder="1" applyAlignment="1">
      <alignment horizontal="center" vertical="center"/>
    </xf>
    <xf numFmtId="0" fontId="1198" fillId="1198" borderId="1141" xfId="0" applyFont="1" applyFill="1" applyBorder="1" applyAlignment="1">
      <alignment horizontal="center" vertical="center"/>
    </xf>
    <xf numFmtId="0" fontId="1199" fillId="1199" borderId="1142" xfId="0" applyFont="1" applyFill="1" applyBorder="1" applyAlignment="1">
      <alignment horizontal="center" vertical="center"/>
    </xf>
    <xf numFmtId="0" fontId="1200" fillId="1200" borderId="1143" xfId="0" applyFont="1" applyFill="1" applyBorder="1" applyAlignment="1">
      <alignment horizontal="center" vertical="center"/>
    </xf>
    <xf numFmtId="0" fontId="1201" fillId="1201" borderId="1144" xfId="0" applyFont="1" applyFill="1" applyBorder="1"/>
    <xf numFmtId="0" fontId="1202" fillId="1202" borderId="1145" xfId="0" applyFont="1" applyFill="1" applyBorder="1"/>
    <xf numFmtId="0" fontId="1203" fillId="1203" borderId="1146" xfId="0" applyFont="1" applyFill="1" applyBorder="1"/>
    <xf numFmtId="0" fontId="1204" fillId="1204" borderId="1147" xfId="0" applyFont="1" applyFill="1" applyBorder="1"/>
    <xf numFmtId="0" fontId="1205" fillId="1205" borderId="1148" xfId="0" applyFont="1" applyFill="1" applyBorder="1"/>
    <xf numFmtId="0" fontId="1206" fillId="1206" borderId="1149" xfId="0" applyFont="1" applyFill="1" applyBorder="1"/>
    <xf numFmtId="0" fontId="1207" fillId="1207" borderId="1150" xfId="0" applyFont="1" applyFill="1" applyBorder="1"/>
    <xf numFmtId="0" fontId="1208" fillId="1208" borderId="1151" xfId="0" applyFont="1" applyFill="1" applyBorder="1"/>
    <xf numFmtId="0" fontId="1209" fillId="1209" borderId="1152" xfId="0" applyFont="1" applyFill="1" applyBorder="1" applyAlignment="1">
      <alignment horizontal="center" vertical="center"/>
    </xf>
    <xf numFmtId="0" fontId="1210" fillId="1210" borderId="1153" xfId="0" applyFont="1" applyFill="1" applyBorder="1" applyAlignment="1">
      <alignment horizontal="center" vertical="center"/>
    </xf>
    <xf numFmtId="0" fontId="1211" fillId="1211" borderId="1154" xfId="0" applyFont="1" applyFill="1" applyBorder="1" applyAlignment="1">
      <alignment horizontal="center" vertical="center"/>
    </xf>
    <xf numFmtId="0" fontId="1212" fillId="1212" borderId="1155" xfId="0" applyFont="1" applyFill="1" applyBorder="1" applyAlignment="1">
      <alignment horizontal="center" vertical="center"/>
    </xf>
    <xf numFmtId="0" fontId="1213" fillId="1213" borderId="1156" xfId="0" applyFont="1" applyFill="1" applyBorder="1" applyAlignment="1">
      <alignment horizontal="center" vertical="center"/>
    </xf>
    <xf numFmtId="0" fontId="1214" fillId="1214" borderId="1157" xfId="0" applyFont="1" applyFill="1" applyBorder="1" applyAlignment="1">
      <alignment horizontal="center" vertical="center"/>
    </xf>
    <xf numFmtId="0" fontId="1215" fillId="1215" borderId="1158" xfId="0" applyFont="1" applyFill="1" applyBorder="1" applyAlignment="1">
      <alignment horizontal="center" vertical="center"/>
    </xf>
    <xf numFmtId="0" fontId="1216" fillId="1216" borderId="1159" xfId="0" applyFont="1" applyFill="1" applyBorder="1"/>
    <xf numFmtId="0" fontId="1217" fillId="1217" borderId="1160" xfId="0" applyFont="1" applyFill="1" applyBorder="1"/>
    <xf numFmtId="0" fontId="1218" fillId="1218" borderId="1161" xfId="0" applyFont="1" applyFill="1" applyBorder="1"/>
    <xf numFmtId="0" fontId="1219" fillId="1219" borderId="1162" xfId="0" applyFont="1" applyFill="1" applyBorder="1"/>
    <xf numFmtId="0" fontId="1220" fillId="1220" borderId="1163" xfId="0" applyFont="1" applyFill="1" applyBorder="1"/>
    <xf numFmtId="0" fontId="1221" fillId="1221" borderId="1164" xfId="0" applyFont="1" applyFill="1" applyBorder="1"/>
    <xf numFmtId="0" fontId="1222" fillId="1222" borderId="1165" xfId="0" applyFont="1" applyFill="1" applyBorder="1"/>
    <xf numFmtId="0" fontId="1223" fillId="1223" borderId="1166" xfId="0" applyFont="1" applyFill="1" applyBorder="1"/>
    <xf numFmtId="0" fontId="1224" fillId="1224" borderId="1167" xfId="0" applyFont="1" applyFill="1" applyBorder="1" applyAlignment="1">
      <alignment horizontal="center" vertical="center"/>
    </xf>
    <xf numFmtId="0" fontId="1225" fillId="1225" borderId="1168" xfId="0" applyFont="1" applyFill="1" applyBorder="1" applyAlignment="1">
      <alignment horizontal="center" vertical="center"/>
    </xf>
    <xf numFmtId="0" fontId="1226" fillId="1226" borderId="1169" xfId="0" applyFont="1" applyFill="1" applyBorder="1" applyAlignment="1">
      <alignment horizontal="center" vertical="center"/>
    </xf>
    <xf numFmtId="0" fontId="1227" fillId="1227" borderId="1170" xfId="0" applyFont="1" applyFill="1" applyBorder="1" applyAlignment="1">
      <alignment horizontal="center" vertical="center"/>
    </xf>
    <xf numFmtId="0" fontId="1228" fillId="1228" borderId="1171" xfId="0" applyFont="1" applyFill="1" applyBorder="1" applyAlignment="1">
      <alignment horizontal="center" vertical="center"/>
    </xf>
    <xf numFmtId="0" fontId="1229" fillId="1229" borderId="1172" xfId="0" applyFont="1" applyFill="1" applyBorder="1" applyAlignment="1">
      <alignment horizontal="center" vertical="center"/>
    </xf>
    <xf numFmtId="0" fontId="1230" fillId="1230" borderId="1173" xfId="0" applyFont="1" applyFill="1" applyBorder="1" applyAlignment="1">
      <alignment horizontal="center" vertical="center"/>
    </xf>
    <xf numFmtId="0" fontId="1231" fillId="1231" borderId="1174" xfId="0" applyFont="1" applyFill="1" applyBorder="1"/>
    <xf numFmtId="0" fontId="1232" fillId="1232" borderId="1175" xfId="0" applyFont="1" applyFill="1" applyBorder="1"/>
    <xf numFmtId="0" fontId="1233" fillId="1233" borderId="1176" xfId="0" applyFont="1" applyFill="1" applyBorder="1"/>
    <xf numFmtId="0" fontId="1234" fillId="1234" borderId="1177" xfId="0" applyFont="1" applyFill="1" applyBorder="1"/>
    <xf numFmtId="0" fontId="1235" fillId="1235" borderId="1178" xfId="0" applyFont="1" applyFill="1" applyBorder="1"/>
    <xf numFmtId="0" fontId="1236" fillId="1236" borderId="1179" xfId="0" applyFont="1" applyFill="1" applyBorder="1"/>
    <xf numFmtId="0" fontId="1237" fillId="1237" borderId="1180" xfId="0" applyFont="1" applyFill="1" applyBorder="1"/>
    <xf numFmtId="0" fontId="1238" fillId="1238" borderId="1181" xfId="0" applyFont="1" applyFill="1" applyBorder="1"/>
    <xf numFmtId="0" fontId="1239" fillId="1239" borderId="1182" xfId="0" applyFont="1" applyFill="1" applyBorder="1" applyAlignment="1">
      <alignment horizontal="center" vertical="center"/>
    </xf>
    <xf numFmtId="0" fontId="1240" fillId="1240" borderId="1183" xfId="0" applyFont="1" applyFill="1" applyBorder="1" applyAlignment="1">
      <alignment horizontal="center" vertical="center"/>
    </xf>
    <xf numFmtId="0" fontId="1241" fillId="1241" borderId="1184" xfId="0" applyFont="1" applyFill="1" applyBorder="1" applyAlignment="1">
      <alignment horizontal="center" vertical="center"/>
    </xf>
    <xf numFmtId="0" fontId="1242" fillId="1242" borderId="1185" xfId="0" applyFont="1" applyFill="1" applyBorder="1" applyAlignment="1">
      <alignment horizontal="center" vertical="center"/>
    </xf>
    <xf numFmtId="0" fontId="1243" fillId="1243" borderId="1186" xfId="0" applyFont="1" applyFill="1" applyBorder="1" applyAlignment="1">
      <alignment horizontal="center" vertical="center"/>
    </xf>
    <xf numFmtId="0" fontId="1244" fillId="1244" borderId="1187" xfId="0" applyFont="1" applyFill="1" applyBorder="1" applyAlignment="1">
      <alignment horizontal="center" vertical="center"/>
    </xf>
    <xf numFmtId="0" fontId="1245" fillId="1245" borderId="1188" xfId="0" applyFont="1" applyFill="1" applyBorder="1" applyAlignment="1">
      <alignment horizontal="center" vertical="center"/>
    </xf>
    <xf numFmtId="0" fontId="1246" fillId="1246" borderId="1189" xfId="0" applyFont="1" applyFill="1" applyBorder="1"/>
    <xf numFmtId="0" fontId="1247" fillId="1247" borderId="1190" xfId="0" applyFont="1" applyFill="1" applyBorder="1"/>
    <xf numFmtId="0" fontId="1248" fillId="1248" borderId="1191" xfId="0" applyFont="1" applyFill="1" applyBorder="1"/>
    <xf numFmtId="0" fontId="1249" fillId="1249" borderId="1192" xfId="0" applyFont="1" applyFill="1" applyBorder="1"/>
    <xf numFmtId="0" fontId="1250" fillId="1250" borderId="1193" xfId="0" applyFont="1" applyFill="1" applyBorder="1"/>
    <xf numFmtId="0" fontId="1251" fillId="1251" borderId="1194" xfId="0" applyFont="1" applyFill="1" applyBorder="1"/>
    <xf numFmtId="0" fontId="1252" fillId="1252" borderId="1195" xfId="0" applyFont="1" applyFill="1" applyBorder="1"/>
    <xf numFmtId="0" fontId="1253" fillId="1253" borderId="1196" xfId="0" applyFont="1" applyFill="1" applyBorder="1"/>
    <xf numFmtId="0" fontId="1254" fillId="1254" borderId="1197" xfId="0" applyFont="1" applyFill="1" applyBorder="1" applyAlignment="1">
      <alignment horizontal="center" vertical="center"/>
    </xf>
    <xf numFmtId="0" fontId="1255" fillId="1255" borderId="1198" xfId="0" applyFont="1" applyFill="1" applyBorder="1" applyAlignment="1">
      <alignment horizontal="center" vertical="center"/>
    </xf>
    <xf numFmtId="0" fontId="1256" fillId="1256" borderId="1199" xfId="0" applyFont="1" applyFill="1" applyBorder="1" applyAlignment="1">
      <alignment horizontal="center" vertical="center"/>
    </xf>
    <xf numFmtId="0" fontId="1257" fillId="1257" borderId="1200" xfId="0" applyFont="1" applyFill="1" applyBorder="1" applyAlignment="1">
      <alignment horizontal="center" vertical="center"/>
    </xf>
    <xf numFmtId="0" fontId="1258" fillId="1258" borderId="1201" xfId="0" applyFont="1" applyFill="1" applyBorder="1" applyAlignment="1">
      <alignment horizontal="center" vertical="center"/>
    </xf>
    <xf numFmtId="0" fontId="1259" fillId="1259" borderId="1202" xfId="0" applyFont="1" applyFill="1" applyBorder="1" applyAlignment="1">
      <alignment horizontal="center" vertical="center"/>
    </xf>
    <xf numFmtId="0" fontId="1260" fillId="1260" borderId="1203" xfId="0" applyFont="1" applyFill="1" applyBorder="1" applyAlignment="1">
      <alignment horizontal="center" vertical="center"/>
    </xf>
    <xf numFmtId="0" fontId="1261" fillId="1261" borderId="1204" xfId="0" applyFont="1" applyFill="1" applyBorder="1"/>
    <xf numFmtId="0" fontId="1262" fillId="1262" borderId="1205" xfId="0" applyFont="1" applyFill="1" applyBorder="1"/>
    <xf numFmtId="0" fontId="1263" fillId="1263" borderId="1206" xfId="0" applyFont="1" applyFill="1" applyBorder="1"/>
    <xf numFmtId="0" fontId="1264" fillId="1264" borderId="1207" xfId="0" applyFont="1" applyFill="1" applyBorder="1"/>
    <xf numFmtId="0" fontId="1265" fillId="1265" borderId="1208" xfId="0" applyFont="1" applyFill="1" applyBorder="1"/>
    <xf numFmtId="0" fontId="1266" fillId="1266" borderId="1209" xfId="0" applyFont="1" applyFill="1" applyBorder="1"/>
    <xf numFmtId="0" fontId="1267" fillId="1267" borderId="1210" xfId="0" applyFont="1" applyFill="1" applyBorder="1"/>
    <xf numFmtId="0" fontId="1268" fillId="1268" borderId="1211" xfId="0" applyFont="1" applyFill="1" applyBorder="1"/>
    <xf numFmtId="0" fontId="1269" fillId="1269" borderId="1212" xfId="0" applyFont="1" applyFill="1" applyBorder="1" applyAlignment="1">
      <alignment horizontal="center" vertical="center"/>
    </xf>
    <xf numFmtId="0" fontId="1270" fillId="1270" borderId="1213" xfId="0" applyFont="1" applyFill="1" applyBorder="1" applyAlignment="1">
      <alignment horizontal="center" vertical="center"/>
    </xf>
    <xf numFmtId="0" fontId="1271" fillId="1271" borderId="1214" xfId="0" applyFont="1" applyFill="1" applyBorder="1" applyAlignment="1">
      <alignment horizontal="center" vertical="center"/>
    </xf>
    <xf numFmtId="0" fontId="1272" fillId="1272" borderId="1215" xfId="0" applyFont="1" applyFill="1" applyBorder="1" applyAlignment="1">
      <alignment horizontal="center" vertical="center"/>
    </xf>
    <xf numFmtId="0" fontId="1273" fillId="1273" borderId="1216" xfId="0" applyFont="1" applyFill="1" applyBorder="1" applyAlignment="1">
      <alignment horizontal="center" vertical="center"/>
    </xf>
    <xf numFmtId="0" fontId="1274" fillId="1274" borderId="1217" xfId="0" applyFont="1" applyFill="1" applyBorder="1" applyAlignment="1">
      <alignment horizontal="center" vertical="center"/>
    </xf>
    <xf numFmtId="0" fontId="1275" fillId="1275" borderId="1218" xfId="0" applyFont="1" applyFill="1" applyBorder="1" applyAlignment="1">
      <alignment horizontal="center" vertical="center"/>
    </xf>
    <xf numFmtId="0" fontId="1276" fillId="1276" borderId="1219" xfId="0" applyFont="1" applyFill="1" applyBorder="1"/>
    <xf numFmtId="0" fontId="1277" fillId="1277" borderId="1220" xfId="0" applyFont="1" applyFill="1" applyBorder="1"/>
    <xf numFmtId="0" fontId="1278" fillId="1278" borderId="1221" xfId="0" applyFont="1" applyFill="1" applyBorder="1"/>
    <xf numFmtId="0" fontId="1279" fillId="1279" borderId="1222" xfId="0" applyFont="1" applyFill="1" applyBorder="1"/>
    <xf numFmtId="0" fontId="1280" fillId="1280" borderId="1223" xfId="0" applyFont="1" applyFill="1" applyBorder="1"/>
    <xf numFmtId="0" fontId="1281" fillId="1281" borderId="1224" xfId="0" applyFont="1" applyFill="1" applyBorder="1"/>
    <xf numFmtId="0" fontId="1282" fillId="1282" borderId="1225" xfId="0" applyFont="1" applyFill="1" applyBorder="1"/>
    <xf numFmtId="0" fontId="1283" fillId="1283" borderId="1226" xfId="0" applyFont="1" applyFill="1" applyBorder="1"/>
    <xf numFmtId="0" fontId="1284" fillId="1284" borderId="1227" xfId="0" applyFont="1" applyFill="1" applyBorder="1" applyAlignment="1">
      <alignment horizontal="center" vertical="center"/>
    </xf>
    <xf numFmtId="0" fontId="1285" fillId="1285" borderId="1228" xfId="0" applyFont="1" applyFill="1" applyBorder="1" applyAlignment="1">
      <alignment horizontal="center" vertical="center"/>
    </xf>
    <xf numFmtId="0" fontId="1286" fillId="1286" borderId="1229" xfId="0" applyFont="1" applyFill="1" applyBorder="1" applyAlignment="1">
      <alignment horizontal="center" vertical="center"/>
    </xf>
    <xf numFmtId="0" fontId="1287" fillId="1287" borderId="1230" xfId="0" applyFont="1" applyFill="1" applyBorder="1" applyAlignment="1">
      <alignment horizontal="center" vertical="center"/>
    </xf>
    <xf numFmtId="0" fontId="1288" fillId="1288" borderId="1231" xfId="0" applyFont="1" applyFill="1" applyBorder="1" applyAlignment="1">
      <alignment horizontal="center" vertical="center"/>
    </xf>
    <xf numFmtId="0" fontId="1289" fillId="1289" borderId="1232" xfId="0" applyFont="1" applyFill="1" applyBorder="1" applyAlignment="1">
      <alignment horizontal="center" vertical="center"/>
    </xf>
    <xf numFmtId="0" fontId="1290" fillId="1290" borderId="1233" xfId="0" applyFont="1" applyFill="1" applyBorder="1" applyAlignment="1">
      <alignment horizontal="center" vertical="center"/>
    </xf>
    <xf numFmtId="0" fontId="1291" fillId="1291" borderId="1234" xfId="0" applyFont="1" applyFill="1" applyBorder="1"/>
    <xf numFmtId="0" fontId="1292" fillId="1292" borderId="1235" xfId="0" applyFont="1" applyFill="1" applyBorder="1"/>
    <xf numFmtId="0" fontId="1293" fillId="1293" borderId="1236" xfId="0" applyFont="1" applyFill="1" applyBorder="1"/>
    <xf numFmtId="0" fontId="1294" fillId="1294" borderId="1237" xfId="0" applyFont="1" applyFill="1" applyBorder="1"/>
    <xf numFmtId="0" fontId="1295" fillId="1295" borderId="1238" xfId="0" applyFont="1" applyFill="1" applyBorder="1"/>
    <xf numFmtId="0" fontId="1296" fillId="1296" borderId="1239" xfId="0" applyFont="1" applyFill="1" applyBorder="1"/>
    <xf numFmtId="0" fontId="1297" fillId="1297" borderId="1240" xfId="0" applyFont="1" applyFill="1" applyBorder="1"/>
    <xf numFmtId="0" fontId="1298" fillId="1298" borderId="1241" xfId="0" applyFont="1" applyFill="1" applyBorder="1"/>
    <xf numFmtId="0" fontId="1299" fillId="1299" borderId="1242" xfId="0" applyFont="1" applyFill="1" applyBorder="1" applyAlignment="1">
      <alignment horizontal="center" vertical="center"/>
    </xf>
    <xf numFmtId="0" fontId="1300" fillId="1300" borderId="1243" xfId="0" applyFont="1" applyFill="1" applyBorder="1" applyAlignment="1">
      <alignment horizontal="center" vertical="center"/>
    </xf>
    <xf numFmtId="0" fontId="1301" fillId="1301" borderId="1244" xfId="0" applyFont="1" applyFill="1" applyBorder="1" applyAlignment="1">
      <alignment horizontal="center" vertical="center"/>
    </xf>
    <xf numFmtId="0" fontId="1302" fillId="1302" borderId="1245" xfId="0" applyFont="1" applyFill="1" applyBorder="1" applyAlignment="1">
      <alignment horizontal="center" vertical="center"/>
    </xf>
    <xf numFmtId="0" fontId="1303" fillId="1303" borderId="1246" xfId="0" applyFont="1" applyFill="1" applyBorder="1" applyAlignment="1">
      <alignment horizontal="center" vertical="center"/>
    </xf>
    <xf numFmtId="0" fontId="1304" fillId="1304" borderId="1247" xfId="0" applyFont="1" applyFill="1" applyBorder="1" applyAlignment="1">
      <alignment horizontal="center" vertical="center"/>
    </xf>
    <xf numFmtId="0" fontId="1305" fillId="1305" borderId="1248" xfId="0" applyFont="1" applyFill="1" applyBorder="1" applyAlignment="1">
      <alignment horizontal="center" vertical="center"/>
    </xf>
    <xf numFmtId="0" fontId="1306" fillId="1306" borderId="1249" xfId="0" applyFont="1" applyFill="1" applyBorder="1"/>
    <xf numFmtId="0" fontId="1307" fillId="1307" borderId="1250" xfId="0" applyFont="1" applyFill="1" applyBorder="1"/>
    <xf numFmtId="0" fontId="1308" fillId="1308" borderId="1251" xfId="0" applyFont="1" applyFill="1" applyBorder="1"/>
    <xf numFmtId="0" fontId="1309" fillId="1309" borderId="1252" xfId="0" applyFont="1" applyFill="1" applyBorder="1"/>
    <xf numFmtId="0" fontId="1310" fillId="1310" borderId="1253" xfId="0" applyFont="1" applyFill="1" applyBorder="1"/>
    <xf numFmtId="0" fontId="1311" fillId="1311" borderId="1254" xfId="0" applyFont="1" applyFill="1" applyBorder="1"/>
    <xf numFmtId="0" fontId="1312" fillId="1312" borderId="1255" xfId="0" applyFont="1" applyFill="1" applyBorder="1"/>
    <xf numFmtId="0" fontId="1313" fillId="1313" borderId="1256" xfId="0" applyFont="1" applyFill="1" applyBorder="1"/>
    <xf numFmtId="0" fontId="1314" fillId="1314" borderId="1257" xfId="0" applyFont="1" applyFill="1" applyBorder="1" applyAlignment="1">
      <alignment horizontal="center" vertical="center"/>
    </xf>
    <xf numFmtId="0" fontId="1315" fillId="1315" borderId="1258" xfId="0" applyFont="1" applyFill="1" applyBorder="1" applyAlignment="1">
      <alignment horizontal="center" vertical="center"/>
    </xf>
    <xf numFmtId="0" fontId="1316" fillId="1316" borderId="1259" xfId="0" applyFont="1" applyFill="1" applyBorder="1" applyAlignment="1">
      <alignment horizontal="center" vertical="center"/>
    </xf>
    <xf numFmtId="0" fontId="1317" fillId="1317" borderId="1260" xfId="0" applyFont="1" applyFill="1" applyBorder="1" applyAlignment="1">
      <alignment horizontal="center" vertical="center"/>
    </xf>
    <xf numFmtId="0" fontId="1318" fillId="1318" borderId="1261" xfId="0" applyFont="1" applyFill="1" applyBorder="1" applyAlignment="1">
      <alignment horizontal="center" vertical="center"/>
    </xf>
    <xf numFmtId="0" fontId="1319" fillId="1319" borderId="1262" xfId="0" applyFont="1" applyFill="1" applyBorder="1" applyAlignment="1">
      <alignment horizontal="center" vertical="center"/>
    </xf>
    <xf numFmtId="0" fontId="1320" fillId="1320" borderId="1263" xfId="0" applyFont="1" applyFill="1" applyBorder="1" applyAlignment="1">
      <alignment horizontal="center" vertical="center"/>
    </xf>
    <xf numFmtId="0" fontId="1321" fillId="1321" borderId="1264" xfId="0" applyFont="1" applyFill="1" applyBorder="1"/>
    <xf numFmtId="0" fontId="1322" fillId="1322" borderId="1265" xfId="0" applyFont="1" applyFill="1" applyBorder="1"/>
    <xf numFmtId="0" fontId="1323" fillId="1323" borderId="1266" xfId="0" applyFont="1" applyFill="1" applyBorder="1"/>
    <xf numFmtId="0" fontId="1324" fillId="1324" borderId="1267" xfId="0" applyFont="1" applyFill="1" applyBorder="1"/>
    <xf numFmtId="0" fontId="1325" fillId="1325" borderId="1268" xfId="0" applyFont="1" applyFill="1" applyBorder="1"/>
    <xf numFmtId="0" fontId="1326" fillId="1326" borderId="1269" xfId="0" applyFont="1" applyFill="1" applyBorder="1"/>
    <xf numFmtId="0" fontId="1327" fillId="1327" borderId="1270" xfId="0" applyFont="1" applyFill="1" applyBorder="1"/>
    <xf numFmtId="0" fontId="1328" fillId="1328" borderId="1271" xfId="0" applyFont="1" applyFill="1" applyBorder="1"/>
    <xf numFmtId="0" fontId="1329" fillId="1329" borderId="1272" xfId="0" applyFont="1" applyFill="1" applyBorder="1" applyAlignment="1">
      <alignment horizontal="center" vertical="center"/>
    </xf>
    <xf numFmtId="0" fontId="1330" fillId="1330" borderId="1273" xfId="0" applyFont="1" applyFill="1" applyBorder="1" applyAlignment="1">
      <alignment horizontal="center" vertical="center"/>
    </xf>
    <xf numFmtId="0" fontId="1331" fillId="1331" borderId="1274" xfId="0" applyFont="1" applyFill="1" applyBorder="1" applyAlignment="1">
      <alignment horizontal="center" vertical="center"/>
    </xf>
    <xf numFmtId="0" fontId="1332" fillId="1332" borderId="1275" xfId="0" applyFont="1" applyFill="1" applyBorder="1" applyAlignment="1">
      <alignment horizontal="center" vertical="center"/>
    </xf>
    <xf numFmtId="0" fontId="1333" fillId="1333" borderId="1276" xfId="0" applyFont="1" applyFill="1" applyBorder="1" applyAlignment="1">
      <alignment horizontal="center" vertical="center"/>
    </xf>
    <xf numFmtId="0" fontId="1334" fillId="1334" borderId="1277" xfId="0" applyFont="1" applyFill="1" applyBorder="1" applyAlignment="1">
      <alignment horizontal="center" vertical="center"/>
    </xf>
    <xf numFmtId="0" fontId="1335" fillId="1335" borderId="1278" xfId="0" applyFont="1" applyFill="1" applyBorder="1" applyAlignment="1">
      <alignment horizontal="center" vertical="center"/>
    </xf>
    <xf numFmtId="0" fontId="1336" fillId="1336" borderId="1279" xfId="0" applyFont="1" applyFill="1" applyBorder="1"/>
    <xf numFmtId="0" fontId="1337" fillId="1337" borderId="1280" xfId="0" applyFont="1" applyFill="1" applyBorder="1"/>
    <xf numFmtId="0" fontId="1338" fillId="1338" borderId="1281" xfId="0" applyFont="1" applyFill="1" applyBorder="1"/>
    <xf numFmtId="0" fontId="1339" fillId="1339" borderId="1282" xfId="0" applyFont="1" applyFill="1" applyBorder="1"/>
    <xf numFmtId="0" fontId="1340" fillId="1340" borderId="1283" xfId="0" applyFont="1" applyFill="1" applyBorder="1"/>
    <xf numFmtId="0" fontId="1341" fillId="1341" borderId="1284" xfId="0" applyFont="1" applyFill="1" applyBorder="1"/>
    <xf numFmtId="0" fontId="1342" fillId="1342" borderId="1285" xfId="0" applyFont="1" applyFill="1" applyBorder="1"/>
    <xf numFmtId="0" fontId="1343" fillId="1343" borderId="1286" xfId="0" applyFont="1" applyFill="1" applyBorder="1"/>
    <xf numFmtId="0" fontId="1344" fillId="1344" borderId="1287" xfId="0" applyFont="1" applyFill="1" applyBorder="1" applyAlignment="1">
      <alignment horizontal="center" vertical="center"/>
    </xf>
    <xf numFmtId="0" fontId="1345" fillId="1345" borderId="1288" xfId="0" applyFont="1" applyFill="1" applyBorder="1" applyAlignment="1">
      <alignment horizontal="center" vertical="center"/>
    </xf>
    <xf numFmtId="0" fontId="1346" fillId="1346" borderId="1289" xfId="0" applyFont="1" applyFill="1" applyBorder="1" applyAlignment="1">
      <alignment horizontal="center" vertical="center"/>
    </xf>
    <xf numFmtId="0" fontId="1347" fillId="1347" borderId="1290" xfId="0" applyFont="1" applyFill="1" applyBorder="1" applyAlignment="1">
      <alignment horizontal="center" vertical="center"/>
    </xf>
    <xf numFmtId="0" fontId="1348" fillId="1348" borderId="1291" xfId="0" applyFont="1" applyFill="1" applyBorder="1" applyAlignment="1">
      <alignment horizontal="center" vertical="center"/>
    </xf>
    <xf numFmtId="0" fontId="1349" fillId="1349" borderId="1292" xfId="0" applyFont="1" applyFill="1" applyBorder="1" applyAlignment="1">
      <alignment horizontal="center" vertical="center"/>
    </xf>
    <xf numFmtId="0" fontId="1350" fillId="1350" borderId="1293" xfId="0" applyFont="1" applyFill="1" applyBorder="1" applyAlignment="1">
      <alignment horizontal="center" vertical="center"/>
    </xf>
    <xf numFmtId="0" fontId="1351" fillId="1351" borderId="1294" xfId="0" applyFont="1" applyFill="1" applyBorder="1"/>
    <xf numFmtId="0" fontId="1352" fillId="1352" borderId="1295" xfId="0" applyFont="1" applyFill="1" applyBorder="1"/>
    <xf numFmtId="0" fontId="1353" fillId="1353" borderId="1296" xfId="0" applyFont="1" applyFill="1" applyBorder="1"/>
    <xf numFmtId="0" fontId="1354" fillId="1354" borderId="1297" xfId="0" applyFont="1" applyFill="1" applyBorder="1"/>
    <xf numFmtId="0" fontId="1355" fillId="1355" borderId="1298" xfId="0" applyFont="1" applyFill="1" applyBorder="1"/>
    <xf numFmtId="0" fontId="1356" fillId="1356" borderId="1299" xfId="0" applyFont="1" applyFill="1" applyBorder="1"/>
    <xf numFmtId="0" fontId="1357" fillId="1357" borderId="1300" xfId="0" applyFont="1" applyFill="1" applyBorder="1"/>
    <xf numFmtId="0" fontId="1358" fillId="1358" borderId="1301" xfId="0" applyFont="1" applyFill="1" applyBorder="1"/>
    <xf numFmtId="0" fontId="1359" fillId="1359" borderId="1302" xfId="0" applyFont="1" applyFill="1" applyBorder="1" applyAlignment="1">
      <alignment horizontal="center" vertical="center"/>
    </xf>
    <xf numFmtId="0" fontId="1360" fillId="1360" borderId="1303" xfId="0" applyFont="1" applyFill="1" applyBorder="1" applyAlignment="1">
      <alignment horizontal="center" vertical="center"/>
    </xf>
    <xf numFmtId="0" fontId="1361" fillId="1361" borderId="1304" xfId="0" applyFont="1" applyFill="1" applyBorder="1" applyAlignment="1">
      <alignment horizontal="center" vertical="center"/>
    </xf>
    <xf numFmtId="0" fontId="1362" fillId="1362" borderId="1305" xfId="0" applyFont="1" applyFill="1" applyBorder="1" applyAlignment="1">
      <alignment horizontal="center" vertical="center"/>
    </xf>
    <xf numFmtId="0" fontId="1363" fillId="1363" borderId="1306" xfId="0" applyFont="1" applyFill="1" applyBorder="1" applyAlignment="1">
      <alignment horizontal="center" vertical="center"/>
    </xf>
    <xf numFmtId="0" fontId="1364" fillId="1364" borderId="1307" xfId="0" applyFont="1" applyFill="1" applyBorder="1" applyAlignment="1">
      <alignment horizontal="center" vertical="center"/>
    </xf>
    <xf numFmtId="0" fontId="1365" fillId="1365" borderId="1308" xfId="0" applyFont="1" applyFill="1" applyBorder="1" applyAlignment="1">
      <alignment horizontal="center" vertical="center"/>
    </xf>
    <xf numFmtId="0" fontId="1366" fillId="1366" borderId="1309" xfId="0" applyFont="1" applyFill="1" applyBorder="1"/>
    <xf numFmtId="0" fontId="1367" fillId="1367" borderId="1310" xfId="0" applyFont="1" applyFill="1" applyBorder="1"/>
    <xf numFmtId="0" fontId="1368" fillId="1368" borderId="1311" xfId="0" applyFont="1" applyFill="1" applyBorder="1"/>
    <xf numFmtId="0" fontId="1369" fillId="1369" borderId="1312" xfId="0" applyFont="1" applyFill="1" applyBorder="1"/>
    <xf numFmtId="0" fontId="1370" fillId="1370" borderId="1313" xfId="0" applyFont="1" applyFill="1" applyBorder="1"/>
    <xf numFmtId="0" fontId="1371" fillId="1371" borderId="1314" xfId="0" applyFont="1" applyFill="1" applyBorder="1"/>
    <xf numFmtId="0" fontId="1372" fillId="1372" borderId="1315" xfId="0" applyFont="1" applyFill="1" applyBorder="1"/>
    <xf numFmtId="0" fontId="1373" fillId="1373" borderId="1316" xfId="0" applyFont="1" applyFill="1" applyBorder="1"/>
    <xf numFmtId="0" fontId="1374" fillId="1374" borderId="1317" xfId="0" applyFont="1" applyFill="1" applyBorder="1" applyAlignment="1">
      <alignment horizontal="center" vertical="center"/>
    </xf>
    <xf numFmtId="0" fontId="1375" fillId="1375" borderId="1318" xfId="0" applyFont="1" applyFill="1" applyBorder="1" applyAlignment="1">
      <alignment horizontal="center" vertical="center"/>
    </xf>
    <xf numFmtId="0" fontId="1376" fillId="1376" borderId="1319" xfId="0" applyFont="1" applyFill="1" applyBorder="1" applyAlignment="1">
      <alignment horizontal="center" vertical="center"/>
    </xf>
    <xf numFmtId="0" fontId="1377" fillId="1377" borderId="1320" xfId="0" applyFont="1" applyFill="1" applyBorder="1" applyAlignment="1">
      <alignment horizontal="center" vertical="center"/>
    </xf>
    <xf numFmtId="0" fontId="1378" fillId="1378" borderId="1321" xfId="0" applyFont="1" applyFill="1" applyBorder="1" applyAlignment="1">
      <alignment horizontal="center" vertical="center"/>
    </xf>
    <xf numFmtId="0" fontId="1379" fillId="1379" borderId="1322" xfId="0" applyFont="1" applyFill="1" applyBorder="1" applyAlignment="1">
      <alignment horizontal="center" vertical="center"/>
    </xf>
    <xf numFmtId="0" fontId="1380" fillId="1380" borderId="1323" xfId="0" applyFont="1" applyFill="1" applyBorder="1" applyAlignment="1">
      <alignment horizontal="center" vertical="center"/>
    </xf>
    <xf numFmtId="0" fontId="1381" fillId="1381" borderId="1324" xfId="0" applyFont="1" applyFill="1" applyBorder="1"/>
    <xf numFmtId="0" fontId="1382" fillId="1382" borderId="1325" xfId="0" applyFont="1" applyFill="1" applyBorder="1"/>
    <xf numFmtId="0" fontId="1383" fillId="1383" borderId="1326" xfId="0" applyFont="1" applyFill="1" applyBorder="1"/>
    <xf numFmtId="0" fontId="1384" fillId="1384" borderId="1327" xfId="0" applyFont="1" applyFill="1" applyBorder="1"/>
    <xf numFmtId="0" fontId="1385" fillId="1385" borderId="1328" xfId="0" applyFont="1" applyFill="1" applyBorder="1"/>
    <xf numFmtId="0" fontId="1386" fillId="1386" borderId="1329" xfId="0" applyFont="1" applyFill="1" applyBorder="1"/>
    <xf numFmtId="0" fontId="1387" fillId="1387" borderId="1330" xfId="0" applyFont="1" applyFill="1" applyBorder="1"/>
    <xf numFmtId="0" fontId="1388" fillId="1388" borderId="1331" xfId="0" applyFont="1" applyFill="1" applyBorder="1"/>
    <xf numFmtId="0" fontId="1389" fillId="1389" borderId="1332" xfId="0" applyFont="1" applyFill="1" applyBorder="1" applyAlignment="1">
      <alignment horizontal="center" vertical="center"/>
    </xf>
    <xf numFmtId="0" fontId="1390" fillId="1390" borderId="1333" xfId="0" applyFont="1" applyFill="1" applyBorder="1" applyAlignment="1">
      <alignment horizontal="center" vertical="center"/>
    </xf>
    <xf numFmtId="0" fontId="1391" fillId="1391" borderId="1334" xfId="0" applyFont="1" applyFill="1" applyBorder="1" applyAlignment="1">
      <alignment horizontal="center" vertical="center"/>
    </xf>
    <xf numFmtId="0" fontId="1392" fillId="1392" borderId="1335" xfId="0" applyFont="1" applyFill="1" applyBorder="1" applyAlignment="1">
      <alignment horizontal="center" vertical="center"/>
    </xf>
    <xf numFmtId="0" fontId="1393" fillId="1393" borderId="1336" xfId="0" applyFont="1" applyFill="1" applyBorder="1" applyAlignment="1">
      <alignment horizontal="center" vertical="center"/>
    </xf>
    <xf numFmtId="0" fontId="1394" fillId="1394" borderId="1337" xfId="0" applyFont="1" applyFill="1" applyBorder="1" applyAlignment="1">
      <alignment horizontal="center" vertical="center"/>
    </xf>
    <xf numFmtId="0" fontId="1395" fillId="1395" borderId="1338" xfId="0" applyFont="1" applyFill="1" applyBorder="1" applyAlignment="1">
      <alignment horizontal="center" vertical="center"/>
    </xf>
    <xf numFmtId="0" fontId="1396" fillId="1396" borderId="1339" xfId="0" applyFont="1" applyFill="1" applyBorder="1"/>
    <xf numFmtId="0" fontId="1397" fillId="1397" borderId="1340" xfId="0" applyFont="1" applyFill="1" applyBorder="1"/>
    <xf numFmtId="0" fontId="1398" fillId="1398" borderId="1341" xfId="0" applyFont="1" applyFill="1" applyBorder="1"/>
    <xf numFmtId="0" fontId="1399" fillId="1399" borderId="1342" xfId="0" applyFont="1" applyFill="1" applyBorder="1"/>
    <xf numFmtId="0" fontId="1400" fillId="1400" borderId="1343" xfId="0" applyFont="1" applyFill="1" applyBorder="1"/>
    <xf numFmtId="0" fontId="1401" fillId="1401" borderId="1344" xfId="0" applyFont="1" applyFill="1" applyBorder="1"/>
    <xf numFmtId="0" fontId="1402" fillId="1402" borderId="1345" xfId="0" applyFont="1" applyFill="1" applyBorder="1"/>
    <xf numFmtId="0" fontId="1403" fillId="1403" borderId="1346" xfId="0" applyFont="1" applyFill="1" applyBorder="1"/>
    <xf numFmtId="0" fontId="1404" fillId="1404" borderId="1347" xfId="0" applyFont="1" applyFill="1" applyBorder="1" applyAlignment="1">
      <alignment horizontal="center" vertical="center"/>
    </xf>
    <xf numFmtId="0" fontId="1405" fillId="1405" borderId="1348" xfId="0" applyFont="1" applyFill="1" applyBorder="1" applyAlignment="1">
      <alignment horizontal="center" vertical="center"/>
    </xf>
    <xf numFmtId="0" fontId="1406" fillId="1406" borderId="1349" xfId="0" applyFont="1" applyFill="1" applyBorder="1" applyAlignment="1">
      <alignment horizontal="center" vertical="center"/>
    </xf>
    <xf numFmtId="0" fontId="1407" fillId="1407" borderId="1350" xfId="0" applyFont="1" applyFill="1" applyBorder="1" applyAlignment="1">
      <alignment horizontal="center" vertical="center"/>
    </xf>
    <xf numFmtId="0" fontId="1408" fillId="1408" borderId="1351" xfId="0" applyFont="1" applyFill="1" applyBorder="1" applyAlignment="1">
      <alignment horizontal="center" vertical="center"/>
    </xf>
    <xf numFmtId="0" fontId="1409" fillId="1409" borderId="1352" xfId="0" applyFont="1" applyFill="1" applyBorder="1" applyAlignment="1">
      <alignment horizontal="center" vertical="center"/>
    </xf>
    <xf numFmtId="0" fontId="1410" fillId="1410" borderId="1353" xfId="0" applyFont="1" applyFill="1" applyBorder="1" applyAlignment="1">
      <alignment horizontal="center" vertical="center"/>
    </xf>
    <xf numFmtId="0" fontId="1411" fillId="1411" borderId="1354" xfId="0" applyFont="1" applyFill="1" applyBorder="1"/>
    <xf numFmtId="0" fontId="1412" fillId="1412" borderId="1355" xfId="0" applyFont="1" applyFill="1" applyBorder="1"/>
    <xf numFmtId="0" fontId="1413" fillId="1413" borderId="1356" xfId="0" applyFont="1" applyFill="1" applyBorder="1"/>
    <xf numFmtId="0" fontId="1414" fillId="1414" borderId="1357" xfId="0" applyFont="1" applyFill="1" applyBorder="1"/>
    <xf numFmtId="0" fontId="1415" fillId="1415" borderId="1358" xfId="0" applyFont="1" applyFill="1" applyBorder="1"/>
    <xf numFmtId="0" fontId="1416" fillId="1416" borderId="1359" xfId="0" applyFont="1" applyFill="1" applyBorder="1"/>
    <xf numFmtId="0" fontId="1417" fillId="1417" borderId="1360" xfId="0" applyFont="1" applyFill="1" applyBorder="1"/>
    <xf numFmtId="0" fontId="1418" fillId="1418" borderId="1361" xfId="0" applyFont="1" applyFill="1" applyBorder="1"/>
    <xf numFmtId="0" fontId="1419" fillId="1419" borderId="1362" xfId="0" applyFont="1" applyFill="1" applyBorder="1" applyAlignment="1">
      <alignment horizontal="center" vertical="center"/>
    </xf>
    <xf numFmtId="0" fontId="1420" fillId="1420" borderId="1363" xfId="0" applyFont="1" applyFill="1" applyBorder="1" applyAlignment="1">
      <alignment horizontal="center" vertical="center"/>
    </xf>
    <xf numFmtId="0" fontId="1421" fillId="1421" borderId="1364" xfId="0" applyFont="1" applyFill="1" applyBorder="1" applyAlignment="1">
      <alignment horizontal="center" vertical="center"/>
    </xf>
    <xf numFmtId="0" fontId="1422" fillId="1422" borderId="1365" xfId="0" applyFont="1" applyFill="1" applyBorder="1" applyAlignment="1">
      <alignment horizontal="center" vertical="center"/>
    </xf>
    <xf numFmtId="0" fontId="1423" fillId="1423" borderId="1366" xfId="0" applyFont="1" applyFill="1" applyBorder="1" applyAlignment="1">
      <alignment horizontal="center" vertical="center"/>
    </xf>
    <xf numFmtId="0" fontId="1424" fillId="1424" borderId="1367" xfId="0" applyFont="1" applyFill="1" applyBorder="1" applyAlignment="1">
      <alignment horizontal="center" vertical="center"/>
    </xf>
    <xf numFmtId="0" fontId="1425" fillId="1425" borderId="1368" xfId="0" applyFont="1" applyFill="1" applyBorder="1" applyAlignment="1">
      <alignment horizontal="center" vertical="center"/>
    </xf>
    <xf numFmtId="0" fontId="1426" fillId="1426" borderId="1369" xfId="0" applyFont="1" applyFill="1" applyBorder="1"/>
    <xf numFmtId="0" fontId="1427" fillId="1427" borderId="1370" xfId="0" applyFont="1" applyFill="1" applyBorder="1"/>
    <xf numFmtId="0" fontId="1428" fillId="1428" borderId="1371" xfId="0" applyFont="1" applyFill="1" applyBorder="1"/>
    <xf numFmtId="0" fontId="1429" fillId="1429" borderId="1372" xfId="0" applyFont="1" applyFill="1" applyBorder="1"/>
    <xf numFmtId="0" fontId="1430" fillId="1430" borderId="1373" xfId="0" applyFont="1" applyFill="1" applyBorder="1"/>
    <xf numFmtId="0" fontId="1431" fillId="1431" borderId="1374" xfId="0" applyFont="1" applyFill="1" applyBorder="1"/>
    <xf numFmtId="0" fontId="1432" fillId="1432" borderId="1375" xfId="0" applyFont="1" applyFill="1" applyBorder="1"/>
    <xf numFmtId="0" fontId="1433" fillId="1433" borderId="1376" xfId="0" applyFont="1" applyFill="1" applyBorder="1"/>
    <xf numFmtId="0" fontId="1434" fillId="1434" borderId="1377" xfId="0" applyFont="1" applyFill="1" applyBorder="1" applyAlignment="1">
      <alignment horizontal="center" vertical="center"/>
    </xf>
    <xf numFmtId="0" fontId="1435" fillId="1435" borderId="1378" xfId="0" applyFont="1" applyFill="1" applyBorder="1" applyAlignment="1">
      <alignment horizontal="center" vertical="center"/>
    </xf>
    <xf numFmtId="0" fontId="1436" fillId="1436" borderId="1379" xfId="0" applyFont="1" applyFill="1" applyBorder="1" applyAlignment="1">
      <alignment horizontal="center" vertical="center"/>
    </xf>
    <xf numFmtId="0" fontId="1437" fillId="1437" borderId="1380" xfId="0" applyFont="1" applyFill="1" applyBorder="1" applyAlignment="1">
      <alignment horizontal="center" vertical="center"/>
    </xf>
    <xf numFmtId="0" fontId="1438" fillId="1438" borderId="1381" xfId="0" applyFont="1" applyFill="1" applyBorder="1" applyAlignment="1">
      <alignment horizontal="center" vertical="center"/>
    </xf>
    <xf numFmtId="0" fontId="1439" fillId="1439" borderId="1382" xfId="0" applyFont="1" applyFill="1" applyBorder="1" applyAlignment="1">
      <alignment horizontal="center" vertical="center"/>
    </xf>
    <xf numFmtId="0" fontId="1440" fillId="1440" borderId="1383" xfId="0" applyFont="1" applyFill="1" applyBorder="1" applyAlignment="1">
      <alignment horizontal="center" vertical="center"/>
    </xf>
    <xf numFmtId="0" fontId="1441" fillId="1441" borderId="1384" xfId="0" applyFont="1" applyFill="1" applyBorder="1"/>
    <xf numFmtId="0" fontId="1442" fillId="1442" borderId="1385" xfId="0" applyFont="1" applyFill="1" applyBorder="1"/>
    <xf numFmtId="0" fontId="1443" fillId="1443" borderId="1386" xfId="0" applyFont="1" applyFill="1" applyBorder="1"/>
    <xf numFmtId="0" fontId="1444" fillId="1444" borderId="1387" xfId="0" applyFont="1" applyFill="1" applyBorder="1"/>
    <xf numFmtId="0" fontId="1445" fillId="1445" borderId="1388" xfId="0" applyFont="1" applyFill="1" applyBorder="1"/>
    <xf numFmtId="0" fontId="1446" fillId="1446" borderId="1389" xfId="0" applyFont="1" applyFill="1" applyBorder="1"/>
    <xf numFmtId="0" fontId="1447" fillId="1447" borderId="1390" xfId="0" applyFont="1" applyFill="1" applyBorder="1"/>
    <xf numFmtId="0" fontId="1448" fillId="1448" borderId="1391" xfId="0" applyFont="1" applyFill="1" applyBorder="1"/>
    <xf numFmtId="0" fontId="1449" fillId="1449" borderId="1392" xfId="0" applyFont="1" applyFill="1" applyBorder="1" applyAlignment="1">
      <alignment horizontal="center" vertical="center"/>
    </xf>
    <xf numFmtId="0" fontId="1450" fillId="1450" borderId="1393" xfId="0" applyFont="1" applyFill="1" applyBorder="1" applyAlignment="1">
      <alignment horizontal="center" vertical="center"/>
    </xf>
    <xf numFmtId="0" fontId="1451" fillId="1451" borderId="1394" xfId="0" applyFont="1" applyFill="1" applyBorder="1" applyAlignment="1">
      <alignment horizontal="center" vertical="center"/>
    </xf>
    <xf numFmtId="0" fontId="1452" fillId="1452" borderId="1395" xfId="0" applyFont="1" applyFill="1" applyBorder="1" applyAlignment="1">
      <alignment horizontal="center" vertical="center"/>
    </xf>
    <xf numFmtId="0" fontId="1453" fillId="1453" borderId="1396" xfId="0" applyFont="1" applyFill="1" applyBorder="1" applyAlignment="1">
      <alignment horizontal="center" vertical="center"/>
    </xf>
    <xf numFmtId="0" fontId="1454" fillId="1454" borderId="1397" xfId="0" applyFont="1" applyFill="1" applyBorder="1" applyAlignment="1">
      <alignment horizontal="center" vertical="center"/>
    </xf>
    <xf numFmtId="0" fontId="1455" fillId="1455" borderId="1398" xfId="0" applyFont="1" applyFill="1" applyBorder="1" applyAlignment="1">
      <alignment horizontal="center" vertical="center"/>
    </xf>
    <xf numFmtId="0" fontId="1456" fillId="1456" borderId="1399" xfId="0" applyFont="1" applyFill="1" applyBorder="1"/>
    <xf numFmtId="0" fontId="1457" fillId="1457" borderId="1400" xfId="0" applyFont="1" applyFill="1" applyBorder="1"/>
    <xf numFmtId="0" fontId="1458" fillId="1458" borderId="1401" xfId="0" applyFont="1" applyFill="1" applyBorder="1"/>
    <xf numFmtId="0" fontId="1459" fillId="1459" borderId="1402" xfId="0" applyFont="1" applyFill="1" applyBorder="1"/>
    <xf numFmtId="0" fontId="1460" fillId="1460" borderId="1403" xfId="0" applyFont="1" applyFill="1" applyBorder="1"/>
    <xf numFmtId="0" fontId="1461" fillId="1461" borderId="1404" xfId="0" applyFont="1" applyFill="1" applyBorder="1"/>
    <xf numFmtId="0" fontId="1462" fillId="1462" borderId="1405" xfId="0" applyFont="1" applyFill="1" applyBorder="1"/>
    <xf numFmtId="0" fontId="1463" fillId="1463" borderId="1406" xfId="0" applyFont="1" applyFill="1" applyBorder="1"/>
    <xf numFmtId="0" fontId="1464" fillId="1464" borderId="1407" xfId="0" applyFont="1" applyFill="1" applyBorder="1" applyAlignment="1">
      <alignment horizontal="center" vertical="center"/>
    </xf>
    <xf numFmtId="0" fontId="1465" fillId="1465" borderId="1408" xfId="0" applyFont="1" applyFill="1" applyBorder="1" applyAlignment="1">
      <alignment horizontal="center" vertical="center"/>
    </xf>
    <xf numFmtId="0" fontId="1466" fillId="1466" borderId="1409" xfId="0" applyFont="1" applyFill="1" applyBorder="1" applyAlignment="1">
      <alignment horizontal="center" vertical="center"/>
    </xf>
    <xf numFmtId="0" fontId="1467" fillId="1467" borderId="1410" xfId="0" applyFont="1" applyFill="1" applyBorder="1" applyAlignment="1">
      <alignment horizontal="center" vertical="center"/>
    </xf>
    <xf numFmtId="0" fontId="1468" fillId="1468" borderId="1411" xfId="0" applyFont="1" applyFill="1" applyBorder="1" applyAlignment="1">
      <alignment horizontal="center" vertical="center"/>
    </xf>
    <xf numFmtId="0" fontId="1469" fillId="1469" borderId="1412" xfId="0" applyFont="1" applyFill="1" applyBorder="1" applyAlignment="1">
      <alignment horizontal="center" vertical="center"/>
    </xf>
    <xf numFmtId="0" fontId="1470" fillId="1470" borderId="1413" xfId="0" applyFont="1" applyFill="1" applyBorder="1" applyAlignment="1">
      <alignment horizontal="center" vertical="center"/>
    </xf>
    <xf numFmtId="0" fontId="1471" fillId="1471" borderId="1414" xfId="0" applyFont="1" applyFill="1" applyBorder="1"/>
    <xf numFmtId="0" fontId="1472" fillId="1472" borderId="1415" xfId="0" applyFont="1" applyFill="1" applyBorder="1"/>
    <xf numFmtId="0" fontId="1473" fillId="1473" borderId="1416" xfId="0" applyFont="1" applyFill="1" applyBorder="1"/>
    <xf numFmtId="0" fontId="1474" fillId="1474" borderId="1417" xfId="0" applyFont="1" applyFill="1" applyBorder="1"/>
    <xf numFmtId="0" fontId="1475" fillId="1475" borderId="1418" xfId="0" applyFont="1" applyFill="1" applyBorder="1"/>
    <xf numFmtId="0" fontId="1476" fillId="1476" borderId="1419" xfId="0" applyFont="1" applyFill="1" applyBorder="1"/>
    <xf numFmtId="0" fontId="1477" fillId="1477" borderId="1420" xfId="0" applyFont="1" applyFill="1" applyBorder="1"/>
    <xf numFmtId="0" fontId="1478" fillId="1478" borderId="1421" xfId="0" applyFont="1" applyFill="1" applyBorder="1"/>
    <xf numFmtId="0" fontId="1479" fillId="1479" borderId="1422" xfId="0" applyFont="1" applyFill="1" applyBorder="1" applyAlignment="1">
      <alignment horizontal="center" vertical="center"/>
    </xf>
    <xf numFmtId="0" fontId="1480" fillId="1480" borderId="1423" xfId="0" applyFont="1" applyFill="1" applyBorder="1" applyAlignment="1">
      <alignment horizontal="center" vertical="center"/>
    </xf>
    <xf numFmtId="0" fontId="1481" fillId="1481" borderId="1424" xfId="0" applyFont="1" applyFill="1" applyBorder="1" applyAlignment="1">
      <alignment horizontal="center" vertical="center"/>
    </xf>
    <xf numFmtId="0" fontId="1482" fillId="1482" borderId="1425" xfId="0" applyFont="1" applyFill="1" applyBorder="1" applyAlignment="1">
      <alignment horizontal="center" vertical="center"/>
    </xf>
    <xf numFmtId="0" fontId="1483" fillId="1483" borderId="1426" xfId="0" applyFont="1" applyFill="1" applyBorder="1" applyAlignment="1">
      <alignment horizontal="center" vertical="center"/>
    </xf>
    <xf numFmtId="0" fontId="1484" fillId="1484" borderId="1427" xfId="0" applyFont="1" applyFill="1" applyBorder="1" applyAlignment="1">
      <alignment horizontal="center" vertical="center"/>
    </xf>
    <xf numFmtId="0" fontId="1485" fillId="1485" borderId="1428" xfId="0" applyFont="1" applyFill="1" applyBorder="1" applyAlignment="1">
      <alignment horizontal="center" vertical="center"/>
    </xf>
    <xf numFmtId="0" fontId="1486" fillId="1486" borderId="1429" xfId="0" applyFont="1" applyFill="1" applyBorder="1"/>
    <xf numFmtId="0" fontId="1487" fillId="1487" borderId="1430" xfId="0" applyFont="1" applyFill="1" applyBorder="1"/>
    <xf numFmtId="0" fontId="1488" fillId="1488" borderId="1431" xfId="0" applyFont="1" applyFill="1" applyBorder="1"/>
    <xf numFmtId="0" fontId="1489" fillId="1489" borderId="1432" xfId="0" applyFont="1" applyFill="1" applyBorder="1"/>
    <xf numFmtId="0" fontId="1490" fillId="1490" borderId="1433" xfId="0" applyFont="1" applyFill="1" applyBorder="1"/>
    <xf numFmtId="0" fontId="1491" fillId="1491" borderId="1434" xfId="0" applyFont="1" applyFill="1" applyBorder="1"/>
    <xf numFmtId="0" fontId="1492" fillId="1492" borderId="1435" xfId="0" applyFont="1" applyFill="1" applyBorder="1"/>
    <xf numFmtId="0" fontId="1493" fillId="1493" borderId="1436" xfId="0" applyFont="1" applyFill="1" applyBorder="1"/>
    <xf numFmtId="0" fontId="1494" fillId="1494" borderId="1437" xfId="0" applyFont="1" applyFill="1" applyBorder="1" applyAlignment="1">
      <alignment horizontal="center" vertical="center"/>
    </xf>
    <xf numFmtId="0" fontId="1495" fillId="1495" borderId="1438" xfId="0" applyFont="1" applyFill="1" applyBorder="1" applyAlignment="1">
      <alignment horizontal="center" vertical="center"/>
    </xf>
    <xf numFmtId="0" fontId="1496" fillId="1496" borderId="1439" xfId="0" applyFont="1" applyFill="1" applyBorder="1" applyAlignment="1">
      <alignment horizontal="center" vertical="center"/>
    </xf>
    <xf numFmtId="0" fontId="1497" fillId="1497" borderId="1440" xfId="0" applyFont="1" applyFill="1" applyBorder="1" applyAlignment="1">
      <alignment horizontal="center" vertical="center"/>
    </xf>
    <xf numFmtId="0" fontId="1498" fillId="1498" borderId="1441" xfId="0" applyFont="1" applyFill="1" applyBorder="1" applyAlignment="1">
      <alignment horizontal="center" vertical="center"/>
    </xf>
    <xf numFmtId="0" fontId="1499" fillId="1499" borderId="1442" xfId="0" applyFont="1" applyFill="1" applyBorder="1" applyAlignment="1">
      <alignment horizontal="center" vertical="center"/>
    </xf>
    <xf numFmtId="0" fontId="1500" fillId="1500" borderId="1443" xfId="0" applyFont="1" applyFill="1" applyBorder="1" applyAlignment="1">
      <alignment horizontal="center" vertical="center"/>
    </xf>
    <xf numFmtId="0" fontId="1501" fillId="1501" borderId="1444" xfId="0" applyFont="1" applyFill="1" applyBorder="1"/>
    <xf numFmtId="0" fontId="1502" fillId="1502" borderId="1445" xfId="0" applyFont="1" applyFill="1" applyBorder="1"/>
    <xf numFmtId="0" fontId="1503" fillId="1503" borderId="1446" xfId="0" applyFont="1" applyFill="1" applyBorder="1"/>
    <xf numFmtId="0" fontId="1504" fillId="1504" borderId="1447" xfId="0" applyFont="1" applyFill="1" applyBorder="1"/>
    <xf numFmtId="0" fontId="1505" fillId="1505" borderId="1448" xfId="0" applyFont="1" applyFill="1" applyBorder="1"/>
    <xf numFmtId="0" fontId="1506" fillId="1506" borderId="1449" xfId="0" applyFont="1" applyFill="1" applyBorder="1"/>
    <xf numFmtId="0" fontId="1507" fillId="1507" borderId="1450" xfId="0" applyFont="1" applyFill="1" applyBorder="1"/>
    <xf numFmtId="0" fontId="1508" fillId="1508" borderId="1451" xfId="0" applyFont="1" applyFill="1" applyBorder="1"/>
    <xf numFmtId="0" fontId="1509" fillId="1509" borderId="1452" xfId="0" applyFont="1" applyFill="1" applyBorder="1" applyAlignment="1">
      <alignment horizontal="center" vertical="center"/>
    </xf>
    <xf numFmtId="0" fontId="1510" fillId="1510" borderId="1453" xfId="0" applyFont="1" applyFill="1" applyBorder="1" applyAlignment="1">
      <alignment horizontal="center" vertical="center"/>
    </xf>
    <xf numFmtId="0" fontId="1511" fillId="1511" borderId="1454" xfId="0" applyFont="1" applyFill="1" applyBorder="1" applyAlignment="1">
      <alignment horizontal="center" vertical="center"/>
    </xf>
    <xf numFmtId="0" fontId="1512" fillId="1512" borderId="1455" xfId="0" applyFont="1" applyFill="1" applyBorder="1" applyAlignment="1">
      <alignment horizontal="center" vertical="center"/>
    </xf>
    <xf numFmtId="0" fontId="1513" fillId="1513" borderId="1456" xfId="0" applyFont="1" applyFill="1" applyBorder="1" applyAlignment="1">
      <alignment horizontal="center" vertical="center"/>
    </xf>
    <xf numFmtId="0" fontId="1514" fillId="1514" borderId="1457" xfId="0" applyFont="1" applyFill="1" applyBorder="1" applyAlignment="1">
      <alignment horizontal="center" vertical="center"/>
    </xf>
    <xf numFmtId="0" fontId="1515" fillId="1515" borderId="1458" xfId="0" applyFont="1" applyFill="1" applyBorder="1" applyAlignment="1">
      <alignment horizontal="center" vertical="center"/>
    </xf>
    <xf numFmtId="0" fontId="1516" fillId="1516" borderId="1459" xfId="0" applyFont="1" applyFill="1" applyBorder="1"/>
    <xf numFmtId="0" fontId="1517" fillId="1517" borderId="1460" xfId="0" applyFont="1" applyFill="1" applyBorder="1"/>
    <xf numFmtId="0" fontId="1518" fillId="1518" borderId="1461" xfId="0" applyFont="1" applyFill="1" applyBorder="1"/>
    <xf numFmtId="0" fontId="1519" fillId="1519" borderId="1462" xfId="0" applyFont="1" applyFill="1" applyBorder="1"/>
    <xf numFmtId="0" fontId="1520" fillId="1520" borderId="1463" xfId="0" applyFont="1" applyFill="1" applyBorder="1"/>
    <xf numFmtId="0" fontId="1521" fillId="1521" borderId="1464" xfId="0" applyFont="1" applyFill="1" applyBorder="1"/>
    <xf numFmtId="0" fontId="1522" fillId="1522" borderId="1465" xfId="0" applyFont="1" applyFill="1" applyBorder="1"/>
    <xf numFmtId="0" fontId="1523" fillId="1523" borderId="1466" xfId="0" applyFont="1" applyFill="1" applyBorder="1"/>
    <xf numFmtId="0" fontId="1524" fillId="1524" borderId="1467" xfId="0" applyFont="1" applyFill="1" applyBorder="1" applyAlignment="1">
      <alignment horizontal="center" vertical="center"/>
    </xf>
    <xf numFmtId="0" fontId="1525" fillId="1525" borderId="1468" xfId="0" applyFont="1" applyFill="1" applyBorder="1" applyAlignment="1">
      <alignment horizontal="center" vertical="center"/>
    </xf>
    <xf numFmtId="0" fontId="1526" fillId="1526" borderId="1469" xfId="0" applyFont="1" applyFill="1" applyBorder="1" applyAlignment="1">
      <alignment horizontal="center" vertical="center"/>
    </xf>
    <xf numFmtId="0" fontId="1527" fillId="1527" borderId="1470" xfId="0" applyFont="1" applyFill="1" applyBorder="1" applyAlignment="1">
      <alignment horizontal="center" vertical="center"/>
    </xf>
    <xf numFmtId="0" fontId="1528" fillId="1528" borderId="1471" xfId="0" applyFont="1" applyFill="1" applyBorder="1" applyAlignment="1">
      <alignment horizontal="center" vertical="center"/>
    </xf>
    <xf numFmtId="0" fontId="1529" fillId="1529" borderId="1472" xfId="0" applyFont="1" applyFill="1" applyBorder="1" applyAlignment="1">
      <alignment horizontal="center" vertical="center"/>
    </xf>
    <xf numFmtId="0" fontId="1530" fillId="1530" borderId="1473" xfId="0" applyFont="1" applyFill="1" applyBorder="1" applyAlignment="1">
      <alignment horizontal="center" vertical="center"/>
    </xf>
    <xf numFmtId="0" fontId="1531" fillId="1531" borderId="1474" xfId="0" applyFont="1" applyFill="1" applyBorder="1"/>
    <xf numFmtId="0" fontId="1532" fillId="1532" borderId="1475" xfId="0" applyFont="1" applyFill="1" applyBorder="1"/>
    <xf numFmtId="0" fontId="1533" fillId="1533" borderId="1476" xfId="0" applyFont="1" applyFill="1" applyBorder="1"/>
    <xf numFmtId="0" fontId="1534" fillId="1534" borderId="1477" xfId="0" applyFont="1" applyFill="1" applyBorder="1"/>
    <xf numFmtId="0" fontId="1535" fillId="1535" borderId="1478" xfId="0" applyFont="1" applyFill="1" applyBorder="1"/>
    <xf numFmtId="0" fontId="1536" fillId="1536" borderId="1479" xfId="0" applyFont="1" applyFill="1" applyBorder="1"/>
    <xf numFmtId="0" fontId="1537" fillId="1537" borderId="1480" xfId="0" applyFont="1" applyFill="1" applyBorder="1"/>
    <xf numFmtId="0" fontId="1538" fillId="1538" borderId="1481" xfId="0" applyFont="1" applyFill="1" applyBorder="1"/>
    <xf numFmtId="0" fontId="1539" fillId="1539" borderId="1482" xfId="0" applyFont="1" applyFill="1" applyBorder="1" applyAlignment="1">
      <alignment horizontal="center" vertical="center"/>
    </xf>
    <xf numFmtId="0" fontId="1540" fillId="1540" borderId="1483" xfId="0" applyFont="1" applyFill="1" applyBorder="1" applyAlignment="1">
      <alignment horizontal="center" vertical="center"/>
    </xf>
    <xf numFmtId="0" fontId="1541" fillId="1541" borderId="1484" xfId="0" applyFont="1" applyFill="1" applyBorder="1" applyAlignment="1">
      <alignment horizontal="center" vertical="center"/>
    </xf>
    <xf numFmtId="0" fontId="1542" fillId="1542" borderId="1485" xfId="0" applyFont="1" applyFill="1" applyBorder="1" applyAlignment="1">
      <alignment horizontal="center" vertical="center"/>
    </xf>
    <xf numFmtId="0" fontId="1543" fillId="1543" borderId="1486" xfId="0" applyFont="1" applyFill="1" applyBorder="1" applyAlignment="1">
      <alignment horizontal="center" vertical="center"/>
    </xf>
    <xf numFmtId="0" fontId="1544" fillId="1544" borderId="1487" xfId="0" applyFont="1" applyFill="1" applyBorder="1" applyAlignment="1">
      <alignment horizontal="center" vertical="center"/>
    </xf>
    <xf numFmtId="0" fontId="1545" fillId="1545" borderId="1488" xfId="0" applyFont="1" applyFill="1" applyBorder="1" applyAlignment="1">
      <alignment horizontal="center" vertical="center"/>
    </xf>
    <xf numFmtId="0" fontId="1546" fillId="1546" borderId="1489" xfId="0" applyFont="1" applyFill="1" applyBorder="1"/>
    <xf numFmtId="0" fontId="1547" fillId="1547" borderId="1490" xfId="0" applyFont="1" applyFill="1" applyBorder="1"/>
    <xf numFmtId="0" fontId="1548" fillId="1548" borderId="1491" xfId="0" applyFont="1" applyFill="1" applyBorder="1"/>
    <xf numFmtId="0" fontId="1549" fillId="1549" borderId="1492" xfId="0" applyFont="1" applyFill="1" applyBorder="1"/>
    <xf numFmtId="0" fontId="1550" fillId="1550" borderId="1493" xfId="0" applyFont="1" applyFill="1" applyBorder="1"/>
    <xf numFmtId="0" fontId="1551" fillId="1551" borderId="1494" xfId="0" applyFont="1" applyFill="1" applyBorder="1"/>
    <xf numFmtId="0" fontId="1552" fillId="1552" borderId="1495" xfId="0" applyFont="1" applyFill="1" applyBorder="1"/>
    <xf numFmtId="0" fontId="1553" fillId="1553" borderId="1496" xfId="0" applyFont="1" applyFill="1" applyBorder="1"/>
    <xf numFmtId="0" fontId="1554" fillId="1554" borderId="1497" xfId="0" applyFont="1" applyFill="1" applyBorder="1" applyAlignment="1">
      <alignment horizontal="center" vertical="center"/>
    </xf>
    <xf numFmtId="0" fontId="1555" fillId="1555" borderId="1498" xfId="0" applyFont="1" applyFill="1" applyBorder="1" applyAlignment="1">
      <alignment horizontal="center" vertical="center"/>
    </xf>
    <xf numFmtId="0" fontId="1556" fillId="1556" borderId="1499" xfId="0" applyFont="1" applyFill="1" applyBorder="1" applyAlignment="1">
      <alignment horizontal="center" vertical="center"/>
    </xf>
    <xf numFmtId="0" fontId="1557" fillId="1557" borderId="1500" xfId="0" applyFont="1" applyFill="1" applyBorder="1" applyAlignment="1">
      <alignment horizontal="center" vertical="center"/>
    </xf>
    <xf numFmtId="0" fontId="1558" fillId="1558" borderId="1501" xfId="0" applyFont="1" applyFill="1" applyBorder="1" applyAlignment="1">
      <alignment horizontal="center" vertical="center"/>
    </xf>
    <xf numFmtId="0" fontId="1559" fillId="1559" borderId="1502" xfId="0" applyFont="1" applyFill="1" applyBorder="1" applyAlignment="1">
      <alignment horizontal="center" vertical="center"/>
    </xf>
    <xf numFmtId="0" fontId="1560" fillId="1560" borderId="1503" xfId="0" applyFont="1" applyFill="1" applyBorder="1" applyAlignment="1">
      <alignment horizontal="center" vertical="center"/>
    </xf>
    <xf numFmtId="0" fontId="1561" fillId="1561" borderId="1504" xfId="0" applyFont="1" applyFill="1" applyBorder="1"/>
    <xf numFmtId="0" fontId="1562" fillId="1562" borderId="1505" xfId="0" applyFont="1" applyFill="1" applyBorder="1"/>
    <xf numFmtId="0" fontId="1563" fillId="1563" borderId="1506" xfId="0" applyFont="1" applyFill="1" applyBorder="1"/>
    <xf numFmtId="0" fontId="1564" fillId="1564" borderId="1507" xfId="0" applyFont="1" applyFill="1" applyBorder="1"/>
    <xf numFmtId="0" fontId="1565" fillId="1565" borderId="1508" xfId="0" applyFont="1" applyFill="1" applyBorder="1"/>
    <xf numFmtId="0" fontId="1566" fillId="1566" borderId="1509" xfId="0" applyFont="1" applyFill="1" applyBorder="1"/>
    <xf numFmtId="0" fontId="1567" fillId="1567" borderId="1510" xfId="0" applyFont="1" applyFill="1" applyBorder="1"/>
    <xf numFmtId="0" fontId="1568" fillId="1568" borderId="1511" xfId="0" applyFont="1" applyFill="1" applyBorder="1"/>
    <xf numFmtId="0" fontId="1569" fillId="1569" borderId="1512" xfId="0" applyFont="1" applyFill="1" applyBorder="1" applyAlignment="1">
      <alignment horizontal="center" vertical="center"/>
    </xf>
    <xf numFmtId="0" fontId="1570" fillId="1570" borderId="1513" xfId="0" applyFont="1" applyFill="1" applyBorder="1" applyAlignment="1">
      <alignment horizontal="center" vertical="center"/>
    </xf>
    <xf numFmtId="0" fontId="1571" fillId="1571" borderId="1514" xfId="0" applyFont="1" applyFill="1" applyBorder="1" applyAlignment="1">
      <alignment horizontal="center" vertical="center"/>
    </xf>
    <xf numFmtId="0" fontId="1572" fillId="1572" borderId="1515" xfId="0" applyFont="1" applyFill="1" applyBorder="1" applyAlignment="1">
      <alignment horizontal="center" vertical="center"/>
    </xf>
    <xf numFmtId="0" fontId="1573" fillId="1573" borderId="1516" xfId="0" applyFont="1" applyFill="1" applyBorder="1" applyAlignment="1">
      <alignment horizontal="center" vertical="center"/>
    </xf>
    <xf numFmtId="0" fontId="1574" fillId="1574" borderId="1517" xfId="0" applyFont="1" applyFill="1" applyBorder="1" applyAlignment="1">
      <alignment horizontal="center" vertical="center"/>
    </xf>
    <xf numFmtId="0" fontId="1575" fillId="1575" borderId="1518" xfId="0" applyFont="1" applyFill="1" applyBorder="1" applyAlignment="1">
      <alignment horizontal="center" vertical="center"/>
    </xf>
    <xf numFmtId="0" fontId="1576" fillId="1576" borderId="1519" xfId="0" applyFont="1" applyFill="1" applyBorder="1"/>
    <xf numFmtId="0" fontId="1577" fillId="1577" borderId="1520" xfId="0" applyFont="1" applyFill="1" applyBorder="1"/>
    <xf numFmtId="0" fontId="1578" fillId="1578" borderId="1521" xfId="0" applyFont="1" applyFill="1" applyBorder="1"/>
    <xf numFmtId="0" fontId="1579" fillId="1579" borderId="1522" xfId="0" applyFont="1" applyFill="1" applyBorder="1"/>
    <xf numFmtId="0" fontId="1580" fillId="1580" borderId="1523" xfId="0" applyFont="1" applyFill="1" applyBorder="1"/>
    <xf numFmtId="0" fontId="1581" fillId="1581" borderId="1524" xfId="0" applyFont="1" applyFill="1" applyBorder="1"/>
    <xf numFmtId="0" fontId="1582" fillId="1582" borderId="1525" xfId="0" applyFont="1" applyFill="1" applyBorder="1"/>
    <xf numFmtId="0" fontId="1583" fillId="1583" borderId="1526" xfId="0" applyFont="1" applyFill="1" applyBorder="1"/>
    <xf numFmtId="0" fontId="1584" fillId="1584" borderId="1527" xfId="0" applyFont="1" applyFill="1" applyBorder="1" applyAlignment="1">
      <alignment horizontal="center" vertical="center"/>
    </xf>
    <xf numFmtId="0" fontId="1585" fillId="1585" borderId="1528" xfId="0" applyFont="1" applyFill="1" applyBorder="1" applyAlignment="1">
      <alignment horizontal="center" vertical="center"/>
    </xf>
    <xf numFmtId="0" fontId="1586" fillId="1586" borderId="1529" xfId="0" applyFont="1" applyFill="1" applyBorder="1" applyAlignment="1">
      <alignment horizontal="center" vertical="center"/>
    </xf>
    <xf numFmtId="0" fontId="1587" fillId="1587" borderId="1530" xfId="0" applyFont="1" applyFill="1" applyBorder="1" applyAlignment="1">
      <alignment horizontal="center" vertical="center"/>
    </xf>
    <xf numFmtId="0" fontId="1588" fillId="1588" borderId="1531" xfId="0" applyFont="1" applyFill="1" applyBorder="1" applyAlignment="1">
      <alignment horizontal="center" vertical="center"/>
    </xf>
    <xf numFmtId="0" fontId="1589" fillId="1589" borderId="1532" xfId="0" applyFont="1" applyFill="1" applyBorder="1" applyAlignment="1">
      <alignment horizontal="center" vertical="center"/>
    </xf>
    <xf numFmtId="0" fontId="1590" fillId="1590" borderId="1533" xfId="0" applyFont="1" applyFill="1" applyBorder="1" applyAlignment="1">
      <alignment horizontal="center" vertical="center"/>
    </xf>
    <xf numFmtId="0" fontId="1591" fillId="1591" borderId="1534" xfId="0" applyFont="1" applyFill="1" applyBorder="1"/>
    <xf numFmtId="0" fontId="1592" fillId="1592" borderId="1535" xfId="0" applyFont="1" applyFill="1" applyBorder="1"/>
    <xf numFmtId="0" fontId="1593" fillId="1593" borderId="1536" xfId="0" applyFont="1" applyFill="1" applyBorder="1"/>
    <xf numFmtId="0" fontId="1594" fillId="1594" borderId="1537" xfId="0" applyFont="1" applyFill="1" applyBorder="1"/>
    <xf numFmtId="0" fontId="1595" fillId="1595" borderId="1538" xfId="0" applyFont="1" applyFill="1" applyBorder="1"/>
    <xf numFmtId="0" fontId="1596" fillId="1596" borderId="1539" xfId="0" applyFont="1" applyFill="1" applyBorder="1"/>
    <xf numFmtId="0" fontId="1597" fillId="1597" borderId="1540" xfId="0" applyFont="1" applyFill="1" applyBorder="1"/>
    <xf numFmtId="0" fontId="1598" fillId="1598" borderId="1541" xfId="0" applyFont="1" applyFill="1" applyBorder="1"/>
    <xf numFmtId="0" fontId="1599" fillId="1599" borderId="1542" xfId="0" applyFont="1" applyFill="1" applyBorder="1" applyAlignment="1">
      <alignment horizontal="center" vertical="center"/>
    </xf>
    <xf numFmtId="0" fontId="1600" fillId="1600" borderId="1543" xfId="0" applyFont="1" applyFill="1" applyBorder="1" applyAlignment="1">
      <alignment horizontal="center" vertical="center"/>
    </xf>
    <xf numFmtId="0" fontId="1601" fillId="1601" borderId="1544" xfId="0" applyFont="1" applyFill="1" applyBorder="1" applyAlignment="1">
      <alignment horizontal="center" vertical="center"/>
    </xf>
    <xf numFmtId="0" fontId="1602" fillId="1602" borderId="1545" xfId="0" applyFont="1" applyFill="1" applyBorder="1" applyAlignment="1">
      <alignment horizontal="center" vertical="center"/>
    </xf>
    <xf numFmtId="0" fontId="1603" fillId="1603" borderId="1546" xfId="0" applyFont="1" applyFill="1" applyBorder="1" applyAlignment="1">
      <alignment horizontal="center" vertical="center"/>
    </xf>
    <xf numFmtId="0" fontId="1604" fillId="1604" borderId="1547" xfId="0" applyFont="1" applyFill="1" applyBorder="1" applyAlignment="1">
      <alignment horizontal="center" vertical="center"/>
    </xf>
    <xf numFmtId="0" fontId="1605" fillId="1605" borderId="1548" xfId="0" applyFont="1" applyFill="1" applyBorder="1" applyAlignment="1">
      <alignment horizontal="center" vertical="center"/>
    </xf>
    <xf numFmtId="0" fontId="1606" fillId="1606" borderId="1549" xfId="0" applyFont="1" applyFill="1" applyBorder="1"/>
    <xf numFmtId="0" fontId="1607" fillId="1607" borderId="1550" xfId="0" applyFont="1" applyFill="1" applyBorder="1"/>
    <xf numFmtId="0" fontId="1608" fillId="1608" borderId="1551" xfId="0" applyFont="1" applyFill="1" applyBorder="1"/>
    <xf numFmtId="0" fontId="1609" fillId="1609" borderId="1552" xfId="0" applyFont="1" applyFill="1" applyBorder="1"/>
    <xf numFmtId="0" fontId="1610" fillId="1610" borderId="1553" xfId="0" applyFont="1" applyFill="1" applyBorder="1"/>
    <xf numFmtId="0" fontId="1611" fillId="1611" borderId="1554" xfId="0" applyFont="1" applyFill="1" applyBorder="1"/>
    <xf numFmtId="0" fontId="1612" fillId="1612" borderId="1555" xfId="0" applyFont="1" applyFill="1" applyBorder="1"/>
    <xf numFmtId="0" fontId="1613" fillId="1613" borderId="1556" xfId="0" applyFont="1" applyFill="1" applyBorder="1"/>
    <xf numFmtId="0" fontId="1614" fillId="1614" borderId="1557" xfId="0" applyFont="1" applyFill="1" applyBorder="1" applyAlignment="1">
      <alignment horizontal="center" vertical="center"/>
    </xf>
    <xf numFmtId="0" fontId="1615" fillId="1615" borderId="1558" xfId="0" applyFont="1" applyFill="1" applyBorder="1" applyAlignment="1">
      <alignment horizontal="center" vertical="center"/>
    </xf>
    <xf numFmtId="0" fontId="1616" fillId="1616" borderId="1559" xfId="0" applyFont="1" applyFill="1" applyBorder="1" applyAlignment="1">
      <alignment horizontal="center" vertical="center"/>
    </xf>
    <xf numFmtId="0" fontId="1617" fillId="1617" borderId="1560" xfId="0" applyFont="1" applyFill="1" applyBorder="1" applyAlignment="1">
      <alignment horizontal="center" vertical="center"/>
    </xf>
    <xf numFmtId="0" fontId="1618" fillId="1618" borderId="1561" xfId="0" applyFont="1" applyFill="1" applyBorder="1" applyAlignment="1">
      <alignment horizontal="center" vertical="center"/>
    </xf>
    <xf numFmtId="0" fontId="1619" fillId="1619" borderId="1562" xfId="0" applyFont="1" applyFill="1" applyBorder="1" applyAlignment="1">
      <alignment horizontal="center" vertical="center"/>
    </xf>
    <xf numFmtId="0" fontId="1620" fillId="1620" borderId="1563" xfId="0" applyFont="1" applyFill="1" applyBorder="1" applyAlignment="1">
      <alignment horizontal="center" vertical="center"/>
    </xf>
    <xf numFmtId="0" fontId="1621" fillId="1621" borderId="1564" xfId="0" applyFont="1" applyFill="1" applyBorder="1"/>
    <xf numFmtId="0" fontId="1622" fillId="1622" borderId="1565" xfId="0" applyFont="1" applyFill="1" applyBorder="1"/>
    <xf numFmtId="0" fontId="1623" fillId="1623" borderId="1566" xfId="0" applyFont="1" applyFill="1" applyBorder="1"/>
    <xf numFmtId="0" fontId="1624" fillId="1624" borderId="1567" xfId="0" applyFont="1" applyFill="1" applyBorder="1"/>
    <xf numFmtId="0" fontId="1625" fillId="1625" borderId="1568" xfId="0" applyFont="1" applyFill="1" applyBorder="1"/>
    <xf numFmtId="0" fontId="1626" fillId="1626" borderId="1569" xfId="0" applyFont="1" applyFill="1" applyBorder="1"/>
    <xf numFmtId="0" fontId="1627" fillId="1627" borderId="1570" xfId="0" applyFont="1" applyFill="1" applyBorder="1"/>
    <xf numFmtId="0" fontId="1628" fillId="1628" borderId="1571" xfId="0" applyFont="1" applyFill="1" applyBorder="1"/>
    <xf numFmtId="0" fontId="1629" fillId="1629" borderId="1572" xfId="0" applyFont="1" applyFill="1" applyBorder="1" applyAlignment="1">
      <alignment horizontal="center" vertical="center"/>
    </xf>
    <xf numFmtId="0" fontId="1630" fillId="1630" borderId="1573" xfId="0" applyFont="1" applyFill="1" applyBorder="1" applyAlignment="1">
      <alignment horizontal="center" vertical="center"/>
    </xf>
    <xf numFmtId="0" fontId="1631" fillId="1631" borderId="1574" xfId="0" applyFont="1" applyFill="1" applyBorder="1" applyAlignment="1">
      <alignment horizontal="center" vertical="center"/>
    </xf>
    <xf numFmtId="0" fontId="1632" fillId="1632" borderId="1575" xfId="0" applyFont="1" applyFill="1" applyBorder="1" applyAlignment="1">
      <alignment horizontal="center" vertical="center"/>
    </xf>
    <xf numFmtId="0" fontId="1633" fillId="1633" borderId="1576" xfId="0" applyFont="1" applyFill="1" applyBorder="1" applyAlignment="1">
      <alignment horizontal="center" vertical="center"/>
    </xf>
    <xf numFmtId="0" fontId="1634" fillId="1634" borderId="1577" xfId="0" applyFont="1" applyFill="1" applyBorder="1" applyAlignment="1">
      <alignment horizontal="center" vertical="center"/>
    </xf>
    <xf numFmtId="0" fontId="1635" fillId="1635" borderId="1578" xfId="0" applyFont="1" applyFill="1" applyBorder="1" applyAlignment="1">
      <alignment horizontal="center" vertical="center"/>
    </xf>
    <xf numFmtId="0" fontId="1636" fillId="1636" borderId="1579" xfId="0" applyFont="1" applyFill="1" applyBorder="1"/>
    <xf numFmtId="0" fontId="1637" fillId="1637" borderId="1580" xfId="0" applyFont="1" applyFill="1" applyBorder="1"/>
    <xf numFmtId="0" fontId="1638" fillId="1638" borderId="1581" xfId="0" applyFont="1" applyFill="1" applyBorder="1"/>
    <xf numFmtId="0" fontId="1639" fillId="1639" borderId="1582" xfId="0" applyFont="1" applyFill="1" applyBorder="1"/>
    <xf numFmtId="0" fontId="1640" fillId="1640" borderId="1583" xfId="0" applyFont="1" applyFill="1" applyBorder="1"/>
    <xf numFmtId="0" fontId="1641" fillId="1641" borderId="1584" xfId="0" applyFont="1" applyFill="1" applyBorder="1"/>
    <xf numFmtId="0" fontId="1642" fillId="1642" borderId="1585" xfId="0" applyFont="1" applyFill="1" applyBorder="1"/>
    <xf numFmtId="0" fontId="1643" fillId="1643" borderId="1586" xfId="0" applyFont="1" applyFill="1" applyBorder="1"/>
    <xf numFmtId="0" fontId="1644" fillId="1644" borderId="1587" xfId="0" applyFont="1" applyFill="1" applyBorder="1" applyAlignment="1">
      <alignment horizontal="center" vertical="center"/>
    </xf>
    <xf numFmtId="0" fontId="1645" fillId="1645" borderId="1588" xfId="0" applyFont="1" applyFill="1" applyBorder="1" applyAlignment="1">
      <alignment horizontal="center" vertical="center"/>
    </xf>
    <xf numFmtId="0" fontId="1646" fillId="1646" borderId="1589" xfId="0" applyFont="1" applyFill="1" applyBorder="1" applyAlignment="1">
      <alignment horizontal="center" vertical="center"/>
    </xf>
    <xf numFmtId="0" fontId="1647" fillId="1647" borderId="1590" xfId="0" applyFont="1" applyFill="1" applyBorder="1" applyAlignment="1">
      <alignment horizontal="center" vertical="center"/>
    </xf>
    <xf numFmtId="0" fontId="1648" fillId="1648" borderId="1591" xfId="0" applyFont="1" applyFill="1" applyBorder="1" applyAlignment="1">
      <alignment horizontal="center" vertical="center"/>
    </xf>
    <xf numFmtId="0" fontId="1649" fillId="1649" borderId="1592" xfId="0" applyFont="1" applyFill="1" applyBorder="1" applyAlignment="1">
      <alignment horizontal="center" vertical="center"/>
    </xf>
    <xf numFmtId="0" fontId="1650" fillId="1650" borderId="1593" xfId="0" applyFont="1" applyFill="1" applyBorder="1" applyAlignment="1">
      <alignment horizontal="center" vertical="center"/>
    </xf>
    <xf numFmtId="0" fontId="1651" fillId="1651" borderId="1594" xfId="0" applyFont="1" applyFill="1" applyBorder="1"/>
    <xf numFmtId="0" fontId="1652" fillId="1652" borderId="1595" xfId="0" applyFont="1" applyFill="1" applyBorder="1"/>
    <xf numFmtId="0" fontId="1653" fillId="1653" borderId="1596" xfId="0" applyFont="1" applyFill="1" applyBorder="1"/>
    <xf numFmtId="0" fontId="1654" fillId="1654" borderId="1597" xfId="0" applyFont="1" applyFill="1" applyBorder="1"/>
    <xf numFmtId="0" fontId="1655" fillId="1655" borderId="1598" xfId="0" applyFont="1" applyFill="1" applyBorder="1"/>
    <xf numFmtId="0" fontId="1656" fillId="1656" borderId="1599" xfId="0" applyFont="1" applyFill="1" applyBorder="1"/>
    <xf numFmtId="0" fontId="1657" fillId="1657" borderId="1600" xfId="0" applyFont="1" applyFill="1" applyBorder="1"/>
    <xf numFmtId="0" fontId="1658" fillId="1658" borderId="1601" xfId="0" applyFont="1" applyFill="1" applyBorder="1"/>
    <xf numFmtId="0" fontId="1659" fillId="1659" borderId="1602" xfId="0" applyFont="1" applyFill="1" applyBorder="1" applyAlignment="1">
      <alignment horizontal="center" vertical="center"/>
    </xf>
    <xf numFmtId="0" fontId="1660" fillId="1660" borderId="1603" xfId="0" applyFont="1" applyFill="1" applyBorder="1" applyAlignment="1">
      <alignment horizontal="center" vertical="center"/>
    </xf>
    <xf numFmtId="0" fontId="1661" fillId="1661" borderId="1604" xfId="0" applyFont="1" applyFill="1" applyBorder="1" applyAlignment="1">
      <alignment horizontal="center" vertical="center"/>
    </xf>
    <xf numFmtId="0" fontId="1662" fillId="1662" borderId="1605" xfId="0" applyFont="1" applyFill="1" applyBorder="1" applyAlignment="1">
      <alignment horizontal="center" vertical="center"/>
    </xf>
    <xf numFmtId="0" fontId="1663" fillId="1663" borderId="1606" xfId="0" applyFont="1" applyFill="1" applyBorder="1" applyAlignment="1">
      <alignment horizontal="center" vertical="center"/>
    </xf>
    <xf numFmtId="0" fontId="1664" fillId="1664" borderId="1607" xfId="0" applyFont="1" applyFill="1" applyBorder="1" applyAlignment="1">
      <alignment horizontal="center" vertical="center"/>
    </xf>
    <xf numFmtId="0" fontId="1665" fillId="1665" borderId="1608" xfId="0" applyFont="1" applyFill="1" applyBorder="1" applyAlignment="1">
      <alignment horizontal="center" vertical="center"/>
    </xf>
    <xf numFmtId="0" fontId="1666" fillId="1666" borderId="1609" xfId="0" applyFont="1" applyFill="1" applyBorder="1"/>
    <xf numFmtId="0" fontId="1667" fillId="1667" borderId="1610" xfId="0" applyFont="1" applyFill="1" applyBorder="1"/>
    <xf numFmtId="0" fontId="1668" fillId="1668" borderId="1611" xfId="0" applyFont="1" applyFill="1" applyBorder="1"/>
    <xf numFmtId="0" fontId="1669" fillId="1669" borderId="1612" xfId="0" applyFont="1" applyFill="1" applyBorder="1"/>
    <xf numFmtId="0" fontId="1670" fillId="1670" borderId="1613" xfId="0" applyFont="1" applyFill="1" applyBorder="1"/>
    <xf numFmtId="0" fontId="1671" fillId="1671" borderId="1614" xfId="0" applyFont="1" applyFill="1" applyBorder="1"/>
    <xf numFmtId="0" fontId="1672" fillId="1672" borderId="1615" xfId="0" applyFont="1" applyFill="1" applyBorder="1"/>
    <xf numFmtId="0" fontId="1673" fillId="1673" borderId="1616" xfId="0" applyFont="1" applyFill="1" applyBorder="1"/>
    <xf numFmtId="0" fontId="1674" fillId="1674" borderId="1617" xfId="0" applyFont="1" applyFill="1" applyBorder="1" applyAlignment="1">
      <alignment horizontal="center" vertical="center"/>
    </xf>
    <xf numFmtId="0" fontId="1675" fillId="1675" borderId="1618" xfId="0" applyFont="1" applyFill="1" applyBorder="1" applyAlignment="1">
      <alignment horizontal="center" vertical="center"/>
    </xf>
    <xf numFmtId="0" fontId="1676" fillId="1676" borderId="1619" xfId="0" applyFont="1" applyFill="1" applyBorder="1" applyAlignment="1">
      <alignment horizontal="center" vertical="center"/>
    </xf>
    <xf numFmtId="0" fontId="1677" fillId="1677" borderId="1620" xfId="0" applyFont="1" applyFill="1" applyBorder="1" applyAlignment="1">
      <alignment horizontal="center" vertical="center"/>
    </xf>
    <xf numFmtId="0" fontId="1678" fillId="1678" borderId="1621" xfId="0" applyFont="1" applyFill="1" applyBorder="1" applyAlignment="1">
      <alignment horizontal="center" vertical="center"/>
    </xf>
    <xf numFmtId="0" fontId="1679" fillId="1679" borderId="1622" xfId="0" applyFont="1" applyFill="1" applyBorder="1" applyAlignment="1">
      <alignment horizontal="center" vertical="center"/>
    </xf>
    <xf numFmtId="0" fontId="1680" fillId="1680" borderId="1623" xfId="0" applyFont="1" applyFill="1" applyBorder="1" applyAlignment="1">
      <alignment horizontal="center" vertical="center"/>
    </xf>
    <xf numFmtId="0" fontId="1681" fillId="1681" borderId="1624" xfId="0" applyFont="1" applyFill="1" applyBorder="1"/>
    <xf numFmtId="0" fontId="1682" fillId="1682" borderId="1625" xfId="0" applyFont="1" applyFill="1" applyBorder="1"/>
    <xf numFmtId="0" fontId="1683" fillId="1683" borderId="1626" xfId="0" applyFont="1" applyFill="1" applyBorder="1"/>
    <xf numFmtId="0" fontId="1684" fillId="1684" borderId="1627" xfId="0" applyFont="1" applyFill="1" applyBorder="1"/>
    <xf numFmtId="0" fontId="1685" fillId="1685" borderId="1628" xfId="0" applyFont="1" applyFill="1" applyBorder="1"/>
    <xf numFmtId="0" fontId="1686" fillId="1686" borderId="1629" xfId="0" applyFont="1" applyFill="1" applyBorder="1"/>
    <xf numFmtId="0" fontId="1687" fillId="1687" borderId="1630" xfId="0" applyFont="1" applyFill="1" applyBorder="1"/>
    <xf numFmtId="0" fontId="1688" fillId="1688" borderId="1631" xfId="0" applyFont="1" applyFill="1" applyBorder="1"/>
    <xf numFmtId="0" fontId="1689" fillId="1689" borderId="1632" xfId="0" applyFont="1" applyFill="1" applyBorder="1" applyAlignment="1">
      <alignment horizontal="center" vertical="center"/>
    </xf>
    <xf numFmtId="0" fontId="1690" fillId="1690" borderId="1633" xfId="0" applyFont="1" applyFill="1" applyBorder="1" applyAlignment="1">
      <alignment horizontal="center" vertical="center"/>
    </xf>
    <xf numFmtId="0" fontId="1691" fillId="1691" borderId="1634" xfId="0" applyFont="1" applyFill="1" applyBorder="1" applyAlignment="1">
      <alignment horizontal="center" vertical="center"/>
    </xf>
    <xf numFmtId="0" fontId="1692" fillId="1692" borderId="1635" xfId="0" applyFont="1" applyFill="1" applyBorder="1" applyAlignment="1">
      <alignment horizontal="center" vertical="center"/>
    </xf>
    <xf numFmtId="0" fontId="1693" fillId="1693" borderId="1636" xfId="0" applyFont="1" applyFill="1" applyBorder="1" applyAlignment="1">
      <alignment horizontal="center" vertical="center"/>
    </xf>
    <xf numFmtId="0" fontId="1694" fillId="1694" borderId="1637" xfId="0" applyFont="1" applyFill="1" applyBorder="1" applyAlignment="1">
      <alignment horizontal="center" vertical="center"/>
    </xf>
    <xf numFmtId="0" fontId="1695" fillId="1695" borderId="1638" xfId="0" applyFont="1" applyFill="1" applyBorder="1" applyAlignment="1">
      <alignment horizontal="center" vertical="center"/>
    </xf>
    <xf numFmtId="0" fontId="1696" fillId="1696" borderId="1639" xfId="0" applyFont="1" applyFill="1" applyBorder="1"/>
    <xf numFmtId="0" fontId="1697" fillId="1697" borderId="1640" xfId="0" applyFont="1" applyFill="1" applyBorder="1"/>
    <xf numFmtId="0" fontId="1698" fillId="1698" borderId="1641" xfId="0" applyFont="1" applyFill="1" applyBorder="1"/>
    <xf numFmtId="0" fontId="1699" fillId="1699" borderId="1642" xfId="0" applyFont="1" applyFill="1" applyBorder="1"/>
    <xf numFmtId="0" fontId="1700" fillId="1700" borderId="1643" xfId="0" applyFont="1" applyFill="1" applyBorder="1"/>
    <xf numFmtId="0" fontId="1701" fillId="1701" borderId="1644" xfId="0" applyFont="1" applyFill="1" applyBorder="1"/>
    <xf numFmtId="0" fontId="1702" fillId="1702" borderId="1645" xfId="0" applyFont="1" applyFill="1" applyBorder="1"/>
    <xf numFmtId="0" fontId="1703" fillId="1703" borderId="1646" xfId="0" applyFont="1" applyFill="1" applyBorder="1"/>
    <xf numFmtId="0" fontId="1704" fillId="1704" borderId="1647" xfId="0" applyFont="1" applyFill="1" applyBorder="1" applyAlignment="1">
      <alignment horizontal="center" vertical="center"/>
    </xf>
    <xf numFmtId="0" fontId="1705" fillId="1705" borderId="1648" xfId="0" applyFont="1" applyFill="1" applyBorder="1" applyAlignment="1">
      <alignment horizontal="center" vertical="center"/>
    </xf>
    <xf numFmtId="0" fontId="1706" fillId="1706" borderId="1649" xfId="0" applyFont="1" applyFill="1" applyBorder="1" applyAlignment="1">
      <alignment horizontal="center" vertical="center"/>
    </xf>
    <xf numFmtId="0" fontId="1707" fillId="1707" borderId="1650" xfId="0" applyFont="1" applyFill="1" applyBorder="1" applyAlignment="1">
      <alignment horizontal="center" vertical="center"/>
    </xf>
    <xf numFmtId="0" fontId="1708" fillId="1708" borderId="1651" xfId="0" applyFont="1" applyFill="1" applyBorder="1" applyAlignment="1">
      <alignment horizontal="center" vertical="center"/>
    </xf>
    <xf numFmtId="0" fontId="1709" fillId="1709" borderId="1652" xfId="0" applyFont="1" applyFill="1" applyBorder="1" applyAlignment="1">
      <alignment horizontal="center" vertical="center"/>
    </xf>
    <xf numFmtId="0" fontId="1710" fillId="1710" borderId="1653" xfId="0" applyFont="1" applyFill="1" applyBorder="1" applyAlignment="1">
      <alignment horizontal="center" vertical="center"/>
    </xf>
    <xf numFmtId="0" fontId="1711" fillId="1711" borderId="1654" xfId="0" applyFont="1" applyFill="1" applyBorder="1"/>
    <xf numFmtId="0" fontId="1712" fillId="1712" borderId="1655" xfId="0" applyFont="1" applyFill="1" applyBorder="1"/>
    <xf numFmtId="0" fontId="1713" fillId="1713" borderId="1656" xfId="0" applyFont="1" applyFill="1" applyBorder="1"/>
    <xf numFmtId="0" fontId="1714" fillId="1714" borderId="1657" xfId="0" applyFont="1" applyFill="1" applyBorder="1"/>
    <xf numFmtId="0" fontId="1715" fillId="1715" borderId="1658" xfId="0" applyFont="1" applyFill="1" applyBorder="1"/>
    <xf numFmtId="0" fontId="1716" fillId="1716" borderId="1659" xfId="0" applyFont="1" applyFill="1" applyBorder="1"/>
    <xf numFmtId="0" fontId="1717" fillId="1717" borderId="1660" xfId="0" applyFont="1" applyFill="1" applyBorder="1"/>
    <xf numFmtId="0" fontId="1718" fillId="1718" borderId="1661" xfId="0" applyFont="1" applyFill="1" applyBorder="1"/>
    <xf numFmtId="0" fontId="1719" fillId="1719" borderId="1662" xfId="0" applyFont="1" applyFill="1" applyBorder="1" applyAlignment="1">
      <alignment horizontal="center" vertical="center"/>
    </xf>
    <xf numFmtId="0" fontId="1720" fillId="1720" borderId="1663" xfId="0" applyFont="1" applyFill="1" applyBorder="1" applyAlignment="1">
      <alignment horizontal="center" vertical="center"/>
    </xf>
    <xf numFmtId="0" fontId="1721" fillId="1721" borderId="1664" xfId="0" applyFont="1" applyFill="1" applyBorder="1" applyAlignment="1">
      <alignment horizontal="center" vertical="center"/>
    </xf>
    <xf numFmtId="0" fontId="1722" fillId="1722" borderId="1665" xfId="0" applyFont="1" applyFill="1" applyBorder="1" applyAlignment="1">
      <alignment horizontal="center" vertical="center"/>
    </xf>
    <xf numFmtId="0" fontId="1723" fillId="1723" borderId="1666" xfId="0" applyFont="1" applyFill="1" applyBorder="1" applyAlignment="1">
      <alignment horizontal="center" vertical="center"/>
    </xf>
    <xf numFmtId="0" fontId="1724" fillId="1724" borderId="1667" xfId="0" applyFont="1" applyFill="1" applyBorder="1" applyAlignment="1">
      <alignment horizontal="center" vertical="center"/>
    </xf>
    <xf numFmtId="0" fontId="1725" fillId="1725" borderId="1668" xfId="0" applyFont="1" applyFill="1" applyBorder="1" applyAlignment="1">
      <alignment horizontal="center" vertical="center"/>
    </xf>
    <xf numFmtId="0" fontId="1726" fillId="1726" borderId="1669" xfId="0" applyFont="1" applyFill="1" applyBorder="1"/>
    <xf numFmtId="0" fontId="1727" fillId="1727" borderId="1670" xfId="0" applyFont="1" applyFill="1" applyBorder="1"/>
    <xf numFmtId="0" fontId="1728" fillId="1728" borderId="1671" xfId="0" applyFont="1" applyFill="1" applyBorder="1"/>
    <xf numFmtId="0" fontId="1729" fillId="1729" borderId="1672" xfId="0" applyFont="1" applyFill="1" applyBorder="1"/>
    <xf numFmtId="0" fontId="1730" fillId="1730" borderId="1673" xfId="0" applyFont="1" applyFill="1" applyBorder="1"/>
    <xf numFmtId="0" fontId="1731" fillId="1731" borderId="1674" xfId="0" applyFont="1" applyFill="1" applyBorder="1"/>
    <xf numFmtId="0" fontId="1732" fillId="1732" borderId="1675" xfId="0" applyFont="1" applyFill="1" applyBorder="1"/>
    <xf numFmtId="0" fontId="1733" fillId="1733" borderId="1676" xfId="0" applyFont="1" applyFill="1" applyBorder="1"/>
    <xf numFmtId="0" fontId="1734" fillId="1734" borderId="1677" xfId="0" applyFont="1" applyFill="1" applyBorder="1" applyAlignment="1">
      <alignment horizontal="center" vertical="center"/>
    </xf>
    <xf numFmtId="0" fontId="1735" fillId="1735" borderId="1678" xfId="0" applyFont="1" applyFill="1" applyBorder="1" applyAlignment="1">
      <alignment horizontal="center" vertical="center"/>
    </xf>
    <xf numFmtId="0" fontId="1736" fillId="1736" borderId="1679" xfId="0" applyFont="1" applyFill="1" applyBorder="1" applyAlignment="1">
      <alignment horizontal="center" vertical="center"/>
    </xf>
    <xf numFmtId="0" fontId="1737" fillId="1737" borderId="1680" xfId="0" applyFont="1" applyFill="1" applyBorder="1" applyAlignment="1">
      <alignment horizontal="center" vertical="center"/>
    </xf>
    <xf numFmtId="0" fontId="1738" fillId="1738" borderId="1681" xfId="0" applyFont="1" applyFill="1" applyBorder="1" applyAlignment="1">
      <alignment horizontal="center" vertical="center"/>
    </xf>
    <xf numFmtId="0" fontId="1739" fillId="1739" borderId="1682" xfId="0" applyFont="1" applyFill="1" applyBorder="1" applyAlignment="1">
      <alignment horizontal="center" vertical="center"/>
    </xf>
    <xf numFmtId="0" fontId="1740" fillId="1740" borderId="1683" xfId="0" applyFont="1" applyFill="1" applyBorder="1" applyAlignment="1">
      <alignment horizontal="center" vertical="center"/>
    </xf>
    <xf numFmtId="0" fontId="1741" fillId="1741" borderId="1684" xfId="0" applyFont="1" applyFill="1" applyBorder="1"/>
    <xf numFmtId="0" fontId="1742" fillId="1742" borderId="1685" xfId="0" applyFont="1" applyFill="1" applyBorder="1"/>
    <xf numFmtId="0" fontId="1743" fillId="1743" borderId="1686" xfId="0" applyFont="1" applyFill="1" applyBorder="1"/>
    <xf numFmtId="0" fontId="1744" fillId="1744" borderId="1687" xfId="0" applyFont="1" applyFill="1" applyBorder="1"/>
    <xf numFmtId="0" fontId="1745" fillId="1745" borderId="1688" xfId="0" applyFont="1" applyFill="1" applyBorder="1"/>
    <xf numFmtId="0" fontId="1746" fillId="1746" borderId="1689" xfId="0" applyFont="1" applyFill="1" applyBorder="1"/>
    <xf numFmtId="0" fontId="1747" fillId="1747" borderId="1690" xfId="0" applyFont="1" applyFill="1" applyBorder="1"/>
    <xf numFmtId="0" fontId="1748" fillId="1748" borderId="1691" xfId="0" applyFont="1" applyFill="1" applyBorder="1"/>
    <xf numFmtId="0" fontId="1749" fillId="1749" borderId="1692" xfId="0" applyFont="1" applyFill="1" applyBorder="1" applyAlignment="1">
      <alignment horizontal="center" vertical="center"/>
    </xf>
    <xf numFmtId="0" fontId="1750" fillId="1750" borderId="1693" xfId="0" applyFont="1" applyFill="1" applyBorder="1" applyAlignment="1">
      <alignment horizontal="center" vertical="center"/>
    </xf>
    <xf numFmtId="0" fontId="1751" fillId="1751" borderId="1694" xfId="0" applyFont="1" applyFill="1" applyBorder="1" applyAlignment="1">
      <alignment horizontal="center" vertical="center"/>
    </xf>
    <xf numFmtId="0" fontId="1752" fillId="1752" borderId="1695" xfId="0" applyFont="1" applyFill="1" applyBorder="1" applyAlignment="1">
      <alignment horizontal="center" vertical="center"/>
    </xf>
    <xf numFmtId="0" fontId="1753" fillId="1753" borderId="1696" xfId="0" applyFont="1" applyFill="1" applyBorder="1" applyAlignment="1">
      <alignment horizontal="center" vertical="center"/>
    </xf>
    <xf numFmtId="0" fontId="1754" fillId="1754" borderId="1697" xfId="0" applyFont="1" applyFill="1" applyBorder="1" applyAlignment="1">
      <alignment horizontal="center" vertical="center"/>
    </xf>
    <xf numFmtId="0" fontId="1755" fillId="1755" borderId="1698" xfId="0" applyFont="1" applyFill="1" applyBorder="1" applyAlignment="1">
      <alignment horizontal="center" vertical="center"/>
    </xf>
    <xf numFmtId="0" fontId="1756" fillId="1756" borderId="1699" xfId="0" applyFont="1" applyFill="1" applyBorder="1"/>
    <xf numFmtId="0" fontId="1757" fillId="1757" borderId="1700" xfId="0" applyFont="1" applyFill="1" applyBorder="1"/>
    <xf numFmtId="0" fontId="1758" fillId="1758" borderId="1701" xfId="0" applyFont="1" applyFill="1" applyBorder="1"/>
    <xf numFmtId="0" fontId="1759" fillId="1759" borderId="1702" xfId="0" applyFont="1" applyFill="1" applyBorder="1"/>
    <xf numFmtId="0" fontId="1760" fillId="1760" borderId="1703" xfId="0" applyFont="1" applyFill="1" applyBorder="1"/>
    <xf numFmtId="0" fontId="1761" fillId="1761" borderId="1704" xfId="0" applyFont="1" applyFill="1" applyBorder="1"/>
    <xf numFmtId="0" fontId="1762" fillId="1762" borderId="1705" xfId="0" applyFont="1" applyFill="1" applyBorder="1"/>
    <xf numFmtId="0" fontId="1763" fillId="1763" borderId="1706" xfId="0" applyFont="1" applyFill="1" applyBorder="1"/>
    <xf numFmtId="0" fontId="1764" fillId="1764" borderId="1707" xfId="0" applyFont="1" applyFill="1" applyBorder="1" applyAlignment="1">
      <alignment horizontal="center" vertical="center"/>
    </xf>
    <xf numFmtId="0" fontId="1765" fillId="1765" borderId="1708" xfId="0" applyFont="1" applyFill="1" applyBorder="1" applyAlignment="1">
      <alignment horizontal="center" vertical="center"/>
    </xf>
    <xf numFmtId="0" fontId="1766" fillId="1766" borderId="1709" xfId="0" applyFont="1" applyFill="1" applyBorder="1" applyAlignment="1">
      <alignment horizontal="center" vertical="center"/>
    </xf>
    <xf numFmtId="0" fontId="1767" fillId="1767" borderId="1710" xfId="0" applyFont="1" applyFill="1" applyBorder="1" applyAlignment="1">
      <alignment horizontal="center" vertical="center"/>
    </xf>
    <xf numFmtId="0" fontId="1768" fillId="1768" borderId="1711" xfId="0" applyFont="1" applyFill="1" applyBorder="1" applyAlignment="1">
      <alignment horizontal="center" vertical="center"/>
    </xf>
    <xf numFmtId="0" fontId="1769" fillId="1769" borderId="1712" xfId="0" applyFont="1" applyFill="1" applyBorder="1" applyAlignment="1">
      <alignment horizontal="center" vertical="center"/>
    </xf>
    <xf numFmtId="0" fontId="1770" fillId="1770" borderId="1713" xfId="0" applyFont="1" applyFill="1" applyBorder="1" applyAlignment="1">
      <alignment horizontal="center" vertical="center"/>
    </xf>
    <xf numFmtId="0" fontId="1771" fillId="1771" borderId="1714" xfId="0" applyFont="1" applyFill="1" applyBorder="1"/>
    <xf numFmtId="0" fontId="1772" fillId="1772" borderId="1715" xfId="0" applyFont="1" applyFill="1" applyBorder="1"/>
    <xf numFmtId="0" fontId="1773" fillId="1773" borderId="1716" xfId="0" applyFont="1" applyFill="1" applyBorder="1"/>
    <xf numFmtId="0" fontId="1774" fillId="1774" borderId="1717" xfId="0" applyFont="1" applyFill="1" applyBorder="1"/>
    <xf numFmtId="0" fontId="1775" fillId="1775" borderId="1718" xfId="0" applyFont="1" applyFill="1" applyBorder="1"/>
    <xf numFmtId="0" fontId="1776" fillId="1776" borderId="1719" xfId="0" applyFont="1" applyFill="1" applyBorder="1"/>
    <xf numFmtId="0" fontId="1777" fillId="1777" borderId="1720" xfId="0" applyFont="1" applyFill="1" applyBorder="1"/>
    <xf numFmtId="0" fontId="1778" fillId="1778" borderId="1721" xfId="0" applyFont="1" applyFill="1" applyBorder="1"/>
    <xf numFmtId="0" fontId="1779" fillId="1779" borderId="1722" xfId="0" applyFont="1" applyFill="1" applyBorder="1" applyAlignment="1">
      <alignment horizontal="center" vertical="center"/>
    </xf>
    <xf numFmtId="0" fontId="1780" fillId="1780" borderId="1723" xfId="0" applyFont="1" applyFill="1" applyBorder="1" applyAlignment="1">
      <alignment horizontal="center" vertical="center"/>
    </xf>
    <xf numFmtId="0" fontId="1781" fillId="1781" borderId="1724" xfId="0" applyFont="1" applyFill="1" applyBorder="1" applyAlignment="1">
      <alignment horizontal="center" vertical="center"/>
    </xf>
    <xf numFmtId="0" fontId="1782" fillId="1782" borderId="1725" xfId="0" applyFont="1" applyFill="1" applyBorder="1" applyAlignment="1">
      <alignment horizontal="center" vertical="center"/>
    </xf>
    <xf numFmtId="0" fontId="1783" fillId="1783" borderId="1726" xfId="0" applyFont="1" applyFill="1" applyBorder="1" applyAlignment="1">
      <alignment horizontal="center" vertical="center"/>
    </xf>
    <xf numFmtId="0" fontId="1784" fillId="1784" borderId="1727" xfId="0" applyFont="1" applyFill="1" applyBorder="1" applyAlignment="1">
      <alignment horizontal="center" vertical="center"/>
    </xf>
    <xf numFmtId="0" fontId="1785" fillId="1785" borderId="1728" xfId="0" applyFont="1" applyFill="1" applyBorder="1" applyAlignment="1">
      <alignment horizontal="center" vertical="center"/>
    </xf>
    <xf numFmtId="0" fontId="1786" fillId="1786" borderId="1729" xfId="0" applyFont="1" applyFill="1" applyBorder="1"/>
    <xf numFmtId="0" fontId="1787" fillId="1787" borderId="1730" xfId="0" applyFont="1" applyFill="1" applyBorder="1"/>
    <xf numFmtId="0" fontId="1788" fillId="1788" borderId="1731" xfId="0" applyFont="1" applyFill="1" applyBorder="1"/>
    <xf numFmtId="0" fontId="1789" fillId="1789" borderId="1732" xfId="0" applyFont="1" applyFill="1" applyBorder="1"/>
    <xf numFmtId="0" fontId="1790" fillId="1790" borderId="1733" xfId="0" applyFont="1" applyFill="1" applyBorder="1"/>
    <xf numFmtId="0" fontId="1791" fillId="1791" borderId="1734" xfId="0" applyFont="1" applyFill="1" applyBorder="1"/>
    <xf numFmtId="0" fontId="1792" fillId="1792" borderId="1735" xfId="0" applyFont="1" applyFill="1" applyBorder="1"/>
    <xf numFmtId="0" fontId="1793" fillId="1793" borderId="1736" xfId="0" applyFont="1" applyFill="1" applyBorder="1"/>
    <xf numFmtId="0" fontId="1794" fillId="1794" borderId="1737" xfId="0" applyFont="1" applyFill="1" applyBorder="1" applyAlignment="1">
      <alignment horizontal="center" vertical="center"/>
    </xf>
    <xf numFmtId="0" fontId="1795" fillId="1795" borderId="1738" xfId="0" applyFont="1" applyFill="1" applyBorder="1" applyAlignment="1">
      <alignment horizontal="center" vertical="center"/>
    </xf>
    <xf numFmtId="0" fontId="1796" fillId="1796" borderId="1739" xfId="0" applyFont="1" applyFill="1" applyBorder="1" applyAlignment="1">
      <alignment horizontal="center" vertical="center"/>
    </xf>
    <xf numFmtId="0" fontId="1797" fillId="1797" borderId="1740" xfId="0" applyFont="1" applyFill="1" applyBorder="1" applyAlignment="1">
      <alignment horizontal="center" vertical="center"/>
    </xf>
    <xf numFmtId="0" fontId="1798" fillId="1798" borderId="1741" xfId="0" applyFont="1" applyFill="1" applyBorder="1" applyAlignment="1">
      <alignment horizontal="center" vertical="center"/>
    </xf>
    <xf numFmtId="0" fontId="1799" fillId="1799" borderId="1742" xfId="0" applyFont="1" applyFill="1" applyBorder="1" applyAlignment="1">
      <alignment horizontal="center" vertical="center"/>
    </xf>
    <xf numFmtId="0" fontId="1800" fillId="1800" borderId="1743" xfId="0" applyFont="1" applyFill="1" applyBorder="1" applyAlignment="1">
      <alignment horizontal="center" vertical="center"/>
    </xf>
    <xf numFmtId="0" fontId="1801" fillId="1801" borderId="1744" xfId="0" applyFont="1" applyFill="1" applyBorder="1"/>
    <xf numFmtId="0" fontId="1802" fillId="1802" borderId="1745" xfId="0" applyFont="1" applyFill="1" applyBorder="1"/>
    <xf numFmtId="0" fontId="1803" fillId="1803" borderId="1746" xfId="0" applyFont="1" applyFill="1" applyBorder="1"/>
    <xf numFmtId="0" fontId="1804" fillId="1804" borderId="1747" xfId="0" applyFont="1" applyFill="1" applyBorder="1"/>
    <xf numFmtId="0" fontId="1805" fillId="1805" borderId="1748" xfId="0" applyFont="1" applyFill="1" applyBorder="1"/>
    <xf numFmtId="0" fontId="1806" fillId="1806" borderId="1749" xfId="0" applyFont="1" applyFill="1" applyBorder="1"/>
    <xf numFmtId="0" fontId="1807" fillId="1807" borderId="1750" xfId="0" applyFont="1" applyFill="1" applyBorder="1"/>
    <xf numFmtId="0" fontId="1808" fillId="1808" borderId="1751" xfId="0" applyFont="1" applyFill="1" applyBorder="1"/>
    <xf numFmtId="0" fontId="1809" fillId="1809" borderId="1752" xfId="0" applyFont="1" applyFill="1" applyBorder="1" applyAlignment="1">
      <alignment horizontal="center" vertical="center"/>
    </xf>
    <xf numFmtId="0" fontId="1810" fillId="1810" borderId="1753" xfId="0" applyFont="1" applyFill="1" applyBorder="1" applyAlignment="1">
      <alignment horizontal="center" vertical="center"/>
    </xf>
    <xf numFmtId="0" fontId="1811" fillId="1811" borderId="1754" xfId="0" applyFont="1" applyFill="1" applyBorder="1" applyAlignment="1">
      <alignment horizontal="center" vertical="center"/>
    </xf>
    <xf numFmtId="0" fontId="1812" fillId="1812" borderId="1755" xfId="0" applyFont="1" applyFill="1" applyBorder="1" applyAlignment="1">
      <alignment horizontal="center" vertical="center"/>
    </xf>
    <xf numFmtId="0" fontId="1813" fillId="1813" borderId="1756" xfId="0" applyFont="1" applyFill="1" applyBorder="1" applyAlignment="1">
      <alignment horizontal="center" vertical="center"/>
    </xf>
    <xf numFmtId="0" fontId="1814" fillId="1814" borderId="1757" xfId="0" applyFont="1" applyFill="1" applyBorder="1" applyAlignment="1">
      <alignment horizontal="center" vertical="center"/>
    </xf>
    <xf numFmtId="0" fontId="1815" fillId="1815" borderId="1758" xfId="0" applyFont="1" applyFill="1" applyBorder="1" applyAlignment="1">
      <alignment horizontal="center" vertical="center"/>
    </xf>
    <xf numFmtId="0" fontId="1816" fillId="1816" borderId="1759" xfId="0" applyFont="1" applyFill="1" applyBorder="1"/>
    <xf numFmtId="0" fontId="1817" fillId="1817" borderId="1760" xfId="0" applyFont="1" applyFill="1" applyBorder="1"/>
    <xf numFmtId="0" fontId="1818" fillId="1818" borderId="1761" xfId="0" applyFont="1" applyFill="1" applyBorder="1"/>
    <xf numFmtId="0" fontId="1819" fillId="1819" borderId="1762" xfId="0" applyFont="1" applyFill="1" applyBorder="1"/>
    <xf numFmtId="0" fontId="1820" fillId="1820" borderId="1763" xfId="0" applyFont="1" applyFill="1" applyBorder="1"/>
    <xf numFmtId="0" fontId="1821" fillId="1821" borderId="1764" xfId="0" applyFont="1" applyFill="1" applyBorder="1"/>
    <xf numFmtId="0" fontId="1822" fillId="1822" borderId="1765" xfId="0" applyFont="1" applyFill="1" applyBorder="1"/>
    <xf numFmtId="0" fontId="1823" fillId="1823" borderId="1766" xfId="0" applyFont="1" applyFill="1" applyBorder="1"/>
    <xf numFmtId="0" fontId="1824" fillId="1824" borderId="1767" xfId="0" applyFont="1" applyFill="1" applyBorder="1" applyAlignment="1">
      <alignment horizontal="center" vertical="center"/>
    </xf>
    <xf numFmtId="0" fontId="1825" fillId="1825" borderId="1768" xfId="0" applyFont="1" applyFill="1" applyBorder="1" applyAlignment="1">
      <alignment horizontal="center" vertical="center"/>
    </xf>
    <xf numFmtId="0" fontId="1826" fillId="1826" borderId="1769" xfId="0" applyFont="1" applyFill="1" applyBorder="1" applyAlignment="1">
      <alignment horizontal="center" vertical="center"/>
    </xf>
    <xf numFmtId="0" fontId="1827" fillId="1827" borderId="1770" xfId="0" applyFont="1" applyFill="1" applyBorder="1" applyAlignment="1">
      <alignment horizontal="center" vertical="center"/>
    </xf>
    <xf numFmtId="0" fontId="1828" fillId="1828" borderId="1771" xfId="0" applyFont="1" applyFill="1" applyBorder="1" applyAlignment="1">
      <alignment horizontal="center" vertical="center"/>
    </xf>
    <xf numFmtId="0" fontId="1829" fillId="1829" borderId="1772" xfId="0" applyFont="1" applyFill="1" applyBorder="1" applyAlignment="1">
      <alignment horizontal="center" vertical="center"/>
    </xf>
    <xf numFmtId="0" fontId="1830" fillId="1830" borderId="1773" xfId="0" applyFont="1" applyFill="1" applyBorder="1" applyAlignment="1">
      <alignment horizontal="center" vertical="center"/>
    </xf>
    <xf numFmtId="0" fontId="1831" fillId="1831" borderId="1774" xfId="0" applyFont="1" applyFill="1" applyBorder="1"/>
    <xf numFmtId="0" fontId="1832" fillId="1832" borderId="1775" xfId="0" applyFont="1" applyFill="1" applyBorder="1"/>
    <xf numFmtId="0" fontId="1833" fillId="1833" borderId="1776" xfId="0" applyFont="1" applyFill="1" applyBorder="1"/>
    <xf numFmtId="0" fontId="1834" fillId="1834" borderId="1777" xfId="0" applyFont="1" applyFill="1" applyBorder="1"/>
    <xf numFmtId="0" fontId="1835" fillId="1835" borderId="1778" xfId="0" applyFont="1" applyFill="1" applyBorder="1"/>
    <xf numFmtId="0" fontId="1836" fillId="1836" borderId="1779" xfId="0" applyFont="1" applyFill="1" applyBorder="1"/>
    <xf numFmtId="0" fontId="1837" fillId="1837" borderId="1780" xfId="0" applyFont="1" applyFill="1" applyBorder="1"/>
    <xf numFmtId="0" fontId="1838" fillId="1838" borderId="1781" xfId="0" applyFont="1" applyFill="1" applyBorder="1"/>
    <xf numFmtId="0" fontId="1839" fillId="1839" borderId="1782" xfId="0" applyFont="1" applyFill="1" applyBorder="1" applyAlignment="1">
      <alignment horizontal="center" vertical="center"/>
    </xf>
    <xf numFmtId="0" fontId="1840" fillId="1840" borderId="1783" xfId="0" applyFont="1" applyFill="1" applyBorder="1" applyAlignment="1">
      <alignment horizontal="center" vertical="center"/>
    </xf>
    <xf numFmtId="0" fontId="1841" fillId="1841" borderId="1784" xfId="0" applyFont="1" applyFill="1" applyBorder="1" applyAlignment="1">
      <alignment horizontal="center" vertical="center"/>
    </xf>
    <xf numFmtId="0" fontId="1842" fillId="1842" borderId="1785" xfId="0" applyFont="1" applyFill="1" applyBorder="1" applyAlignment="1">
      <alignment horizontal="center" vertical="center"/>
    </xf>
    <xf numFmtId="0" fontId="1843" fillId="1843" borderId="1786" xfId="0" applyFont="1" applyFill="1" applyBorder="1" applyAlignment="1">
      <alignment horizontal="center" vertical="center"/>
    </xf>
    <xf numFmtId="0" fontId="1844" fillId="1844" borderId="1787" xfId="0" applyFont="1" applyFill="1" applyBorder="1" applyAlignment="1">
      <alignment horizontal="center" vertical="center"/>
    </xf>
    <xf numFmtId="0" fontId="1845" fillId="1845" borderId="1788" xfId="0" applyFont="1" applyFill="1" applyBorder="1" applyAlignment="1">
      <alignment horizontal="center" vertical="center"/>
    </xf>
    <xf numFmtId="0" fontId="1846" fillId="1846" borderId="1789" xfId="0" applyFont="1" applyFill="1" applyBorder="1"/>
    <xf numFmtId="0" fontId="1847" fillId="1847" borderId="1790" xfId="0" applyFont="1" applyFill="1" applyBorder="1"/>
    <xf numFmtId="0" fontId="1848" fillId="1848" borderId="1791" xfId="0" applyFont="1" applyFill="1" applyBorder="1"/>
    <xf numFmtId="0" fontId="1849" fillId="1849" borderId="1792" xfId="0" applyFont="1" applyFill="1" applyBorder="1"/>
    <xf numFmtId="0" fontId="1850" fillId="1850" borderId="1793" xfId="0" applyFont="1" applyFill="1" applyBorder="1"/>
    <xf numFmtId="0" fontId="1851" fillId="1851" borderId="1794" xfId="0" applyFont="1" applyFill="1" applyBorder="1"/>
    <xf numFmtId="0" fontId="1852" fillId="1852" borderId="1795" xfId="0" applyFont="1" applyFill="1" applyBorder="1"/>
    <xf numFmtId="0" fontId="1853" fillId="1853" borderId="1796" xfId="0" applyFont="1" applyFill="1" applyBorder="1"/>
    <xf numFmtId="0" fontId="1854" fillId="1854" borderId="1797" xfId="0" applyFont="1" applyFill="1" applyBorder="1" applyAlignment="1">
      <alignment horizontal="center" vertical="center"/>
    </xf>
    <xf numFmtId="0" fontId="1855" fillId="1855" borderId="1798" xfId="0" applyFont="1" applyFill="1" applyBorder="1" applyAlignment="1">
      <alignment horizontal="center" vertical="center"/>
    </xf>
    <xf numFmtId="0" fontId="1856" fillId="1856" borderId="1799" xfId="0" applyFont="1" applyFill="1" applyBorder="1" applyAlignment="1">
      <alignment horizontal="center" vertical="center"/>
    </xf>
    <xf numFmtId="0" fontId="1857" fillId="1857" borderId="1800" xfId="0" applyFont="1" applyFill="1" applyBorder="1" applyAlignment="1">
      <alignment horizontal="center" vertical="center"/>
    </xf>
    <xf numFmtId="0" fontId="1858" fillId="1858" borderId="1801" xfId="0" applyFont="1" applyFill="1" applyBorder="1" applyAlignment="1">
      <alignment horizontal="center" vertical="center"/>
    </xf>
    <xf numFmtId="0" fontId="1859" fillId="1859" borderId="1802" xfId="0" applyFont="1" applyFill="1" applyBorder="1" applyAlignment="1">
      <alignment horizontal="center" vertical="center"/>
    </xf>
    <xf numFmtId="0" fontId="1860" fillId="1860" borderId="1803" xfId="0" applyFont="1" applyFill="1" applyBorder="1" applyAlignment="1">
      <alignment horizontal="center" vertical="center"/>
    </xf>
    <xf numFmtId="0" fontId="1861" fillId="1861" borderId="1804" xfId="0" applyFont="1" applyFill="1" applyBorder="1"/>
    <xf numFmtId="0" fontId="1862" fillId="1862" borderId="1805" xfId="0" applyFont="1" applyFill="1" applyBorder="1"/>
    <xf numFmtId="0" fontId="1863" fillId="1863" borderId="1806" xfId="0" applyFont="1" applyFill="1" applyBorder="1"/>
    <xf numFmtId="0" fontId="1864" fillId="1864" borderId="1807" xfId="0" applyFont="1" applyFill="1" applyBorder="1"/>
    <xf numFmtId="0" fontId="1865" fillId="1865" borderId="1808" xfId="0" applyFont="1" applyFill="1" applyBorder="1"/>
    <xf numFmtId="0" fontId="1866" fillId="1866" borderId="1809" xfId="0" applyFont="1" applyFill="1" applyBorder="1"/>
    <xf numFmtId="0" fontId="1867" fillId="1867" borderId="1810" xfId="0" applyFont="1" applyFill="1" applyBorder="1"/>
    <xf numFmtId="0" fontId="1868" fillId="1868" borderId="1811" xfId="0" applyFont="1" applyFill="1" applyBorder="1"/>
    <xf numFmtId="0" fontId="1869" fillId="1869" borderId="1812" xfId="0" applyFont="1" applyFill="1" applyBorder="1" applyAlignment="1">
      <alignment horizontal="center" vertical="center"/>
    </xf>
    <xf numFmtId="0" fontId="1870" fillId="1870" borderId="1813" xfId="0" applyFont="1" applyFill="1" applyBorder="1" applyAlignment="1">
      <alignment horizontal="center" vertical="center"/>
    </xf>
    <xf numFmtId="0" fontId="1871" fillId="1871" borderId="1814" xfId="0" applyFont="1" applyFill="1" applyBorder="1" applyAlignment="1">
      <alignment horizontal="center" vertical="center"/>
    </xf>
    <xf numFmtId="0" fontId="1872" fillId="1872" borderId="1815" xfId="0" applyFont="1" applyFill="1" applyBorder="1" applyAlignment="1">
      <alignment horizontal="center" vertical="center"/>
    </xf>
    <xf numFmtId="0" fontId="1873" fillId="1873" borderId="1816" xfId="0" applyFont="1" applyFill="1" applyBorder="1" applyAlignment="1">
      <alignment horizontal="center" vertical="center"/>
    </xf>
    <xf numFmtId="0" fontId="1874" fillId="1874" borderId="1817" xfId="0" applyFont="1" applyFill="1" applyBorder="1" applyAlignment="1">
      <alignment horizontal="center" vertical="center"/>
    </xf>
    <xf numFmtId="0" fontId="1875" fillId="1875" borderId="1818" xfId="0" applyFont="1" applyFill="1" applyBorder="1" applyAlignment="1">
      <alignment horizontal="center" vertical="center"/>
    </xf>
    <xf numFmtId="0" fontId="1876" fillId="1876" borderId="1819" xfId="0" applyFont="1" applyFill="1" applyBorder="1"/>
    <xf numFmtId="0" fontId="1877" fillId="1877" borderId="1820" xfId="0" applyFont="1" applyFill="1" applyBorder="1"/>
    <xf numFmtId="0" fontId="1878" fillId="1878" borderId="1821" xfId="0" applyFont="1" applyFill="1" applyBorder="1"/>
    <xf numFmtId="0" fontId="1879" fillId="1879" borderId="1822" xfId="0" applyFont="1" applyFill="1" applyBorder="1"/>
    <xf numFmtId="0" fontId="1880" fillId="1880" borderId="1823" xfId="0" applyFont="1" applyFill="1" applyBorder="1"/>
    <xf numFmtId="0" fontId="1881" fillId="1881" borderId="1824" xfId="0" applyFont="1" applyFill="1" applyBorder="1"/>
    <xf numFmtId="0" fontId="1882" fillId="1882" borderId="1825" xfId="0" applyFont="1" applyFill="1" applyBorder="1"/>
    <xf numFmtId="0" fontId="1883" fillId="1883" borderId="1826" xfId="0" applyFont="1" applyFill="1" applyBorder="1"/>
    <xf numFmtId="0" fontId="1884" fillId="1884" borderId="1827" xfId="0" applyFont="1" applyFill="1" applyBorder="1" applyAlignment="1">
      <alignment horizontal="center" vertical="center"/>
    </xf>
    <xf numFmtId="0" fontId="1885" fillId="1885" borderId="1828" xfId="0" applyFont="1" applyFill="1" applyBorder="1" applyAlignment="1">
      <alignment horizontal="center" vertical="center"/>
    </xf>
    <xf numFmtId="0" fontId="1886" fillId="1886" borderId="1829" xfId="0" applyFont="1" applyFill="1" applyBorder="1" applyAlignment="1">
      <alignment horizontal="center" vertical="center"/>
    </xf>
    <xf numFmtId="0" fontId="1887" fillId="1887" borderId="1830" xfId="0" applyFont="1" applyFill="1" applyBorder="1" applyAlignment="1">
      <alignment horizontal="center" vertical="center"/>
    </xf>
    <xf numFmtId="0" fontId="1888" fillId="1888" borderId="1831" xfId="0" applyFont="1" applyFill="1" applyBorder="1" applyAlignment="1">
      <alignment horizontal="center" vertical="center"/>
    </xf>
    <xf numFmtId="0" fontId="1889" fillId="1889" borderId="1832" xfId="0" applyFont="1" applyFill="1" applyBorder="1" applyAlignment="1">
      <alignment horizontal="center" vertical="center"/>
    </xf>
    <xf numFmtId="0" fontId="1890" fillId="1890" borderId="1833" xfId="0" applyFont="1" applyFill="1" applyBorder="1" applyAlignment="1">
      <alignment horizontal="center" vertical="center"/>
    </xf>
    <xf numFmtId="0" fontId="1891" fillId="1891" borderId="1834" xfId="0" applyFont="1" applyFill="1" applyBorder="1"/>
    <xf numFmtId="0" fontId="1892" fillId="1892" borderId="1835" xfId="0" applyFont="1" applyFill="1" applyBorder="1"/>
    <xf numFmtId="0" fontId="1893" fillId="1893" borderId="1836" xfId="0" applyFont="1" applyFill="1" applyBorder="1"/>
    <xf numFmtId="0" fontId="1894" fillId="1894" borderId="1837" xfId="0" applyFont="1" applyFill="1" applyBorder="1"/>
    <xf numFmtId="0" fontId="1895" fillId="1895" borderId="1838" xfId="0" applyFont="1" applyFill="1" applyBorder="1"/>
    <xf numFmtId="0" fontId="1896" fillId="1896" borderId="1839" xfId="0" applyFont="1" applyFill="1" applyBorder="1"/>
    <xf numFmtId="0" fontId="1897" fillId="1897" borderId="1840" xfId="0" applyFont="1" applyFill="1" applyBorder="1"/>
    <xf numFmtId="0" fontId="1898" fillId="1898" borderId="1841" xfId="0" applyFont="1" applyFill="1" applyBorder="1"/>
    <xf numFmtId="0" fontId="1899" fillId="1899" borderId="1842" xfId="0" applyFont="1" applyFill="1" applyBorder="1" applyAlignment="1">
      <alignment horizontal="center" vertical="center"/>
    </xf>
    <xf numFmtId="0" fontId="1900" fillId="1900" borderId="1843" xfId="0" applyFont="1" applyFill="1" applyBorder="1" applyAlignment="1">
      <alignment horizontal="center" vertical="center"/>
    </xf>
    <xf numFmtId="0" fontId="1901" fillId="1901" borderId="1844" xfId="0" applyFont="1" applyFill="1" applyBorder="1" applyAlignment="1">
      <alignment horizontal="center" vertical="center"/>
    </xf>
    <xf numFmtId="0" fontId="1902" fillId="1902" borderId="1845" xfId="0" applyFont="1" applyFill="1" applyBorder="1" applyAlignment="1">
      <alignment horizontal="center" vertical="center"/>
    </xf>
    <xf numFmtId="0" fontId="1903" fillId="1903" borderId="1846" xfId="0" applyFont="1" applyFill="1" applyBorder="1" applyAlignment="1">
      <alignment horizontal="center" vertical="center"/>
    </xf>
    <xf numFmtId="0" fontId="1904" fillId="1904" borderId="1847" xfId="0" applyFont="1" applyFill="1" applyBorder="1" applyAlignment="1">
      <alignment horizontal="center" vertical="center"/>
    </xf>
    <xf numFmtId="0" fontId="1905" fillId="1905" borderId="1848" xfId="0" applyFont="1" applyFill="1" applyBorder="1" applyAlignment="1">
      <alignment horizontal="center" vertical="center"/>
    </xf>
    <xf numFmtId="0" fontId="1906" fillId="1906" borderId="1849" xfId="0" applyFont="1" applyFill="1" applyBorder="1"/>
    <xf numFmtId="0" fontId="1907" fillId="1907" borderId="1850" xfId="0" applyFont="1" applyFill="1" applyBorder="1"/>
    <xf numFmtId="0" fontId="1908" fillId="1908" borderId="1851" xfId="0" applyFont="1" applyFill="1" applyBorder="1"/>
    <xf numFmtId="0" fontId="1909" fillId="1909" borderId="1852" xfId="0" applyFont="1" applyFill="1" applyBorder="1"/>
    <xf numFmtId="0" fontId="1910" fillId="1910" borderId="1853" xfId="0" applyFont="1" applyFill="1" applyBorder="1"/>
    <xf numFmtId="0" fontId="1911" fillId="1911" borderId="1854" xfId="0" applyFont="1" applyFill="1" applyBorder="1"/>
    <xf numFmtId="0" fontId="1912" fillId="1912" borderId="1855" xfId="0" applyFont="1" applyFill="1" applyBorder="1"/>
    <xf numFmtId="0" fontId="1913" fillId="1913" borderId="1856" xfId="0" applyFont="1" applyFill="1" applyBorder="1"/>
    <xf numFmtId="0" fontId="1914" fillId="1914" borderId="1857" xfId="0" applyFont="1" applyFill="1" applyBorder="1" applyAlignment="1">
      <alignment horizontal="center" vertical="center"/>
    </xf>
    <xf numFmtId="0" fontId="1915" fillId="1915" borderId="1858" xfId="0" applyFont="1" applyFill="1" applyBorder="1" applyAlignment="1">
      <alignment horizontal="center" vertical="center"/>
    </xf>
    <xf numFmtId="0" fontId="1916" fillId="1916" borderId="1859" xfId="0" applyFont="1" applyFill="1" applyBorder="1" applyAlignment="1">
      <alignment horizontal="center" vertical="center"/>
    </xf>
    <xf numFmtId="0" fontId="1917" fillId="1917" borderId="1860" xfId="0" applyFont="1" applyFill="1" applyBorder="1" applyAlignment="1">
      <alignment horizontal="center" vertical="center"/>
    </xf>
    <xf numFmtId="0" fontId="1918" fillId="1918" borderId="1861" xfId="0" applyFont="1" applyFill="1" applyBorder="1" applyAlignment="1">
      <alignment horizontal="center" vertical="center"/>
    </xf>
    <xf numFmtId="0" fontId="1919" fillId="1919" borderId="1862" xfId="0" applyFont="1" applyFill="1" applyBorder="1" applyAlignment="1">
      <alignment horizontal="center" vertical="center"/>
    </xf>
    <xf numFmtId="0" fontId="1920" fillId="1920" borderId="1863" xfId="0" applyFont="1" applyFill="1" applyBorder="1" applyAlignment="1">
      <alignment horizontal="center" vertical="center"/>
    </xf>
    <xf numFmtId="0" fontId="1921" fillId="1921" borderId="1864" xfId="0" applyFont="1" applyFill="1" applyBorder="1"/>
    <xf numFmtId="0" fontId="1922" fillId="1922" borderId="1865" xfId="0" applyFont="1" applyFill="1" applyBorder="1"/>
    <xf numFmtId="0" fontId="1923" fillId="1923" borderId="1866" xfId="0" applyFont="1" applyFill="1" applyBorder="1"/>
    <xf numFmtId="0" fontId="1924" fillId="1924" borderId="1867" xfId="0" applyFont="1" applyFill="1" applyBorder="1"/>
    <xf numFmtId="0" fontId="1925" fillId="1925" borderId="1868" xfId="0" applyFont="1" applyFill="1" applyBorder="1"/>
    <xf numFmtId="0" fontId="1926" fillId="1926" borderId="1869" xfId="0" applyFont="1" applyFill="1" applyBorder="1"/>
    <xf numFmtId="0" fontId="1927" fillId="1927" borderId="1870" xfId="0" applyFont="1" applyFill="1" applyBorder="1"/>
    <xf numFmtId="0" fontId="1928" fillId="1928" borderId="1871" xfId="0" applyFont="1" applyFill="1" applyBorder="1"/>
    <xf numFmtId="0" fontId="1929" fillId="1929" borderId="1872" xfId="0" applyFont="1" applyFill="1" applyBorder="1" applyAlignment="1">
      <alignment horizontal="center" vertical="center"/>
    </xf>
    <xf numFmtId="0" fontId="1930" fillId="1930" borderId="1873" xfId="0" applyFont="1" applyFill="1" applyBorder="1" applyAlignment="1">
      <alignment horizontal="center" vertical="center"/>
    </xf>
    <xf numFmtId="0" fontId="1931" fillId="1931" borderId="1874" xfId="0" applyFont="1" applyFill="1" applyBorder="1" applyAlignment="1">
      <alignment horizontal="center" vertical="center"/>
    </xf>
    <xf numFmtId="0" fontId="1932" fillId="1932" borderId="1875" xfId="0" applyFont="1" applyFill="1" applyBorder="1" applyAlignment="1">
      <alignment horizontal="center" vertical="center"/>
    </xf>
    <xf numFmtId="0" fontId="1933" fillId="1933" borderId="1876" xfId="0" applyFont="1" applyFill="1" applyBorder="1" applyAlignment="1">
      <alignment horizontal="center" vertical="center"/>
    </xf>
    <xf numFmtId="0" fontId="1934" fillId="1934" borderId="1877" xfId="0" applyFont="1" applyFill="1" applyBorder="1" applyAlignment="1">
      <alignment horizontal="center" vertical="center"/>
    </xf>
    <xf numFmtId="0" fontId="1935" fillId="1935" borderId="1878" xfId="0" applyFont="1" applyFill="1" applyBorder="1" applyAlignment="1">
      <alignment horizontal="center" vertical="center"/>
    </xf>
    <xf numFmtId="0" fontId="1936" fillId="1936" borderId="1879" xfId="0" applyFont="1" applyFill="1" applyBorder="1"/>
    <xf numFmtId="0" fontId="1937" fillId="1937" borderId="1880" xfId="0" applyFont="1" applyFill="1" applyBorder="1"/>
    <xf numFmtId="0" fontId="1938" fillId="1938" borderId="1881" xfId="0" applyFont="1" applyFill="1" applyBorder="1"/>
    <xf numFmtId="0" fontId="1939" fillId="1939" borderId="1882" xfId="0" applyFont="1" applyFill="1" applyBorder="1"/>
    <xf numFmtId="0" fontId="1940" fillId="1940" borderId="1883" xfId="0" applyFont="1" applyFill="1" applyBorder="1"/>
    <xf numFmtId="0" fontId="1941" fillId="1941" borderId="1884" xfId="0" applyFont="1" applyFill="1" applyBorder="1"/>
    <xf numFmtId="0" fontId="1942" fillId="1942" borderId="1885" xfId="0" applyFont="1" applyFill="1" applyBorder="1"/>
    <xf numFmtId="0" fontId="1943" fillId="1943" borderId="1886" xfId="0" applyFont="1" applyFill="1" applyBorder="1"/>
    <xf numFmtId="0" fontId="1944" fillId="1944" borderId="1887" xfId="0" applyFont="1" applyFill="1" applyBorder="1" applyAlignment="1">
      <alignment horizontal="center" vertical="center"/>
    </xf>
    <xf numFmtId="0" fontId="1945" fillId="1945" borderId="1888" xfId="0" applyFont="1" applyFill="1" applyBorder="1" applyAlignment="1">
      <alignment horizontal="center" vertical="center"/>
    </xf>
    <xf numFmtId="0" fontId="1946" fillId="1946" borderId="1889" xfId="0" applyFont="1" applyFill="1" applyBorder="1" applyAlignment="1">
      <alignment horizontal="center" vertical="center"/>
    </xf>
    <xf numFmtId="0" fontId="1947" fillId="1947" borderId="1890" xfId="0" applyFont="1" applyFill="1" applyBorder="1" applyAlignment="1">
      <alignment horizontal="center" vertical="center"/>
    </xf>
    <xf numFmtId="0" fontId="1948" fillId="1948" borderId="1891" xfId="0" applyFont="1" applyFill="1" applyBorder="1" applyAlignment="1">
      <alignment horizontal="center" vertical="center"/>
    </xf>
    <xf numFmtId="0" fontId="1949" fillId="1949" borderId="1892" xfId="0" applyFont="1" applyFill="1" applyBorder="1" applyAlignment="1">
      <alignment horizontal="center" vertical="center"/>
    </xf>
    <xf numFmtId="0" fontId="1950" fillId="1950" borderId="1893" xfId="0" applyFont="1" applyFill="1" applyBorder="1" applyAlignment="1">
      <alignment horizontal="center" vertical="center"/>
    </xf>
    <xf numFmtId="0" fontId="1951" fillId="1951" borderId="1894" xfId="0" applyFont="1" applyFill="1" applyBorder="1"/>
    <xf numFmtId="0" fontId="1952" fillId="1952" borderId="1895" xfId="0" applyFont="1" applyFill="1" applyBorder="1"/>
    <xf numFmtId="0" fontId="1953" fillId="1953" borderId="1896" xfId="0" applyFont="1" applyFill="1" applyBorder="1"/>
    <xf numFmtId="0" fontId="1954" fillId="1954" borderId="1897" xfId="0" applyFont="1" applyFill="1" applyBorder="1"/>
    <xf numFmtId="0" fontId="1955" fillId="1955" borderId="1898" xfId="0" applyFont="1" applyFill="1" applyBorder="1"/>
    <xf numFmtId="0" fontId="1956" fillId="1956" borderId="1899" xfId="0" applyFont="1" applyFill="1" applyBorder="1"/>
    <xf numFmtId="0" fontId="1957" fillId="1957" borderId="1900" xfId="0" applyFont="1" applyFill="1" applyBorder="1"/>
    <xf numFmtId="0" fontId="1958" fillId="1958" borderId="1901" xfId="0" applyFont="1" applyFill="1" applyBorder="1"/>
    <xf numFmtId="0" fontId="1959" fillId="1959" borderId="1902" xfId="0" applyFont="1" applyFill="1" applyBorder="1" applyAlignment="1">
      <alignment horizontal="center" vertical="center"/>
    </xf>
    <xf numFmtId="0" fontId="1960" fillId="1960" borderId="1903" xfId="0" applyFont="1" applyFill="1" applyBorder="1" applyAlignment="1">
      <alignment horizontal="center" vertical="center"/>
    </xf>
    <xf numFmtId="0" fontId="1961" fillId="1961" borderId="1904" xfId="0" applyFont="1" applyFill="1" applyBorder="1" applyAlignment="1">
      <alignment horizontal="center" vertical="center"/>
    </xf>
    <xf numFmtId="0" fontId="1962" fillId="1962" borderId="1905" xfId="0" applyFont="1" applyFill="1" applyBorder="1" applyAlignment="1">
      <alignment horizontal="center" vertical="center"/>
    </xf>
    <xf numFmtId="0" fontId="1963" fillId="1963" borderId="1906" xfId="0" applyFont="1" applyFill="1" applyBorder="1" applyAlignment="1">
      <alignment horizontal="center" vertical="center"/>
    </xf>
    <xf numFmtId="0" fontId="1964" fillId="1964" borderId="1907" xfId="0" applyFont="1" applyFill="1" applyBorder="1" applyAlignment="1">
      <alignment horizontal="center" vertical="center"/>
    </xf>
    <xf numFmtId="0" fontId="1965" fillId="1965" borderId="1908" xfId="0" applyFont="1" applyFill="1" applyBorder="1" applyAlignment="1">
      <alignment horizontal="center" vertical="center"/>
    </xf>
    <xf numFmtId="0" fontId="1966" fillId="1966" borderId="1909" xfId="0" applyFont="1" applyFill="1" applyBorder="1"/>
    <xf numFmtId="0" fontId="1967" fillId="1967" borderId="1910" xfId="0" applyFont="1" applyFill="1" applyBorder="1"/>
    <xf numFmtId="0" fontId="1968" fillId="1968" borderId="1911" xfId="0" applyFont="1" applyFill="1" applyBorder="1"/>
    <xf numFmtId="0" fontId="1969" fillId="1969" borderId="1912" xfId="0" applyFont="1" applyFill="1" applyBorder="1"/>
    <xf numFmtId="0" fontId="1970" fillId="1970" borderId="1913" xfId="0" applyFont="1" applyFill="1" applyBorder="1"/>
    <xf numFmtId="0" fontId="1971" fillId="1971" borderId="1914" xfId="0" applyFont="1" applyFill="1" applyBorder="1"/>
    <xf numFmtId="0" fontId="1972" fillId="1972" borderId="1915" xfId="0" applyFont="1" applyFill="1" applyBorder="1"/>
    <xf numFmtId="0" fontId="1973" fillId="1973" borderId="1916" xfId="0" applyFont="1" applyFill="1" applyBorder="1"/>
    <xf numFmtId="0" fontId="1974" fillId="1974" borderId="1917" xfId="0" applyFont="1" applyFill="1" applyBorder="1" applyAlignment="1">
      <alignment horizontal="center" vertical="center"/>
    </xf>
    <xf numFmtId="0" fontId="1975" fillId="1975" borderId="1918" xfId="0" applyFont="1" applyFill="1" applyBorder="1" applyAlignment="1">
      <alignment horizontal="center" vertical="center"/>
    </xf>
    <xf numFmtId="0" fontId="1976" fillId="1976" borderId="1919" xfId="0" applyFont="1" applyFill="1" applyBorder="1" applyAlignment="1">
      <alignment horizontal="center" vertical="center"/>
    </xf>
    <xf numFmtId="0" fontId="1977" fillId="1977" borderId="1920" xfId="0" applyFont="1" applyFill="1" applyBorder="1" applyAlignment="1">
      <alignment horizontal="center" vertical="center"/>
    </xf>
    <xf numFmtId="0" fontId="1978" fillId="1978" borderId="1921" xfId="0" applyFont="1" applyFill="1" applyBorder="1" applyAlignment="1">
      <alignment horizontal="center" vertical="center"/>
    </xf>
    <xf numFmtId="0" fontId="1979" fillId="1979" borderId="1922" xfId="0" applyFont="1" applyFill="1" applyBorder="1" applyAlignment="1">
      <alignment horizontal="center" vertical="center"/>
    </xf>
    <xf numFmtId="0" fontId="1980" fillId="1980" borderId="1923" xfId="0" applyFont="1" applyFill="1" applyBorder="1" applyAlignment="1">
      <alignment horizontal="center" vertical="center"/>
    </xf>
    <xf numFmtId="0" fontId="1981" fillId="1981" borderId="1924" xfId="0" applyFont="1" applyFill="1" applyBorder="1"/>
    <xf numFmtId="0" fontId="1982" fillId="1982" borderId="1925" xfId="0" applyFont="1" applyFill="1" applyBorder="1"/>
    <xf numFmtId="0" fontId="1983" fillId="1983" borderId="1926" xfId="0" applyFont="1" applyFill="1" applyBorder="1"/>
    <xf numFmtId="0" fontId="1984" fillId="1984" borderId="1927" xfId="0" applyFont="1" applyFill="1" applyBorder="1"/>
    <xf numFmtId="0" fontId="1985" fillId="1985" borderId="1928" xfId="0" applyFont="1" applyFill="1" applyBorder="1"/>
    <xf numFmtId="0" fontId="1986" fillId="1986" borderId="1929" xfId="0" applyFont="1" applyFill="1" applyBorder="1"/>
    <xf numFmtId="0" fontId="1987" fillId="1987" borderId="1930" xfId="0" applyFont="1" applyFill="1" applyBorder="1"/>
    <xf numFmtId="0" fontId="1988" fillId="1988" borderId="1931" xfId="0" applyFont="1" applyFill="1" applyBorder="1"/>
    <xf numFmtId="0" fontId="1989" fillId="1989" borderId="1932" xfId="0" applyFont="1" applyFill="1" applyBorder="1" applyAlignment="1">
      <alignment horizontal="center" vertical="center"/>
    </xf>
    <xf numFmtId="0" fontId="1990" fillId="1990" borderId="1933" xfId="0" applyFont="1" applyFill="1" applyBorder="1" applyAlignment="1">
      <alignment horizontal="center" vertical="center"/>
    </xf>
    <xf numFmtId="0" fontId="1991" fillId="1991" borderId="1934" xfId="0" applyFont="1" applyFill="1" applyBorder="1" applyAlignment="1">
      <alignment horizontal="center" vertical="center"/>
    </xf>
    <xf numFmtId="0" fontId="1992" fillId="1992" borderId="1935" xfId="0" applyFont="1" applyFill="1" applyBorder="1" applyAlignment="1">
      <alignment horizontal="center" vertical="center"/>
    </xf>
    <xf numFmtId="0" fontId="1993" fillId="1993" borderId="1936" xfId="0" applyFont="1" applyFill="1" applyBorder="1" applyAlignment="1">
      <alignment horizontal="center" vertical="center"/>
    </xf>
    <xf numFmtId="0" fontId="1994" fillId="1994" borderId="1937" xfId="0" applyFont="1" applyFill="1" applyBorder="1" applyAlignment="1">
      <alignment horizontal="center" vertical="center"/>
    </xf>
    <xf numFmtId="0" fontId="1995" fillId="1995" borderId="1938" xfId="0" applyFont="1" applyFill="1" applyBorder="1" applyAlignment="1">
      <alignment horizontal="center" vertical="center"/>
    </xf>
    <xf numFmtId="0" fontId="1996" fillId="1996" borderId="1939" xfId="0" applyFont="1" applyFill="1" applyBorder="1"/>
    <xf numFmtId="0" fontId="1997" fillId="1997" borderId="1940" xfId="0" applyFont="1" applyFill="1" applyBorder="1"/>
    <xf numFmtId="0" fontId="1998" fillId="1998" borderId="1941" xfId="0" applyFont="1" applyFill="1" applyBorder="1"/>
    <xf numFmtId="0" fontId="1999" fillId="1999" borderId="1942" xfId="0" applyFont="1" applyFill="1" applyBorder="1"/>
    <xf numFmtId="0" fontId="2000" fillId="2000" borderId="1943" xfId="0" applyFont="1" applyFill="1" applyBorder="1"/>
    <xf numFmtId="0" fontId="2001" fillId="2001" borderId="1944" xfId="0" applyFont="1" applyFill="1" applyBorder="1"/>
    <xf numFmtId="0" fontId="2002" fillId="2002" borderId="1945" xfId="0" applyFont="1" applyFill="1" applyBorder="1"/>
    <xf numFmtId="0" fontId="2003" fillId="2003" borderId="1946" xfId="0" applyFont="1" applyFill="1" applyBorder="1"/>
    <xf numFmtId="0" fontId="2004" fillId="2004" borderId="1947" xfId="0" applyFont="1" applyFill="1" applyBorder="1" applyAlignment="1">
      <alignment horizontal="center" vertical="center"/>
    </xf>
    <xf numFmtId="0" fontId="2005" fillId="2005" borderId="1948" xfId="0" applyFont="1" applyFill="1" applyBorder="1" applyAlignment="1">
      <alignment horizontal="center" vertical="center"/>
    </xf>
    <xf numFmtId="0" fontId="2006" fillId="2006" borderId="1949" xfId="0" applyFont="1" applyFill="1" applyBorder="1" applyAlignment="1">
      <alignment horizontal="center" vertical="center"/>
    </xf>
    <xf numFmtId="0" fontId="2007" fillId="2007" borderId="1950" xfId="0" applyFont="1" applyFill="1" applyBorder="1" applyAlignment="1">
      <alignment horizontal="center" vertical="center"/>
    </xf>
    <xf numFmtId="0" fontId="2008" fillId="2008" borderId="1951" xfId="0" applyFont="1" applyFill="1" applyBorder="1" applyAlignment="1">
      <alignment horizontal="center" vertical="center"/>
    </xf>
    <xf numFmtId="0" fontId="2009" fillId="2009" borderId="1952" xfId="0" applyFont="1" applyFill="1" applyBorder="1" applyAlignment="1">
      <alignment horizontal="center" vertical="center"/>
    </xf>
    <xf numFmtId="0" fontId="2010" fillId="2010" borderId="1953" xfId="0" applyFont="1" applyFill="1" applyBorder="1" applyAlignment="1">
      <alignment horizontal="center" vertical="center"/>
    </xf>
    <xf numFmtId="0" fontId="2011" fillId="2011" borderId="1954" xfId="0" applyFont="1" applyFill="1" applyBorder="1"/>
    <xf numFmtId="0" fontId="2012" fillId="2012" borderId="1955" xfId="0" applyFont="1" applyFill="1" applyBorder="1"/>
    <xf numFmtId="0" fontId="2013" fillId="2013" borderId="1956" xfId="0" applyFont="1" applyFill="1" applyBorder="1"/>
    <xf numFmtId="0" fontId="2014" fillId="2014" borderId="1957" xfId="0" applyFont="1" applyFill="1" applyBorder="1"/>
    <xf numFmtId="0" fontId="2015" fillId="2015" borderId="1958" xfId="0" applyFont="1" applyFill="1" applyBorder="1"/>
    <xf numFmtId="0" fontId="2016" fillId="2016" borderId="1959" xfId="0" applyFont="1" applyFill="1" applyBorder="1"/>
    <xf numFmtId="0" fontId="2017" fillId="2017" borderId="1960" xfId="0" applyFont="1" applyFill="1" applyBorder="1"/>
    <xf numFmtId="0" fontId="2018" fillId="2018" borderId="1961" xfId="0" applyFont="1" applyFill="1" applyBorder="1"/>
    <xf numFmtId="0" fontId="2019" fillId="2019" borderId="1962" xfId="0" applyFont="1" applyFill="1" applyBorder="1" applyAlignment="1">
      <alignment horizontal="center" vertical="center"/>
    </xf>
    <xf numFmtId="0" fontId="2020" fillId="2020" borderId="1963" xfId="0" applyFont="1" applyFill="1" applyBorder="1" applyAlignment="1">
      <alignment horizontal="center" vertical="center"/>
    </xf>
    <xf numFmtId="0" fontId="2021" fillId="2021" borderId="1964" xfId="0" applyFont="1" applyFill="1" applyBorder="1" applyAlignment="1">
      <alignment horizontal="center" vertical="center"/>
    </xf>
    <xf numFmtId="0" fontId="2022" fillId="2022" borderId="1965" xfId="0" applyFont="1" applyFill="1" applyBorder="1" applyAlignment="1">
      <alignment horizontal="center" vertical="center"/>
    </xf>
    <xf numFmtId="0" fontId="2023" fillId="2023" borderId="1966" xfId="0" applyFont="1" applyFill="1" applyBorder="1" applyAlignment="1">
      <alignment horizontal="center" vertical="center"/>
    </xf>
    <xf numFmtId="0" fontId="2024" fillId="2024" borderId="1967" xfId="0" applyFont="1" applyFill="1" applyBorder="1" applyAlignment="1">
      <alignment horizontal="center" vertical="center"/>
    </xf>
    <xf numFmtId="0" fontId="2025" fillId="2025" borderId="1968" xfId="0" applyFont="1" applyFill="1" applyBorder="1" applyAlignment="1">
      <alignment horizontal="center" vertical="center"/>
    </xf>
    <xf numFmtId="0" fontId="2026" fillId="2026" borderId="1969" xfId="0" applyFont="1" applyFill="1" applyBorder="1"/>
    <xf numFmtId="0" fontId="2027" fillId="2027" borderId="1970" xfId="0" applyFont="1" applyFill="1" applyBorder="1"/>
    <xf numFmtId="0" fontId="2028" fillId="2028" borderId="1971" xfId="0" applyFont="1" applyFill="1" applyBorder="1"/>
    <xf numFmtId="0" fontId="2029" fillId="2029" borderId="1972" xfId="0" applyFont="1" applyFill="1" applyBorder="1"/>
    <xf numFmtId="0" fontId="2030" fillId="2030" borderId="1973" xfId="0" applyFont="1" applyFill="1" applyBorder="1"/>
    <xf numFmtId="0" fontId="2031" fillId="2031" borderId="1974" xfId="0" applyFont="1" applyFill="1" applyBorder="1"/>
    <xf numFmtId="0" fontId="2032" fillId="2032" borderId="1975" xfId="0" applyFont="1" applyFill="1" applyBorder="1"/>
    <xf numFmtId="0" fontId="2033" fillId="2033" borderId="1976" xfId="0" applyFont="1" applyFill="1" applyBorder="1"/>
    <xf numFmtId="0" fontId="2034" fillId="2034" borderId="1977" xfId="0" applyFont="1" applyFill="1" applyBorder="1" applyAlignment="1">
      <alignment horizontal="center" vertical="center"/>
    </xf>
    <xf numFmtId="0" fontId="2035" fillId="2035" borderId="1978" xfId="0" applyFont="1" applyFill="1" applyBorder="1" applyAlignment="1">
      <alignment horizontal="center" vertical="center"/>
    </xf>
    <xf numFmtId="0" fontId="2036" fillId="2036" borderId="1979" xfId="0" applyFont="1" applyFill="1" applyBorder="1" applyAlignment="1">
      <alignment horizontal="center" vertical="center"/>
    </xf>
    <xf numFmtId="0" fontId="2037" fillId="2037" borderId="1980" xfId="0" applyFont="1" applyFill="1" applyBorder="1" applyAlignment="1">
      <alignment horizontal="center" vertical="center"/>
    </xf>
    <xf numFmtId="0" fontId="2038" fillId="2038" borderId="1981" xfId="0" applyFont="1" applyFill="1" applyBorder="1" applyAlignment="1">
      <alignment horizontal="center" vertical="center"/>
    </xf>
    <xf numFmtId="0" fontId="2039" fillId="2039" borderId="1982" xfId="0" applyFont="1" applyFill="1" applyBorder="1" applyAlignment="1">
      <alignment horizontal="center" vertical="center"/>
    </xf>
    <xf numFmtId="0" fontId="2040" fillId="2040" borderId="1983" xfId="0" applyFont="1" applyFill="1" applyBorder="1" applyAlignment="1">
      <alignment horizontal="center" vertical="center"/>
    </xf>
    <xf numFmtId="0" fontId="2041" fillId="2041" borderId="1984" xfId="0" applyFont="1" applyFill="1" applyBorder="1"/>
    <xf numFmtId="0" fontId="2042" fillId="2042" borderId="1985" xfId="0" applyFont="1" applyFill="1" applyBorder="1"/>
    <xf numFmtId="0" fontId="2043" fillId="2043" borderId="1986" xfId="0" applyFont="1" applyFill="1" applyBorder="1"/>
    <xf numFmtId="0" fontId="2044" fillId="2044" borderId="1987" xfId="0" applyFont="1" applyFill="1" applyBorder="1"/>
    <xf numFmtId="0" fontId="2045" fillId="2045" borderId="1988" xfId="0" applyFont="1" applyFill="1" applyBorder="1"/>
    <xf numFmtId="0" fontId="2046" fillId="2046" borderId="1989" xfId="0" applyFont="1" applyFill="1" applyBorder="1"/>
    <xf numFmtId="0" fontId="2047" fillId="2047" borderId="1990" xfId="0" applyFont="1" applyFill="1" applyBorder="1"/>
    <xf numFmtId="0" fontId="2048" fillId="2048" borderId="1991" xfId="0" applyFont="1" applyFill="1" applyBorder="1"/>
    <xf numFmtId="0" fontId="2049" fillId="2049" borderId="1992" xfId="0" applyFont="1" applyFill="1" applyBorder="1" applyAlignment="1">
      <alignment horizontal="center" vertical="center"/>
    </xf>
    <xf numFmtId="0" fontId="2050" fillId="2050" borderId="1993" xfId="0" applyFont="1" applyFill="1" applyBorder="1" applyAlignment="1">
      <alignment horizontal="center" vertical="center"/>
    </xf>
    <xf numFmtId="0" fontId="2051" fillId="2051" borderId="1994" xfId="0" applyFont="1" applyFill="1" applyBorder="1" applyAlignment="1">
      <alignment horizontal="center" vertical="center"/>
    </xf>
    <xf numFmtId="0" fontId="2052" fillId="2052" borderId="1995" xfId="0" applyFont="1" applyFill="1" applyBorder="1" applyAlignment="1">
      <alignment horizontal="center" vertical="center"/>
    </xf>
    <xf numFmtId="0" fontId="2053" fillId="2053" borderId="1996" xfId="0" applyFont="1" applyFill="1" applyBorder="1" applyAlignment="1">
      <alignment horizontal="center" vertical="center"/>
    </xf>
    <xf numFmtId="0" fontId="2054" fillId="2054" borderId="1997" xfId="0" applyFont="1" applyFill="1" applyBorder="1" applyAlignment="1">
      <alignment horizontal="center" vertical="center"/>
    </xf>
    <xf numFmtId="0" fontId="2055" fillId="2055" borderId="1998" xfId="0" applyFont="1" applyFill="1" applyBorder="1" applyAlignment="1">
      <alignment horizontal="center" vertical="center"/>
    </xf>
    <xf numFmtId="0" fontId="2056" fillId="2056" borderId="1999" xfId="0" applyFont="1" applyFill="1" applyBorder="1"/>
    <xf numFmtId="0" fontId="2057" fillId="2057" borderId="2000" xfId="0" applyFont="1" applyFill="1" applyBorder="1"/>
    <xf numFmtId="0" fontId="2058" fillId="2058" borderId="2001" xfId="0" applyFont="1" applyFill="1" applyBorder="1"/>
    <xf numFmtId="0" fontId="2059" fillId="2059" borderId="2002" xfId="0" applyFont="1" applyFill="1" applyBorder="1"/>
    <xf numFmtId="0" fontId="2060" fillId="2060" borderId="2003" xfId="0" applyFont="1" applyFill="1" applyBorder="1"/>
    <xf numFmtId="0" fontId="2061" fillId="2061" borderId="2004" xfId="0" applyFont="1" applyFill="1" applyBorder="1"/>
    <xf numFmtId="0" fontId="2062" fillId="2062" borderId="2005" xfId="0" applyFont="1" applyFill="1" applyBorder="1"/>
    <xf numFmtId="0" fontId="2063" fillId="2063" borderId="2006" xfId="0" applyFont="1" applyFill="1" applyBorder="1"/>
    <xf numFmtId="0" fontId="2064" fillId="2064" borderId="2007" xfId="0" applyFont="1" applyFill="1" applyBorder="1" applyAlignment="1">
      <alignment horizontal="center" vertical="center"/>
    </xf>
    <xf numFmtId="0" fontId="2065" fillId="2065" borderId="2008" xfId="0" applyFont="1" applyFill="1" applyBorder="1" applyAlignment="1">
      <alignment horizontal="center" vertical="center"/>
    </xf>
    <xf numFmtId="0" fontId="2066" fillId="2066" borderId="2009" xfId="0" applyFont="1" applyFill="1" applyBorder="1" applyAlignment="1">
      <alignment horizontal="center" vertical="center"/>
    </xf>
    <xf numFmtId="0" fontId="2067" fillId="2067" borderId="2010" xfId="0" applyFont="1" applyFill="1" applyBorder="1" applyAlignment="1">
      <alignment horizontal="center" vertical="center"/>
    </xf>
    <xf numFmtId="0" fontId="2068" fillId="2068" borderId="2011" xfId="0" applyFont="1" applyFill="1" applyBorder="1" applyAlignment="1">
      <alignment horizontal="center" vertical="center"/>
    </xf>
    <xf numFmtId="0" fontId="2069" fillId="2069" borderId="2012" xfId="0" applyFont="1" applyFill="1" applyBorder="1" applyAlignment="1">
      <alignment horizontal="center" vertical="center"/>
    </xf>
    <xf numFmtId="0" fontId="2070" fillId="2070" borderId="2013" xfId="0" applyFont="1" applyFill="1" applyBorder="1" applyAlignment="1">
      <alignment horizontal="center" vertical="center"/>
    </xf>
    <xf numFmtId="0" fontId="2071" fillId="2071" borderId="2014" xfId="0" applyFont="1" applyFill="1" applyBorder="1"/>
    <xf numFmtId="0" fontId="2072" fillId="2072" borderId="2015" xfId="0" applyFont="1" applyFill="1" applyBorder="1"/>
    <xf numFmtId="0" fontId="2073" fillId="2073" borderId="2016" xfId="0" applyFont="1" applyFill="1" applyBorder="1"/>
    <xf numFmtId="0" fontId="2074" fillId="2074" borderId="2017" xfId="0" applyFont="1" applyFill="1" applyBorder="1"/>
    <xf numFmtId="0" fontId="2075" fillId="2075" borderId="2018" xfId="0" applyFont="1" applyFill="1" applyBorder="1"/>
    <xf numFmtId="0" fontId="2076" fillId="2076" borderId="2019" xfId="0" applyFont="1" applyFill="1" applyBorder="1"/>
    <xf numFmtId="0" fontId="2077" fillId="2077" borderId="2020" xfId="0" applyFont="1" applyFill="1" applyBorder="1"/>
    <xf numFmtId="0" fontId="2078" fillId="2078" borderId="2021" xfId="0" applyFont="1" applyFill="1" applyBorder="1"/>
    <xf numFmtId="0" fontId="2079" fillId="2079" borderId="2022" xfId="0" applyFont="1" applyFill="1" applyBorder="1" applyAlignment="1">
      <alignment horizontal="center" vertical="center"/>
    </xf>
    <xf numFmtId="0" fontId="2080" fillId="2080" borderId="2023" xfId="0" applyFont="1" applyFill="1" applyBorder="1" applyAlignment="1">
      <alignment horizontal="center" vertical="center"/>
    </xf>
    <xf numFmtId="0" fontId="2081" fillId="2081" borderId="2024" xfId="0" applyFont="1" applyFill="1" applyBorder="1" applyAlignment="1">
      <alignment horizontal="center" vertical="center"/>
    </xf>
    <xf numFmtId="0" fontId="2082" fillId="2082" borderId="2025" xfId="0" applyFont="1" applyFill="1" applyBorder="1" applyAlignment="1">
      <alignment horizontal="center" vertical="center"/>
    </xf>
    <xf numFmtId="0" fontId="2083" fillId="2083" borderId="2026" xfId="0" applyFont="1" applyFill="1" applyBorder="1" applyAlignment="1">
      <alignment horizontal="center" vertical="center"/>
    </xf>
    <xf numFmtId="0" fontId="2084" fillId="2084" borderId="2027" xfId="0" applyFont="1" applyFill="1" applyBorder="1" applyAlignment="1">
      <alignment horizontal="center" vertical="center"/>
    </xf>
    <xf numFmtId="0" fontId="2085" fillId="2085" borderId="2028" xfId="0" applyFont="1" applyFill="1" applyBorder="1" applyAlignment="1">
      <alignment horizontal="center" vertical="center"/>
    </xf>
    <xf numFmtId="0" fontId="2086" fillId="2086" borderId="2029" xfId="0" applyFont="1" applyFill="1" applyBorder="1"/>
    <xf numFmtId="0" fontId="2087" fillId="2087" borderId="2030" xfId="0" applyFont="1" applyFill="1" applyBorder="1"/>
    <xf numFmtId="0" fontId="2088" fillId="2088" borderId="2031" xfId="0" applyFont="1" applyFill="1" applyBorder="1"/>
    <xf numFmtId="0" fontId="2089" fillId="2089" borderId="2032" xfId="0" applyFont="1" applyFill="1" applyBorder="1"/>
    <xf numFmtId="0" fontId="2090" fillId="2090" borderId="2033" xfId="0" applyFont="1" applyFill="1" applyBorder="1"/>
    <xf numFmtId="0" fontId="2091" fillId="2091" borderId="2034" xfId="0" applyFont="1" applyFill="1" applyBorder="1"/>
    <xf numFmtId="0" fontId="2092" fillId="2092" borderId="2035" xfId="0" applyFont="1" applyFill="1" applyBorder="1"/>
    <xf numFmtId="0" fontId="2093" fillId="2093" borderId="2036" xfId="0" applyFont="1" applyFill="1" applyBorder="1"/>
    <xf numFmtId="0" fontId="2094" fillId="2094" borderId="2037" xfId="0" applyFont="1" applyFill="1" applyBorder="1" applyAlignment="1">
      <alignment horizontal="center" vertical="center"/>
    </xf>
    <xf numFmtId="0" fontId="2095" fillId="2095" borderId="2038" xfId="0" applyFont="1" applyFill="1" applyBorder="1" applyAlignment="1">
      <alignment horizontal="center" vertical="center"/>
    </xf>
    <xf numFmtId="0" fontId="2096" fillId="2096" borderId="2039" xfId="0" applyFont="1" applyFill="1" applyBorder="1" applyAlignment="1">
      <alignment horizontal="center" vertical="center"/>
    </xf>
    <xf numFmtId="0" fontId="2097" fillId="2097" borderId="2040" xfId="0" applyFont="1" applyFill="1" applyBorder="1" applyAlignment="1">
      <alignment horizontal="center" vertical="center"/>
    </xf>
    <xf numFmtId="0" fontId="2098" fillId="2098" borderId="2041" xfId="0" applyFont="1" applyFill="1" applyBorder="1" applyAlignment="1">
      <alignment horizontal="center" vertical="center"/>
    </xf>
    <xf numFmtId="0" fontId="2099" fillId="2099" borderId="2042" xfId="0" applyFont="1" applyFill="1" applyBorder="1" applyAlignment="1">
      <alignment horizontal="center" vertical="center"/>
    </xf>
    <xf numFmtId="0" fontId="2100" fillId="2100" borderId="2043" xfId="0" applyFont="1" applyFill="1" applyBorder="1" applyAlignment="1">
      <alignment horizontal="center" vertical="center"/>
    </xf>
    <xf numFmtId="0" fontId="2101" fillId="2101" borderId="2044" xfId="0" applyFont="1" applyFill="1" applyBorder="1"/>
    <xf numFmtId="0" fontId="2102" fillId="2102" borderId="2045" xfId="0" applyFont="1" applyFill="1" applyBorder="1"/>
    <xf numFmtId="0" fontId="2103" fillId="2103" borderId="2046" xfId="0" applyFont="1" applyFill="1" applyBorder="1"/>
    <xf numFmtId="0" fontId="2104" fillId="2104" borderId="2047" xfId="0" applyFont="1" applyFill="1" applyBorder="1"/>
    <xf numFmtId="0" fontId="2105" fillId="2105" borderId="2048" xfId="0" applyFont="1" applyFill="1" applyBorder="1"/>
    <xf numFmtId="0" fontId="2106" fillId="2106" borderId="2049" xfId="0" applyFont="1" applyFill="1" applyBorder="1"/>
    <xf numFmtId="0" fontId="2107" fillId="2107" borderId="2050" xfId="0" applyFont="1" applyFill="1" applyBorder="1"/>
    <xf numFmtId="0" fontId="2108" fillId="2108" borderId="2051" xfId="0" applyFont="1" applyFill="1" applyBorder="1"/>
    <xf numFmtId="0" fontId="2112" fillId="2112" borderId="2055" xfId="0" applyFont="1" applyFill="1" applyBorder="1"/>
    <xf numFmtId="0" fontId="2113" fillId="2113" borderId="2056" xfId="0" applyFont="1" applyFill="1" applyBorder="1"/>
    <xf numFmtId="0" fontId="2114" fillId="2114" borderId="2057" xfId="0" applyFont="1" applyFill="1" applyBorder="1"/>
    <xf numFmtId="0" fontId="2115" fillId="2115" borderId="2058" xfId="0" applyFont="1" applyFill="1" applyBorder="1"/>
    <xf numFmtId="0" fontId="2116" fillId="2116" borderId="2059" xfId="0" applyFont="1" applyFill="1" applyBorder="1"/>
    <xf numFmtId="0" fontId="2117" fillId="2117" borderId="2060" xfId="0" applyFont="1" applyFill="1" applyBorder="1"/>
    <xf numFmtId="0" fontId="2118" fillId="2118" borderId="2061" xfId="0" applyFont="1" applyFill="1" applyBorder="1"/>
    <xf numFmtId="0" fontId="2119" fillId="2119" borderId="2062" xfId="0" applyFont="1" applyFill="1" applyBorder="1"/>
    <xf numFmtId="0" fontId="2120" fillId="2120" borderId="2063" xfId="0" applyFont="1" applyFill="1" applyBorder="1"/>
    <xf numFmtId="0" fontId="2121" fillId="2121" borderId="2064" xfId="0" applyFont="1" applyFill="1" applyBorder="1"/>
    <xf numFmtId="0" fontId="2122" fillId="2122" borderId="2065" xfId="0" applyFont="1" applyFill="1" applyBorder="1"/>
    <xf numFmtId="0" fontId="2123" fillId="2123" borderId="2066" xfId="0" applyFont="1" applyFill="1" applyBorder="1"/>
    <xf numFmtId="0" fontId="2124" fillId="2124" borderId="2067" xfId="0" applyFont="1" applyFill="1" applyBorder="1"/>
    <xf numFmtId="0" fontId="2125" fillId="2125" borderId="2068" xfId="0" applyFont="1" applyFill="1" applyBorder="1"/>
    <xf numFmtId="0" fontId="2126" fillId="2126" borderId="2069" xfId="0" applyFont="1" applyFill="1" applyBorder="1"/>
    <xf numFmtId="0" fontId="2127" fillId="2127" borderId="2070" xfId="0" applyFont="1" applyFill="1" applyBorder="1"/>
    <xf numFmtId="0" fontId="2128" fillId="2128" borderId="2071" xfId="0" applyFont="1" applyFill="1" applyBorder="1"/>
    <xf numFmtId="0" fontId="2129" fillId="2129" borderId="2072" xfId="0" applyFont="1" applyFill="1" applyBorder="1"/>
    <xf numFmtId="1" fontId="2130" fillId="2130" borderId="2073" xfId="0" applyNumberFormat="1" applyFont="1" applyFill="1" applyBorder="1"/>
    <xf numFmtId="0" fontId="2131" fillId="2131" borderId="2074" xfId="0" applyFont="1" applyFill="1" applyBorder="1"/>
    <xf numFmtId="0" fontId="2132" fillId="2132" borderId="2075" xfId="0" applyFont="1" applyFill="1" applyBorder="1"/>
    <xf numFmtId="0" fontId="2133" fillId="2133" borderId="2076" xfId="0" applyFont="1" applyFill="1" applyBorder="1"/>
    <xf numFmtId="0" fontId="2134" fillId="2134" borderId="2077" xfId="0" applyFont="1" applyFill="1" applyBorder="1"/>
    <xf numFmtId="0" fontId="2135" fillId="2135" borderId="2078" xfId="0" applyFont="1" applyFill="1" applyBorder="1"/>
    <xf numFmtId="0" fontId="2136" fillId="2136" borderId="2079" xfId="0" applyFont="1" applyFill="1" applyBorder="1"/>
    <xf numFmtId="0" fontId="2137" fillId="2137" borderId="2080" xfId="0" applyFont="1" applyFill="1" applyBorder="1"/>
    <xf numFmtId="0" fontId="2138" fillId="2138" borderId="2081" xfId="0" applyFont="1" applyFill="1" applyBorder="1"/>
    <xf numFmtId="0" fontId="2139" fillId="2139" borderId="2082" xfId="0" applyFont="1" applyFill="1" applyBorder="1"/>
    <xf numFmtId="167" fontId="2140" fillId="2140" borderId="2083" xfId="0" applyNumberFormat="1" applyFont="1" applyFill="1" applyBorder="1"/>
    <xf numFmtId="0" fontId="2141" fillId="2141" borderId="2084" xfId="0" applyFont="1" applyFill="1" applyBorder="1"/>
    <xf numFmtId="0" fontId="2142" fillId="2142" borderId="2085" xfId="0" applyFont="1" applyFill="1" applyBorder="1"/>
    <xf numFmtId="0" fontId="2143" fillId="2143" borderId="2086" xfId="0" applyFont="1" applyFill="1" applyBorder="1"/>
    <xf numFmtId="0" fontId="2144" fillId="2144" borderId="2087" xfId="0" applyFont="1" applyFill="1" applyBorder="1"/>
    <xf numFmtId="0" fontId="2145" fillId="2145" borderId="2088" xfId="0" applyFont="1" applyFill="1" applyBorder="1"/>
    <xf numFmtId="0" fontId="2146" fillId="2146" borderId="2089" xfId="0" applyFont="1" applyFill="1" applyBorder="1"/>
    <xf numFmtId="0" fontId="2147" fillId="2147" borderId="2090" xfId="0" applyFont="1" applyFill="1" applyBorder="1"/>
    <xf numFmtId="0" fontId="2148" fillId="2148" borderId="2091" xfId="0" applyFont="1" applyFill="1" applyBorder="1"/>
    <xf numFmtId="0" fontId="2149" fillId="2149" borderId="2092" xfId="0" applyFont="1" applyFill="1" applyBorder="1"/>
    <xf numFmtId="1" fontId="2150" fillId="2150" borderId="2093" xfId="0" applyNumberFormat="1" applyFont="1" applyFill="1" applyBorder="1"/>
    <xf numFmtId="0" fontId="2151" fillId="2151" borderId="2094" xfId="0" applyFont="1" applyFill="1" applyBorder="1"/>
    <xf numFmtId="0" fontId="2152" fillId="2152" borderId="2095" xfId="0" applyFont="1" applyFill="1" applyBorder="1"/>
    <xf numFmtId="0" fontId="2153" fillId="2153" borderId="2096" xfId="0" applyFont="1" applyFill="1" applyBorder="1"/>
    <xf numFmtId="0" fontId="2154" fillId="2154" borderId="2097" xfId="0" applyFont="1" applyFill="1" applyBorder="1"/>
    <xf numFmtId="0" fontId="2155" fillId="2155" borderId="2098" xfId="0" applyFont="1" applyFill="1" applyBorder="1"/>
    <xf numFmtId="0" fontId="2156" fillId="2156" borderId="2099" xfId="0" applyFont="1" applyFill="1" applyBorder="1"/>
    <xf numFmtId="0" fontId="2157" fillId="2157" borderId="2100" xfId="0" applyFont="1" applyFill="1" applyBorder="1"/>
    <xf numFmtId="0" fontId="2158" fillId="2158" borderId="2101" xfId="0" applyFont="1" applyFill="1" applyBorder="1"/>
    <xf numFmtId="0" fontId="2159" fillId="2159" borderId="2102" xfId="0" applyFont="1" applyFill="1" applyBorder="1"/>
    <xf numFmtId="0" fontId="2160" fillId="2160" borderId="2103" xfId="0" applyFont="1" applyFill="1" applyBorder="1"/>
    <xf numFmtId="0" fontId="2161" fillId="2161" borderId="2104" xfId="0" applyFont="1" applyFill="1" applyBorder="1"/>
    <xf numFmtId="0" fontId="2162" fillId="2162" borderId="2105" xfId="0" applyFont="1" applyFill="1" applyBorder="1"/>
    <xf numFmtId="0" fontId="2163" fillId="2163" borderId="2106" xfId="0" applyFont="1" applyFill="1" applyBorder="1"/>
    <xf numFmtId="0" fontId="2164" fillId="2164" borderId="2107" xfId="0" applyFont="1" applyFill="1" applyBorder="1"/>
    <xf numFmtId="0" fontId="2165" fillId="2165" borderId="2108" xfId="0" applyFont="1" applyFill="1" applyBorder="1"/>
    <xf numFmtId="0" fontId="2166" fillId="2166" borderId="2109" xfId="0" applyFont="1" applyFill="1" applyBorder="1"/>
    <xf numFmtId="0" fontId="2167" fillId="2167" borderId="2110" xfId="0" applyFont="1" applyFill="1" applyBorder="1"/>
    <xf numFmtId="0" fontId="2168" fillId="2168" borderId="2111" xfId="0" applyFont="1" applyFill="1" applyBorder="1"/>
    <xf numFmtId="0" fontId="2169" fillId="2169" borderId="2112" xfId="0" applyFont="1" applyFill="1" applyBorder="1"/>
    <xf numFmtId="0" fontId="2170" fillId="2170" borderId="2113" xfId="0" applyFont="1" applyFill="1" applyBorder="1"/>
    <xf numFmtId="0" fontId="2171" fillId="2171" borderId="2114" xfId="0" applyFont="1" applyFill="1" applyBorder="1"/>
    <xf numFmtId="0" fontId="2172" fillId="2172" borderId="2115" xfId="0" applyFont="1" applyFill="1" applyBorder="1"/>
    <xf numFmtId="0" fontId="2173" fillId="2173" borderId="2116" xfId="0" applyFont="1" applyFill="1" applyBorder="1"/>
    <xf numFmtId="0" fontId="2174" fillId="2174" borderId="2117" xfId="0" applyFont="1" applyFill="1" applyBorder="1"/>
    <xf numFmtId="0" fontId="2175" fillId="2175" borderId="2118" xfId="0" applyFont="1" applyFill="1" applyBorder="1"/>
    <xf numFmtId="0" fontId="2176" fillId="2176" borderId="2119" xfId="0" applyFont="1" applyFill="1" applyBorder="1"/>
    <xf numFmtId="0" fontId="2177" fillId="2177" borderId="2120" xfId="0" applyFont="1" applyFill="1" applyBorder="1"/>
    <xf numFmtId="0" fontId="2178" fillId="2178" borderId="2121" xfId="0" applyFont="1" applyFill="1" applyBorder="1"/>
    <xf numFmtId="0" fontId="2179" fillId="2179" borderId="2122" xfId="0" applyFont="1" applyFill="1" applyBorder="1"/>
    <xf numFmtId="0" fontId="2180" fillId="2180" borderId="2123" xfId="0" applyFont="1" applyFill="1" applyBorder="1"/>
    <xf numFmtId="0" fontId="2181" fillId="2181" borderId="2124" xfId="0" applyFont="1" applyFill="1" applyBorder="1"/>
    <xf numFmtId="0" fontId="2182" fillId="2182" borderId="2125" xfId="0" applyFont="1" applyFill="1" applyBorder="1"/>
    <xf numFmtId="0" fontId="2183" fillId="2183" borderId="2126" xfId="0" applyFont="1" applyFill="1" applyBorder="1"/>
    <xf numFmtId="0" fontId="2184" fillId="2184" borderId="2127" xfId="0" applyFont="1" applyFill="1" applyBorder="1"/>
    <xf numFmtId="0" fontId="2185" fillId="2185" borderId="2128" xfId="0" applyFont="1" applyFill="1" applyBorder="1"/>
    <xf numFmtId="0" fontId="2186" fillId="2186" borderId="2129" xfId="0" applyFont="1" applyFill="1" applyBorder="1"/>
    <xf numFmtId="0" fontId="2187" fillId="2187" borderId="2130" xfId="0" applyFont="1" applyFill="1" applyBorder="1"/>
    <xf numFmtId="0" fontId="2188" fillId="2188" borderId="2131" xfId="0" applyFont="1" applyFill="1" applyBorder="1"/>
    <xf numFmtId="0" fontId="2189" fillId="2189" borderId="2132" xfId="0" applyFont="1" applyFill="1" applyBorder="1"/>
    <xf numFmtId="0" fontId="2190" fillId="2190" borderId="2133" xfId="0" applyFont="1" applyFill="1" applyBorder="1"/>
    <xf numFmtId="0" fontId="2191" fillId="2191" borderId="2134" xfId="0" applyFont="1" applyFill="1" applyBorder="1"/>
    <xf numFmtId="0" fontId="2192" fillId="2192" borderId="2135" xfId="0" applyFont="1" applyFill="1" applyBorder="1"/>
    <xf numFmtId="0" fontId="2193" fillId="2193" borderId="2136" xfId="0" applyFont="1" applyFill="1" applyBorder="1"/>
    <xf numFmtId="0" fontId="2194" fillId="2194" borderId="2137" xfId="0" applyFont="1" applyFill="1" applyBorder="1"/>
    <xf numFmtId="0" fontId="2195" fillId="2195" borderId="2138" xfId="0" applyFont="1" applyFill="1" applyBorder="1"/>
    <xf numFmtId="0" fontId="2196" fillId="2196" borderId="2139" xfId="0" applyFont="1" applyFill="1" applyBorder="1"/>
    <xf numFmtId="0" fontId="2197" fillId="2197" borderId="2140" xfId="0" applyFont="1" applyFill="1" applyBorder="1"/>
    <xf numFmtId="0" fontId="2198" fillId="2198" borderId="2141" xfId="0" applyFont="1" applyFill="1" applyBorder="1"/>
    <xf numFmtId="0" fontId="2199" fillId="2199" borderId="2142" xfId="0" applyFont="1" applyFill="1" applyBorder="1"/>
    <xf numFmtId="0" fontId="2200" fillId="2200" borderId="2143" xfId="0" applyFont="1" applyFill="1" applyBorder="1"/>
    <xf numFmtId="0" fontId="2201" fillId="2201" borderId="2144" xfId="0" applyFont="1" applyFill="1" applyBorder="1"/>
    <xf numFmtId="0" fontId="2202" fillId="2202" borderId="2145" xfId="0" applyFont="1" applyFill="1" applyBorder="1"/>
    <xf numFmtId="0" fontId="2203" fillId="2203" borderId="2146" xfId="0" applyFont="1" applyFill="1" applyBorder="1"/>
    <xf numFmtId="0" fontId="2204" fillId="2204" borderId="2147" xfId="0" applyFont="1" applyFill="1" applyBorder="1"/>
    <xf numFmtId="0" fontId="2205" fillId="2205" borderId="2148" xfId="0" applyFont="1" applyFill="1" applyBorder="1"/>
    <xf numFmtId="0" fontId="2206" fillId="2206" borderId="2149" xfId="0" applyFont="1" applyFill="1" applyBorder="1"/>
    <xf numFmtId="0" fontId="2207" fillId="2207" borderId="2150" xfId="0" applyFont="1" applyFill="1" applyBorder="1"/>
    <xf numFmtId="0" fontId="2208" fillId="2208" borderId="2151" xfId="0" applyFont="1" applyFill="1" applyBorder="1"/>
    <xf numFmtId="0" fontId="2209" fillId="2209" borderId="2152" xfId="0" applyFont="1" applyFill="1" applyBorder="1"/>
    <xf numFmtId="0" fontId="2210" fillId="2210" borderId="2153" xfId="0" applyFont="1" applyFill="1" applyBorder="1"/>
    <xf numFmtId="0" fontId="2211" fillId="2211" borderId="2154" xfId="0" applyFont="1" applyFill="1" applyBorder="1"/>
    <xf numFmtId="0" fontId="2212" fillId="2212" borderId="2155" xfId="0" applyFont="1" applyFill="1" applyBorder="1"/>
    <xf numFmtId="0" fontId="2213" fillId="2213" borderId="2156" xfId="0" applyFont="1" applyFill="1" applyBorder="1"/>
    <xf numFmtId="0" fontId="2214" fillId="2214" borderId="2157" xfId="0" applyFont="1" applyFill="1" applyBorder="1"/>
    <xf numFmtId="0" fontId="2215" fillId="2215" borderId="2158" xfId="0" applyFont="1" applyFill="1" applyBorder="1"/>
    <xf numFmtId="0" fontId="2216" fillId="2216" borderId="2159" xfId="0" applyFont="1" applyFill="1" applyBorder="1"/>
    <xf numFmtId="0" fontId="2217" fillId="2217" borderId="2160" xfId="0" applyFont="1" applyFill="1" applyBorder="1"/>
    <xf numFmtId="0" fontId="2218" fillId="2218" borderId="2161" xfId="0" applyFont="1" applyFill="1" applyBorder="1"/>
    <xf numFmtId="0" fontId="2219" fillId="2219" borderId="2162" xfId="0" applyFont="1" applyFill="1" applyBorder="1"/>
    <xf numFmtId="0" fontId="2220" fillId="2220" borderId="2163" xfId="0" applyFont="1" applyFill="1" applyBorder="1"/>
    <xf numFmtId="0" fontId="2221" fillId="2221" borderId="2164" xfId="0" applyFont="1" applyFill="1" applyBorder="1"/>
    <xf numFmtId="0" fontId="2222" fillId="2222" borderId="2165" xfId="0" applyFont="1" applyFill="1" applyBorder="1"/>
    <xf numFmtId="0" fontId="2223" fillId="2223" borderId="2166" xfId="0" applyFont="1" applyFill="1" applyBorder="1"/>
    <xf numFmtId="0" fontId="2224" fillId="2224" borderId="2167" xfId="0" applyFont="1" applyFill="1" applyBorder="1"/>
    <xf numFmtId="0" fontId="2225" fillId="2225" borderId="2168" xfId="0" applyFont="1" applyFill="1" applyBorder="1"/>
    <xf numFmtId="0" fontId="2226" fillId="2226" borderId="2169" xfId="0" applyFont="1" applyFill="1" applyBorder="1"/>
    <xf numFmtId="0" fontId="2227" fillId="2227" borderId="2170" xfId="0" applyFont="1" applyFill="1" applyBorder="1"/>
    <xf numFmtId="0" fontId="2228" fillId="2228" borderId="2171" xfId="0" applyFont="1" applyFill="1" applyBorder="1"/>
    <xf numFmtId="0" fontId="2229" fillId="2229" borderId="2172" xfId="0" applyFont="1" applyFill="1" applyBorder="1"/>
    <xf numFmtId="0" fontId="2230" fillId="2230" borderId="2173" xfId="0" applyFont="1" applyFill="1" applyBorder="1"/>
    <xf numFmtId="0" fontId="2231" fillId="2231" borderId="2174" xfId="0" applyFont="1" applyFill="1" applyBorder="1"/>
    <xf numFmtId="0" fontId="2232" fillId="2232" borderId="2175" xfId="0" applyFont="1" applyFill="1" applyBorder="1"/>
    <xf numFmtId="0" fontId="2233" fillId="2233" borderId="2176" xfId="0" applyFont="1" applyFill="1" applyBorder="1"/>
    <xf numFmtId="0" fontId="2234" fillId="2234" borderId="2177" xfId="0" applyFont="1" applyFill="1" applyBorder="1"/>
    <xf numFmtId="0" fontId="2235" fillId="2235" borderId="2178" xfId="0" applyFont="1" applyFill="1" applyBorder="1"/>
    <xf numFmtId="0" fontId="2236" fillId="2236" borderId="2179" xfId="0" applyFont="1" applyFill="1" applyBorder="1"/>
    <xf numFmtId="0" fontId="2237" fillId="2237" borderId="2180" xfId="0" applyFont="1" applyFill="1" applyBorder="1"/>
    <xf numFmtId="0" fontId="2238" fillId="2238" borderId="2181" xfId="0" applyFont="1" applyFill="1" applyBorder="1"/>
    <xf numFmtId="0" fontId="2239" fillId="2239" borderId="2182" xfId="0" applyFont="1" applyFill="1" applyBorder="1"/>
    <xf numFmtId="0" fontId="2240" fillId="2240" borderId="2183" xfId="0" applyFont="1" applyFill="1" applyBorder="1"/>
    <xf numFmtId="0" fontId="2241" fillId="2241" borderId="2184" xfId="0" applyFont="1" applyFill="1" applyBorder="1"/>
    <xf numFmtId="0" fontId="2242" fillId="2242" borderId="2185" xfId="0" applyFont="1" applyFill="1" applyBorder="1"/>
    <xf numFmtId="0" fontId="2243" fillId="2243" borderId="2186" xfId="0" applyFont="1" applyFill="1" applyBorder="1"/>
    <xf numFmtId="0" fontId="2244" fillId="2244" borderId="2187" xfId="0" applyFont="1" applyFill="1" applyBorder="1"/>
    <xf numFmtId="0" fontId="2245" fillId="2245" borderId="2188" xfId="0" applyFont="1" applyFill="1" applyBorder="1"/>
    <xf numFmtId="0" fontId="2246" fillId="2246" borderId="2189" xfId="0" applyFont="1" applyFill="1" applyBorder="1"/>
    <xf numFmtId="0" fontId="2247" fillId="2247" borderId="2190" xfId="0" applyFont="1" applyFill="1" applyBorder="1"/>
    <xf numFmtId="0" fontId="2248" fillId="2248" borderId="2191" xfId="0" applyFont="1" applyFill="1" applyBorder="1"/>
    <xf numFmtId="0" fontId="2249" fillId="2249" borderId="2192" xfId="0" applyFont="1" applyFill="1" applyBorder="1"/>
    <xf numFmtId="0" fontId="2250" fillId="2250" borderId="2193" xfId="0" applyFont="1" applyFill="1" applyBorder="1"/>
    <xf numFmtId="0" fontId="2251" fillId="2251" borderId="2194" xfId="0" applyFont="1" applyFill="1" applyBorder="1"/>
    <xf numFmtId="0" fontId="2252" fillId="2252" borderId="2195" xfId="0" applyFont="1" applyFill="1" applyBorder="1"/>
    <xf numFmtId="0" fontId="2253" fillId="2253" borderId="2196" xfId="0" applyFont="1" applyFill="1" applyBorder="1"/>
    <xf numFmtId="0" fontId="2254" fillId="2254" borderId="2197" xfId="0" applyFont="1" applyFill="1" applyBorder="1"/>
    <xf numFmtId="0" fontId="2255" fillId="2255" borderId="2198" xfId="0" applyFont="1" applyFill="1" applyBorder="1"/>
    <xf numFmtId="0" fontId="2256" fillId="2256" borderId="2199" xfId="0" applyFont="1" applyFill="1" applyBorder="1"/>
    <xf numFmtId="0" fontId="2257" fillId="2257" borderId="2200" xfId="0" applyFont="1" applyFill="1" applyBorder="1"/>
    <xf numFmtId="0" fontId="2258" fillId="2258" borderId="2201" xfId="0" applyFont="1" applyFill="1" applyBorder="1"/>
    <xf numFmtId="0" fontId="2259" fillId="2259" borderId="2202" xfId="0" applyFont="1" applyFill="1" applyBorder="1"/>
    <xf numFmtId="0" fontId="2260" fillId="2260" borderId="2203" xfId="0" applyFont="1" applyFill="1" applyBorder="1"/>
    <xf numFmtId="0" fontId="2261" fillId="2261" borderId="2204" xfId="0" applyFont="1" applyFill="1" applyBorder="1"/>
    <xf numFmtId="0" fontId="2262" fillId="2262" borderId="2205" xfId="0" applyFont="1" applyFill="1" applyBorder="1"/>
    <xf numFmtId="0" fontId="2263" fillId="2263" borderId="2206" xfId="0" applyFont="1" applyFill="1" applyBorder="1"/>
    <xf numFmtId="0" fontId="2264" fillId="2264" borderId="2207" xfId="0" applyFont="1" applyFill="1" applyBorder="1"/>
    <xf numFmtId="0" fontId="2265" fillId="2265" borderId="2208" xfId="0" applyFont="1" applyFill="1" applyBorder="1"/>
    <xf numFmtId="0" fontId="2266" fillId="2266" borderId="2209" xfId="0" applyFont="1" applyFill="1" applyBorder="1"/>
    <xf numFmtId="0" fontId="2267" fillId="2267" borderId="2210" xfId="0" applyFont="1" applyFill="1" applyBorder="1"/>
    <xf numFmtId="0" fontId="2268" fillId="2268" borderId="2211" xfId="0" applyFont="1" applyFill="1" applyBorder="1"/>
    <xf numFmtId="0" fontId="2269" fillId="2269" borderId="2212" xfId="0" applyFont="1" applyFill="1" applyBorder="1"/>
    <xf numFmtId="0" fontId="2270" fillId="2270" borderId="2213" xfId="0" applyFont="1" applyFill="1" applyBorder="1"/>
    <xf numFmtId="0" fontId="2271" fillId="2271" borderId="2214" xfId="0" applyFont="1" applyFill="1" applyBorder="1"/>
    <xf numFmtId="0" fontId="2272" fillId="2272" borderId="2215" xfId="0" applyFont="1" applyFill="1" applyBorder="1"/>
    <xf numFmtId="0" fontId="2273" fillId="2273" borderId="2216" xfId="0" applyFont="1" applyFill="1" applyBorder="1"/>
    <xf numFmtId="0" fontId="2274" fillId="2274" borderId="2217" xfId="0" applyFont="1" applyFill="1" applyBorder="1"/>
    <xf numFmtId="0" fontId="2275" fillId="2275" borderId="2218" xfId="0" applyFont="1" applyFill="1" applyBorder="1"/>
    <xf numFmtId="0" fontId="2276" fillId="2276" borderId="2219" xfId="0" applyFont="1" applyFill="1" applyBorder="1"/>
    <xf numFmtId="0" fontId="2277" fillId="2277" borderId="2220" xfId="0" applyFont="1" applyFill="1" applyBorder="1"/>
    <xf numFmtId="0" fontId="2278" fillId="2278" borderId="2221" xfId="0" applyFont="1" applyFill="1" applyBorder="1"/>
    <xf numFmtId="0" fontId="2279" fillId="2279" borderId="2222" xfId="0" applyFont="1" applyFill="1" applyBorder="1"/>
    <xf numFmtId="0" fontId="2280" fillId="2280" borderId="2223" xfId="0" applyFont="1" applyFill="1" applyBorder="1"/>
    <xf numFmtId="0" fontId="2281" fillId="2281" borderId="2224" xfId="0" applyFont="1" applyFill="1" applyBorder="1"/>
    <xf numFmtId="0" fontId="2282" fillId="2282" borderId="2225" xfId="0" applyFont="1" applyFill="1" applyBorder="1"/>
    <xf numFmtId="0" fontId="2283" fillId="2283" borderId="2226" xfId="0" applyFont="1" applyFill="1" applyBorder="1"/>
    <xf numFmtId="0" fontId="2284" fillId="2284" borderId="2227" xfId="0" applyFont="1" applyFill="1" applyBorder="1"/>
    <xf numFmtId="0" fontId="2285" fillId="2285" borderId="2228" xfId="0" applyFont="1" applyFill="1" applyBorder="1"/>
    <xf numFmtId="0" fontId="2286" fillId="2286" borderId="2229" xfId="0" applyFont="1" applyFill="1" applyBorder="1"/>
    <xf numFmtId="0" fontId="2287" fillId="2287" borderId="2230" xfId="0" applyFont="1" applyFill="1" applyBorder="1"/>
    <xf numFmtId="0" fontId="2288" fillId="2288" borderId="2231" xfId="0" applyFont="1" applyFill="1" applyBorder="1"/>
    <xf numFmtId="0" fontId="2289" fillId="2289" borderId="2232" xfId="0" applyFont="1" applyFill="1" applyBorder="1"/>
    <xf numFmtId="0" fontId="2290" fillId="2290" borderId="2233" xfId="0" applyFont="1" applyFill="1" applyBorder="1"/>
    <xf numFmtId="0" fontId="2291" fillId="2291" borderId="2234" xfId="0" applyFont="1" applyFill="1" applyBorder="1"/>
    <xf numFmtId="0" fontId="2292" fillId="2292" borderId="2235" xfId="0" applyFont="1" applyFill="1" applyBorder="1"/>
    <xf numFmtId="0" fontId="2293" fillId="2293" borderId="2236" xfId="0" applyFont="1" applyFill="1" applyBorder="1"/>
    <xf numFmtId="0" fontId="2294" fillId="2294" borderId="2237" xfId="0" applyFont="1" applyFill="1" applyBorder="1"/>
    <xf numFmtId="0" fontId="2295" fillId="2295" borderId="2238" xfId="0" applyFont="1" applyFill="1" applyBorder="1"/>
    <xf numFmtId="0" fontId="2296" fillId="2296" borderId="2239" xfId="0" applyFont="1" applyFill="1" applyBorder="1"/>
    <xf numFmtId="0" fontId="2297" fillId="2297" borderId="2240" xfId="0" applyFont="1" applyFill="1" applyBorder="1"/>
    <xf numFmtId="0" fontId="2298" fillId="2298" borderId="2241" xfId="0" applyFont="1" applyFill="1" applyBorder="1"/>
    <xf numFmtId="0" fontId="2299" fillId="2299" borderId="2242" xfId="0" applyFont="1" applyFill="1" applyBorder="1"/>
    <xf numFmtId="0" fontId="2300" fillId="2300" borderId="2243" xfId="0" applyFont="1" applyFill="1" applyBorder="1"/>
    <xf numFmtId="0" fontId="2301" fillId="2301" borderId="2244" xfId="0" applyFont="1" applyFill="1" applyBorder="1"/>
    <xf numFmtId="0" fontId="2302" fillId="2302" borderId="2245" xfId="0" applyFont="1" applyFill="1" applyBorder="1"/>
    <xf numFmtId="0" fontId="2303" fillId="2303" borderId="2246" xfId="0" applyFont="1" applyFill="1" applyBorder="1"/>
    <xf numFmtId="0" fontId="2304" fillId="2304" borderId="2247" xfId="0" applyFont="1" applyFill="1" applyBorder="1"/>
    <xf numFmtId="0" fontId="2305" fillId="2305" borderId="2248" xfId="0" applyFont="1" applyFill="1" applyBorder="1"/>
    <xf numFmtId="0" fontId="2306" fillId="2306" borderId="2249" xfId="0" applyFont="1" applyFill="1" applyBorder="1"/>
    <xf numFmtId="0" fontId="2307" fillId="2307" borderId="2250" xfId="0" applyFont="1" applyFill="1" applyBorder="1"/>
    <xf numFmtId="0" fontId="2308" fillId="2308" borderId="2251" xfId="0" applyFont="1" applyFill="1" applyBorder="1"/>
    <xf numFmtId="0" fontId="2309" fillId="2309" borderId="2252" xfId="0" applyFont="1" applyFill="1" applyBorder="1"/>
    <xf numFmtId="0" fontId="2310" fillId="2310" borderId="2253" xfId="0" applyFont="1" applyFill="1" applyBorder="1"/>
    <xf numFmtId="0" fontId="2311" fillId="2311" borderId="2254" xfId="0" applyFont="1" applyFill="1" applyBorder="1"/>
    <xf numFmtId="0" fontId="2312" fillId="2312" borderId="2255" xfId="0" applyFont="1" applyFill="1" applyBorder="1"/>
    <xf numFmtId="0" fontId="2313" fillId="2313" borderId="2256" xfId="0" applyFont="1" applyFill="1" applyBorder="1"/>
    <xf numFmtId="0" fontId="2314" fillId="2314" borderId="2257" xfId="0" applyFont="1" applyFill="1" applyBorder="1"/>
    <xf numFmtId="0" fontId="2315" fillId="2315" borderId="2258" xfId="0" applyFont="1" applyFill="1" applyBorder="1"/>
    <xf numFmtId="0" fontId="2316" fillId="2316" borderId="2259" xfId="0" applyFont="1" applyFill="1" applyBorder="1"/>
    <xf numFmtId="0" fontId="2317" fillId="2317" borderId="2260" xfId="0" applyFont="1" applyFill="1" applyBorder="1"/>
    <xf numFmtId="0" fontId="2318" fillId="2318" borderId="2261" xfId="0" applyFont="1" applyFill="1" applyBorder="1"/>
    <xf numFmtId="0" fontId="2319" fillId="2319" borderId="2262" xfId="0" applyFont="1" applyFill="1" applyBorder="1"/>
    <xf numFmtId="0" fontId="2320" fillId="2320" borderId="2263" xfId="0" applyFont="1" applyFill="1" applyBorder="1"/>
    <xf numFmtId="0" fontId="2321" fillId="2321" borderId="2264" xfId="0" applyFont="1" applyFill="1" applyBorder="1"/>
    <xf numFmtId="0" fontId="2322" fillId="2322" borderId="2265" xfId="0" applyFont="1" applyFill="1" applyBorder="1"/>
    <xf numFmtId="0" fontId="2323" fillId="2323" borderId="2266" xfId="0" applyFont="1" applyFill="1" applyBorder="1"/>
    <xf numFmtId="0" fontId="2324" fillId="2324" borderId="2267" xfId="0" applyFont="1" applyFill="1" applyBorder="1"/>
    <xf numFmtId="0" fontId="2325" fillId="2325" borderId="2268" xfId="0" applyFont="1" applyFill="1" applyBorder="1"/>
    <xf numFmtId="0" fontId="2326" fillId="2326" borderId="2269" xfId="0" applyFont="1" applyFill="1" applyBorder="1"/>
    <xf numFmtId="0" fontId="2327" fillId="2327" borderId="2270" xfId="0" applyFont="1" applyFill="1" applyBorder="1"/>
    <xf numFmtId="0" fontId="2328" fillId="2328" borderId="2271" xfId="0" applyFont="1" applyFill="1" applyBorder="1"/>
    <xf numFmtId="0" fontId="2329" fillId="2329" borderId="2272" xfId="0" applyFont="1" applyFill="1" applyBorder="1"/>
    <xf numFmtId="0" fontId="2330" fillId="2330" borderId="2273" xfId="0" applyFont="1" applyFill="1" applyBorder="1"/>
    <xf numFmtId="0" fontId="2331" fillId="2331" borderId="2274" xfId="0" applyFont="1" applyFill="1" applyBorder="1"/>
    <xf numFmtId="0" fontId="2332" fillId="2332" borderId="2275" xfId="0" applyFont="1" applyFill="1" applyBorder="1"/>
    <xf numFmtId="0" fontId="2333" fillId="2333" borderId="2276" xfId="0" applyFont="1" applyFill="1" applyBorder="1"/>
    <xf numFmtId="0" fontId="2334" fillId="2334" borderId="2277" xfId="0" applyFont="1" applyFill="1" applyBorder="1"/>
    <xf numFmtId="0" fontId="2335" fillId="2335" borderId="2278" xfId="0" applyFont="1" applyFill="1" applyBorder="1"/>
    <xf numFmtId="0" fontId="2336" fillId="2336" borderId="2279" xfId="0" applyFont="1" applyFill="1" applyBorder="1"/>
    <xf numFmtId="0" fontId="2337" fillId="2337" borderId="2280" xfId="0" applyFont="1" applyFill="1" applyBorder="1"/>
    <xf numFmtId="0" fontId="2338" fillId="2338" borderId="2281" xfId="0" applyFont="1" applyFill="1" applyBorder="1"/>
    <xf numFmtId="0" fontId="2339" fillId="2339" borderId="2282" xfId="0" applyFont="1" applyFill="1" applyBorder="1"/>
    <xf numFmtId="0" fontId="2340" fillId="2340" borderId="2283" xfId="0" applyFont="1" applyFill="1" applyBorder="1"/>
    <xf numFmtId="0" fontId="2341" fillId="2341" borderId="2284" xfId="0" applyFont="1" applyFill="1" applyBorder="1"/>
    <xf numFmtId="0" fontId="2342" fillId="2342" borderId="2285" xfId="0" applyFont="1" applyFill="1" applyBorder="1"/>
    <xf numFmtId="0" fontId="2343" fillId="2343" borderId="2286" xfId="0" applyFont="1" applyFill="1" applyBorder="1"/>
    <xf numFmtId="0" fontId="2344" fillId="2344" borderId="2287" xfId="0" applyFont="1" applyFill="1" applyBorder="1"/>
    <xf numFmtId="0" fontId="2345" fillId="2345" borderId="2288" xfId="0" applyFont="1" applyFill="1" applyBorder="1"/>
    <xf numFmtId="0" fontId="2346" fillId="2346" borderId="2289" xfId="0" applyFont="1" applyFill="1" applyBorder="1"/>
    <xf numFmtId="0" fontId="2347" fillId="2347" borderId="2290" xfId="0" applyFont="1" applyFill="1" applyBorder="1"/>
    <xf numFmtId="0" fontId="2348" fillId="2348" borderId="2291" xfId="0" applyFont="1" applyFill="1" applyBorder="1"/>
    <xf numFmtId="0" fontId="2349" fillId="2349" borderId="2292" xfId="0" applyFont="1" applyFill="1" applyBorder="1"/>
    <xf numFmtId="0" fontId="2350" fillId="2350" borderId="2293" xfId="0" applyFont="1" applyFill="1" applyBorder="1"/>
    <xf numFmtId="0" fontId="2351" fillId="2351" borderId="2294" xfId="0" applyFont="1" applyFill="1" applyBorder="1"/>
    <xf numFmtId="0" fontId="2352" fillId="2352" borderId="2295" xfId="0" applyFont="1" applyFill="1" applyBorder="1"/>
    <xf numFmtId="0" fontId="2353" fillId="2353" borderId="2296" xfId="0" applyFont="1" applyFill="1" applyBorder="1"/>
    <xf numFmtId="0" fontId="2354" fillId="2354" borderId="2297" xfId="0" applyFont="1" applyFill="1" applyBorder="1"/>
    <xf numFmtId="0" fontId="2355" fillId="2355" borderId="2298" xfId="0" applyFont="1" applyFill="1" applyBorder="1"/>
    <xf numFmtId="0" fontId="2356" fillId="2356" borderId="2299" xfId="0" applyFont="1" applyFill="1" applyBorder="1"/>
    <xf numFmtId="0" fontId="2357" fillId="2357" borderId="2300" xfId="0" applyFont="1" applyFill="1" applyBorder="1"/>
    <xf numFmtId="0" fontId="2358" fillId="2358" borderId="2301" xfId="0" applyFont="1" applyFill="1" applyBorder="1"/>
    <xf numFmtId="0" fontId="2359" fillId="2359" borderId="2302" xfId="0" applyFont="1" applyFill="1" applyBorder="1"/>
    <xf numFmtId="0" fontId="2360" fillId="2360" borderId="2303" xfId="0" applyFont="1" applyFill="1" applyBorder="1"/>
    <xf numFmtId="0" fontId="2361" fillId="2361" borderId="2304" xfId="0" applyFont="1" applyFill="1" applyBorder="1"/>
    <xf numFmtId="0" fontId="2362" fillId="2362" borderId="2305" xfId="0" applyFont="1" applyFill="1" applyBorder="1"/>
    <xf numFmtId="0" fontId="2363" fillId="2363" borderId="2306" xfId="0" applyFont="1" applyFill="1" applyBorder="1"/>
    <xf numFmtId="0" fontId="2364" fillId="2364" borderId="2307" xfId="0" applyFont="1" applyFill="1" applyBorder="1"/>
    <xf numFmtId="0" fontId="2365" fillId="2365" borderId="2308" xfId="0" applyFont="1" applyFill="1" applyBorder="1"/>
    <xf numFmtId="0" fontId="2366" fillId="2366" borderId="2309" xfId="0" applyFont="1" applyFill="1" applyBorder="1"/>
    <xf numFmtId="0" fontId="2367" fillId="2367" borderId="2310" xfId="0" applyFont="1" applyFill="1" applyBorder="1"/>
    <xf numFmtId="0" fontId="2368" fillId="2368" borderId="2311" xfId="0" applyFont="1" applyFill="1" applyBorder="1"/>
    <xf numFmtId="0" fontId="2369" fillId="2369" borderId="2312" xfId="0" applyFont="1" applyFill="1" applyBorder="1"/>
    <xf numFmtId="0" fontId="2370" fillId="2370" borderId="2313" xfId="0" applyFont="1" applyFill="1" applyBorder="1"/>
    <xf numFmtId="0" fontId="2371" fillId="2371" borderId="2314" xfId="0" applyFont="1" applyFill="1" applyBorder="1"/>
    <xf numFmtId="0" fontId="2372" fillId="2372" borderId="2315" xfId="0" applyFont="1" applyFill="1" applyBorder="1"/>
    <xf numFmtId="0" fontId="2373" fillId="2373" borderId="2316" xfId="0" applyFont="1" applyFill="1" applyBorder="1"/>
    <xf numFmtId="0" fontId="2374" fillId="2374" borderId="2317" xfId="0" applyFont="1" applyFill="1" applyBorder="1"/>
    <xf numFmtId="0" fontId="2375" fillId="2375" borderId="2318" xfId="0" applyFont="1" applyFill="1" applyBorder="1"/>
    <xf numFmtId="0" fontId="2376" fillId="2376" borderId="2319" xfId="0" applyFont="1" applyFill="1" applyBorder="1"/>
    <xf numFmtId="0" fontId="2377" fillId="2377" borderId="2320" xfId="0" applyFont="1" applyFill="1" applyBorder="1"/>
    <xf numFmtId="0" fontId="2378" fillId="2378" borderId="2321" xfId="0" applyFont="1" applyFill="1" applyBorder="1"/>
    <xf numFmtId="0" fontId="2379" fillId="2379" borderId="2322" xfId="0" applyFont="1" applyFill="1" applyBorder="1"/>
    <xf numFmtId="0" fontId="2380" fillId="2380" borderId="2323" xfId="0" applyFont="1" applyFill="1" applyBorder="1"/>
    <xf numFmtId="0" fontId="2381" fillId="2381" borderId="2324" xfId="0" applyFont="1" applyFill="1" applyBorder="1"/>
    <xf numFmtId="0" fontId="2382" fillId="2382" borderId="2325" xfId="0" applyFont="1" applyFill="1" applyBorder="1"/>
    <xf numFmtId="0" fontId="2383" fillId="2383" borderId="2326" xfId="0" applyFont="1" applyFill="1" applyBorder="1"/>
    <xf numFmtId="0" fontId="2384" fillId="2384" borderId="2327" xfId="0" applyFont="1" applyFill="1" applyBorder="1"/>
    <xf numFmtId="0" fontId="2385" fillId="2385" borderId="2328" xfId="0" applyFont="1" applyFill="1" applyBorder="1"/>
    <xf numFmtId="0" fontId="2386" fillId="2386" borderId="2329" xfId="0" applyFont="1" applyFill="1" applyBorder="1"/>
    <xf numFmtId="0" fontId="2387" fillId="2387" borderId="2330" xfId="0" applyFont="1" applyFill="1" applyBorder="1"/>
    <xf numFmtId="0" fontId="2388" fillId="2388" borderId="2331" xfId="0" applyFont="1" applyFill="1" applyBorder="1"/>
    <xf numFmtId="0" fontId="2389" fillId="2389" borderId="2332" xfId="0" applyFont="1" applyFill="1" applyBorder="1"/>
    <xf numFmtId="0" fontId="2390" fillId="2390" borderId="2333" xfId="0" applyFont="1" applyFill="1" applyBorder="1"/>
    <xf numFmtId="0" fontId="2391" fillId="2391" borderId="2334" xfId="0" applyFont="1" applyFill="1" applyBorder="1"/>
    <xf numFmtId="0" fontId="2392" fillId="2392" borderId="2335" xfId="0" applyFont="1" applyFill="1" applyBorder="1"/>
    <xf numFmtId="0" fontId="2393" fillId="2393" borderId="2336" xfId="0" applyFont="1" applyFill="1" applyBorder="1"/>
    <xf numFmtId="0" fontId="2394" fillId="2394" borderId="2337" xfId="0" applyFont="1" applyFill="1" applyBorder="1"/>
    <xf numFmtId="0" fontId="2395" fillId="2395" borderId="2338" xfId="0" applyFont="1" applyFill="1" applyBorder="1"/>
    <xf numFmtId="0" fontId="2396" fillId="2396" borderId="2339" xfId="0" applyFont="1" applyFill="1" applyBorder="1"/>
    <xf numFmtId="0" fontId="2397" fillId="2397" borderId="2340" xfId="0" applyFont="1" applyFill="1" applyBorder="1"/>
    <xf numFmtId="0" fontId="2398" fillId="2398" borderId="2341" xfId="0" applyFont="1" applyFill="1" applyBorder="1"/>
    <xf numFmtId="0" fontId="2399" fillId="2399" borderId="2342" xfId="0" applyFont="1" applyFill="1" applyBorder="1"/>
    <xf numFmtId="0" fontId="2400" fillId="2400" borderId="2343" xfId="0" applyFont="1" applyFill="1" applyBorder="1"/>
    <xf numFmtId="0" fontId="2401" fillId="2401" borderId="2344" xfId="0" applyFont="1" applyFill="1" applyBorder="1"/>
    <xf numFmtId="0" fontId="2402" fillId="2402" borderId="2345" xfId="0" applyFont="1" applyFill="1" applyBorder="1"/>
    <xf numFmtId="0" fontId="2403" fillId="2403" borderId="2346" xfId="0" applyFont="1" applyFill="1" applyBorder="1"/>
    <xf numFmtId="0" fontId="2404" fillId="2404" borderId="2347" xfId="0" applyFont="1" applyFill="1" applyBorder="1"/>
    <xf numFmtId="0" fontId="2405" fillId="2405" borderId="2348" xfId="0" applyFont="1" applyFill="1" applyBorder="1"/>
    <xf numFmtId="0" fontId="2406" fillId="2406" borderId="2349" xfId="0" applyFont="1" applyFill="1" applyBorder="1"/>
    <xf numFmtId="0" fontId="2407" fillId="2407" borderId="2350" xfId="0" applyFont="1" applyFill="1" applyBorder="1"/>
    <xf numFmtId="0" fontId="2408" fillId="2408" borderId="2351" xfId="0" applyFont="1" applyFill="1" applyBorder="1"/>
    <xf numFmtId="0" fontId="2409" fillId="2409" borderId="2352" xfId="0" applyFont="1" applyFill="1" applyBorder="1"/>
    <xf numFmtId="0" fontId="2410" fillId="2410" borderId="2353" xfId="0" applyFont="1" applyFill="1" applyBorder="1"/>
    <xf numFmtId="0" fontId="2411" fillId="2411" borderId="2354" xfId="0" applyFont="1" applyFill="1" applyBorder="1"/>
    <xf numFmtId="0" fontId="2412" fillId="2412" borderId="2355" xfId="0" applyFont="1" applyFill="1" applyBorder="1"/>
    <xf numFmtId="0" fontId="2413" fillId="2413" borderId="2356" xfId="0" applyFont="1" applyFill="1" applyBorder="1"/>
    <xf numFmtId="0" fontId="2414" fillId="2414" borderId="2357" xfId="0" applyFont="1" applyFill="1" applyBorder="1"/>
    <xf numFmtId="0" fontId="2415" fillId="2415" borderId="2358" xfId="0" applyFont="1" applyFill="1" applyBorder="1"/>
    <xf numFmtId="0" fontId="2416" fillId="2416" borderId="2359" xfId="0" applyFont="1" applyFill="1" applyBorder="1"/>
    <xf numFmtId="0" fontId="2417" fillId="2417" borderId="2360" xfId="0" applyFont="1" applyFill="1" applyBorder="1"/>
    <xf numFmtId="0" fontId="2418" fillId="2418" borderId="2361" xfId="0" applyFont="1" applyFill="1" applyBorder="1"/>
    <xf numFmtId="0" fontId="2419" fillId="2419" borderId="2362" xfId="0" applyFont="1" applyFill="1" applyBorder="1"/>
    <xf numFmtId="0" fontId="2420" fillId="2420" borderId="2363" xfId="0" applyFont="1" applyFill="1" applyBorder="1"/>
    <xf numFmtId="0" fontId="2421" fillId="2421" borderId="2364" xfId="0" applyFont="1" applyFill="1" applyBorder="1"/>
    <xf numFmtId="0" fontId="2422" fillId="2422" borderId="2365" xfId="0" applyFont="1" applyFill="1" applyBorder="1"/>
    <xf numFmtId="0" fontId="2423" fillId="2423" borderId="2366" xfId="0" applyFont="1" applyFill="1" applyBorder="1"/>
    <xf numFmtId="0" fontId="2424" fillId="2424" borderId="2367" xfId="0" applyFont="1" applyFill="1" applyBorder="1"/>
    <xf numFmtId="0" fontId="2425" fillId="2425" borderId="2368" xfId="0" applyFont="1" applyFill="1" applyBorder="1"/>
    <xf numFmtId="0" fontId="2426" fillId="2426" borderId="2369" xfId="0" applyFont="1" applyFill="1" applyBorder="1"/>
    <xf numFmtId="0" fontId="2427" fillId="2427" borderId="2370" xfId="0" applyFont="1" applyFill="1" applyBorder="1"/>
    <xf numFmtId="0" fontId="2428" fillId="2428" borderId="2371" xfId="0" applyFont="1" applyFill="1" applyBorder="1"/>
    <xf numFmtId="0" fontId="2429" fillId="2429" borderId="2372" xfId="0" applyFont="1" applyFill="1" applyBorder="1"/>
    <xf numFmtId="0" fontId="2430" fillId="2430" borderId="2373" xfId="0" applyFont="1" applyFill="1" applyBorder="1"/>
    <xf numFmtId="0" fontId="2431" fillId="2431" borderId="2374" xfId="0" applyFont="1" applyFill="1" applyBorder="1"/>
    <xf numFmtId="0" fontId="2432" fillId="2432" borderId="2375" xfId="0" applyFont="1" applyFill="1" applyBorder="1"/>
    <xf numFmtId="0" fontId="2433" fillId="2433" borderId="2376" xfId="0" applyFont="1" applyFill="1" applyBorder="1"/>
    <xf numFmtId="0" fontId="2434" fillId="2434" borderId="2377" xfId="0" applyFont="1" applyFill="1" applyBorder="1"/>
    <xf numFmtId="0" fontId="2435" fillId="2435" borderId="2378" xfId="0" applyFont="1" applyFill="1" applyBorder="1"/>
    <xf numFmtId="0" fontId="2436" fillId="2436" borderId="2379" xfId="0" applyFont="1" applyFill="1" applyBorder="1"/>
    <xf numFmtId="0" fontId="2437" fillId="2437" borderId="2380" xfId="0" applyFont="1" applyFill="1" applyBorder="1"/>
    <xf numFmtId="0" fontId="2438" fillId="2438" borderId="2381" xfId="0" applyFont="1" applyFill="1" applyBorder="1"/>
    <xf numFmtId="0" fontId="2439" fillId="2439" borderId="2382" xfId="0" applyFont="1" applyFill="1" applyBorder="1"/>
    <xf numFmtId="0" fontId="2440" fillId="2440" borderId="2383" xfId="0" applyFont="1" applyFill="1" applyBorder="1"/>
    <xf numFmtId="0" fontId="2441" fillId="2441" borderId="2384" xfId="0" applyFont="1" applyFill="1" applyBorder="1"/>
    <xf numFmtId="0" fontId="2442" fillId="2442" borderId="2385" xfId="0" applyFont="1" applyFill="1" applyBorder="1"/>
    <xf numFmtId="0" fontId="2443" fillId="2443" borderId="2386" xfId="0" applyFont="1" applyFill="1" applyBorder="1"/>
    <xf numFmtId="0" fontId="2444" fillId="2444" borderId="2387" xfId="0" applyFont="1" applyFill="1" applyBorder="1"/>
    <xf numFmtId="0" fontId="2445" fillId="2445" borderId="2388" xfId="0" applyFont="1" applyFill="1" applyBorder="1"/>
    <xf numFmtId="0" fontId="2446" fillId="2446" borderId="2389" xfId="0" applyFont="1" applyFill="1" applyBorder="1"/>
    <xf numFmtId="0" fontId="2447" fillId="2447" borderId="2390" xfId="0" applyFont="1" applyFill="1" applyBorder="1"/>
    <xf numFmtId="0" fontId="2448" fillId="2448" borderId="2391" xfId="0" applyFont="1" applyFill="1" applyBorder="1"/>
    <xf numFmtId="0" fontId="2449" fillId="2449" borderId="2392" xfId="0" applyFont="1" applyFill="1" applyBorder="1"/>
    <xf numFmtId="0" fontId="2450" fillId="2450" borderId="2393" xfId="0" applyFont="1" applyFill="1" applyBorder="1"/>
    <xf numFmtId="0" fontId="2451" fillId="2451" borderId="2394" xfId="0" applyFont="1" applyFill="1" applyBorder="1"/>
    <xf numFmtId="0" fontId="2452" fillId="2452" borderId="2395" xfId="0" applyFont="1" applyFill="1" applyBorder="1"/>
    <xf numFmtId="0" fontId="2453" fillId="2453" borderId="2396" xfId="0" applyFont="1" applyFill="1" applyBorder="1"/>
    <xf numFmtId="0" fontId="2454" fillId="2454" borderId="2397" xfId="0" applyFont="1" applyFill="1" applyBorder="1"/>
    <xf numFmtId="0" fontId="2455" fillId="2455" borderId="2398" xfId="0" applyFont="1" applyFill="1" applyBorder="1"/>
    <xf numFmtId="0" fontId="2456" fillId="2456" borderId="2399" xfId="0" applyFont="1" applyFill="1" applyBorder="1"/>
    <xf numFmtId="0" fontId="2457" fillId="2457" borderId="2400" xfId="0" applyFont="1" applyFill="1" applyBorder="1"/>
    <xf numFmtId="0" fontId="2458" fillId="2458" borderId="2401" xfId="0" applyFont="1" applyFill="1" applyBorder="1"/>
    <xf numFmtId="0" fontId="2459" fillId="2459" borderId="2402" xfId="0" applyFont="1" applyFill="1" applyBorder="1"/>
    <xf numFmtId="0" fontId="2460" fillId="2460" borderId="2403" xfId="0" applyFont="1" applyFill="1" applyBorder="1"/>
    <xf numFmtId="0" fontId="2461" fillId="2461" borderId="2404" xfId="0" applyFont="1" applyFill="1" applyBorder="1"/>
    <xf numFmtId="0" fontId="2462" fillId="2462" borderId="2405" xfId="0" applyFont="1" applyFill="1" applyBorder="1"/>
    <xf numFmtId="0" fontId="2463" fillId="2463" borderId="2406" xfId="0" applyFont="1" applyFill="1" applyBorder="1"/>
    <xf numFmtId="0" fontId="2464" fillId="2464" borderId="2407" xfId="0" applyFont="1" applyFill="1" applyBorder="1"/>
    <xf numFmtId="0" fontId="2465" fillId="2465" borderId="2408" xfId="0" applyFont="1" applyFill="1" applyBorder="1"/>
    <xf numFmtId="0" fontId="2466" fillId="2466" borderId="2409" xfId="0" applyFont="1" applyFill="1" applyBorder="1"/>
    <xf numFmtId="0" fontId="2467" fillId="2467" borderId="2410" xfId="0" applyFont="1" applyFill="1" applyBorder="1"/>
    <xf numFmtId="0" fontId="2468" fillId="2468" borderId="2411" xfId="0" applyFont="1" applyFill="1" applyBorder="1"/>
    <xf numFmtId="0" fontId="2469" fillId="2469" borderId="2412" xfId="0" applyFont="1" applyFill="1" applyBorder="1"/>
    <xf numFmtId="0" fontId="2470" fillId="2470" borderId="2413" xfId="0" applyFont="1" applyFill="1" applyBorder="1"/>
    <xf numFmtId="0" fontId="2471" fillId="2471" borderId="2414" xfId="0" applyFont="1" applyFill="1" applyBorder="1"/>
    <xf numFmtId="0" fontId="2472" fillId="2472" borderId="2415" xfId="0" applyFont="1" applyFill="1" applyBorder="1"/>
    <xf numFmtId="0" fontId="2473" fillId="2473" borderId="2416" xfId="0" applyFont="1" applyFill="1" applyBorder="1"/>
    <xf numFmtId="0" fontId="2474" fillId="2474" borderId="2417" xfId="0" applyFont="1" applyFill="1" applyBorder="1"/>
    <xf numFmtId="0" fontId="2475" fillId="2475" borderId="2418" xfId="0" applyFont="1" applyFill="1" applyBorder="1"/>
    <xf numFmtId="0" fontId="2476" fillId="2476" borderId="2419" xfId="0" applyFont="1" applyFill="1" applyBorder="1"/>
    <xf numFmtId="0" fontId="2477" fillId="2477" borderId="2420" xfId="0" applyFont="1" applyFill="1" applyBorder="1"/>
    <xf numFmtId="0" fontId="2478" fillId="2478" borderId="2421" xfId="0" applyFont="1" applyFill="1" applyBorder="1"/>
    <xf numFmtId="0" fontId="2479" fillId="2479" borderId="2422" xfId="0" applyFont="1" applyFill="1" applyBorder="1"/>
    <xf numFmtId="0" fontId="2480" fillId="2480" borderId="2423" xfId="0" applyFont="1" applyFill="1" applyBorder="1"/>
    <xf numFmtId="0" fontId="2481" fillId="2481" borderId="2424" xfId="0" applyFont="1" applyFill="1" applyBorder="1"/>
    <xf numFmtId="0" fontId="2482" fillId="2482" borderId="2425" xfId="0" applyFont="1" applyFill="1" applyBorder="1"/>
    <xf numFmtId="0" fontId="2483" fillId="2483" borderId="2426" xfId="0" applyFont="1" applyFill="1" applyBorder="1"/>
    <xf numFmtId="0" fontId="2484" fillId="2484" borderId="2427" xfId="0" applyFont="1" applyFill="1" applyBorder="1"/>
    <xf numFmtId="0" fontId="2485" fillId="2485" borderId="2428" xfId="0" applyFont="1" applyFill="1" applyBorder="1"/>
    <xf numFmtId="0" fontId="2486" fillId="2486" borderId="2429" xfId="0" applyFont="1" applyFill="1" applyBorder="1"/>
    <xf numFmtId="0" fontId="2487" fillId="2487" borderId="2430" xfId="0" applyFont="1" applyFill="1" applyBorder="1"/>
    <xf numFmtId="0" fontId="2488" fillId="2488" borderId="2431" xfId="0" applyFont="1" applyFill="1" applyBorder="1"/>
    <xf numFmtId="0" fontId="2489" fillId="2489" borderId="2432" xfId="0" applyFont="1" applyFill="1" applyBorder="1"/>
    <xf numFmtId="0" fontId="2490" fillId="2490" borderId="2433" xfId="0" applyFont="1" applyFill="1" applyBorder="1"/>
    <xf numFmtId="0" fontId="2491" fillId="2491" borderId="2434" xfId="0" applyFont="1" applyFill="1" applyBorder="1"/>
    <xf numFmtId="0" fontId="2492" fillId="2492" borderId="2435" xfId="0" applyFont="1" applyFill="1" applyBorder="1"/>
    <xf numFmtId="0" fontId="2493" fillId="2493" borderId="2436" xfId="0" applyFont="1" applyFill="1" applyBorder="1"/>
    <xf numFmtId="0" fontId="2494" fillId="2494" borderId="2437" xfId="0" applyFont="1" applyFill="1" applyBorder="1"/>
    <xf numFmtId="0" fontId="2495" fillId="2495" borderId="2438" xfId="0" applyFont="1" applyFill="1" applyBorder="1"/>
    <xf numFmtId="0" fontId="2496" fillId="2496" borderId="2439" xfId="0" applyFont="1" applyFill="1" applyBorder="1"/>
    <xf numFmtId="0" fontId="2497" fillId="2497" borderId="2440" xfId="0" applyFont="1" applyFill="1" applyBorder="1"/>
    <xf numFmtId="0" fontId="2498" fillId="2498" borderId="2441" xfId="0" applyFont="1" applyFill="1" applyBorder="1"/>
    <xf numFmtId="0" fontId="2499" fillId="2499" borderId="2442" xfId="0" applyFont="1" applyFill="1" applyBorder="1"/>
    <xf numFmtId="0" fontId="2500" fillId="2500" borderId="2443" xfId="0" applyFont="1" applyFill="1" applyBorder="1"/>
    <xf numFmtId="0" fontId="2501" fillId="2501" borderId="2444" xfId="0" applyFont="1" applyFill="1" applyBorder="1"/>
    <xf numFmtId="0" fontId="2502" fillId="2502" borderId="2445" xfId="0" applyFont="1" applyFill="1" applyBorder="1"/>
    <xf numFmtId="0" fontId="2503" fillId="2503" borderId="2446" xfId="0" applyFont="1" applyFill="1" applyBorder="1"/>
    <xf numFmtId="0" fontId="2504" fillId="2504" borderId="2447" xfId="0" applyFont="1" applyFill="1" applyBorder="1"/>
    <xf numFmtId="0" fontId="2505" fillId="2505" borderId="2448" xfId="0" applyFont="1" applyFill="1" applyBorder="1"/>
    <xf numFmtId="0" fontId="2506" fillId="2506" borderId="2449" xfId="0" applyFont="1" applyFill="1" applyBorder="1"/>
    <xf numFmtId="0" fontId="2507" fillId="2507" borderId="2450" xfId="0" applyFont="1" applyFill="1" applyBorder="1"/>
    <xf numFmtId="0" fontId="2508" fillId="2508" borderId="2451" xfId="0" applyFont="1" applyFill="1" applyBorder="1"/>
    <xf numFmtId="0" fontId="2509" fillId="2509" borderId="2452" xfId="0" applyFont="1" applyFill="1" applyBorder="1"/>
    <xf numFmtId="0" fontId="2510" fillId="2510" borderId="2453" xfId="0" applyFont="1" applyFill="1" applyBorder="1"/>
    <xf numFmtId="0" fontId="2511" fillId="2511" borderId="2454" xfId="0" applyFont="1" applyFill="1" applyBorder="1"/>
    <xf numFmtId="0" fontId="2512" fillId="2512" borderId="2455" xfId="0" applyFont="1" applyFill="1" applyBorder="1"/>
    <xf numFmtId="0" fontId="2513" fillId="2513" borderId="2456" xfId="0" applyFont="1" applyFill="1" applyBorder="1"/>
    <xf numFmtId="0" fontId="2514" fillId="2514" borderId="2457" xfId="0" applyFont="1" applyFill="1" applyBorder="1"/>
    <xf numFmtId="0" fontId="2515" fillId="2515" borderId="2458" xfId="0" applyFont="1" applyFill="1" applyBorder="1"/>
    <xf numFmtId="0" fontId="2516" fillId="2516" borderId="2459" xfId="0" applyFont="1" applyFill="1" applyBorder="1"/>
    <xf numFmtId="0" fontId="2517" fillId="2517" borderId="2460" xfId="0" applyFont="1" applyFill="1" applyBorder="1"/>
    <xf numFmtId="0" fontId="2518" fillId="2518" borderId="2461" xfId="0" applyFont="1" applyFill="1" applyBorder="1"/>
    <xf numFmtId="0" fontId="2519" fillId="2519" borderId="2462" xfId="0" applyFont="1" applyFill="1" applyBorder="1"/>
    <xf numFmtId="0" fontId="2520" fillId="2520" borderId="2463" xfId="0" applyFont="1" applyFill="1" applyBorder="1"/>
    <xf numFmtId="0" fontId="2521" fillId="2521" borderId="2464" xfId="0" applyFont="1" applyFill="1" applyBorder="1"/>
    <xf numFmtId="0" fontId="2522" fillId="2522" borderId="2465" xfId="0" applyFont="1" applyFill="1" applyBorder="1"/>
    <xf numFmtId="0" fontId="2523" fillId="2523" borderId="2466" xfId="0" applyFont="1" applyFill="1" applyBorder="1"/>
    <xf numFmtId="0" fontId="2524" fillId="2524" borderId="2467" xfId="0" applyFont="1" applyFill="1" applyBorder="1"/>
    <xf numFmtId="0" fontId="2525" fillId="2525" borderId="2468" xfId="0" applyFont="1" applyFill="1" applyBorder="1"/>
    <xf numFmtId="0" fontId="2526" fillId="2526" borderId="2469" xfId="0" applyFont="1" applyFill="1" applyBorder="1"/>
    <xf numFmtId="0" fontId="2527" fillId="2527" borderId="2470" xfId="0" applyFont="1" applyFill="1" applyBorder="1"/>
    <xf numFmtId="0" fontId="2528" fillId="2528" borderId="2471" xfId="0" applyFont="1" applyFill="1" applyBorder="1"/>
    <xf numFmtId="0" fontId="2529" fillId="2529" borderId="2472" xfId="0" applyFont="1" applyFill="1" applyBorder="1"/>
    <xf numFmtId="0" fontId="2530" fillId="2530" borderId="2473" xfId="0" applyFont="1" applyFill="1" applyBorder="1"/>
    <xf numFmtId="0" fontId="2531" fillId="2531" borderId="2474" xfId="0" applyFont="1" applyFill="1" applyBorder="1"/>
    <xf numFmtId="0" fontId="2532" fillId="2532" borderId="2475" xfId="0" applyFont="1" applyFill="1" applyBorder="1"/>
    <xf numFmtId="0" fontId="2533" fillId="2533" borderId="2476" xfId="0" applyFont="1" applyFill="1" applyBorder="1"/>
    <xf numFmtId="0" fontId="2534" fillId="2534" borderId="2477" xfId="0" applyFont="1" applyFill="1" applyBorder="1"/>
    <xf numFmtId="0" fontId="2535" fillId="2535" borderId="2478" xfId="0" applyFont="1" applyFill="1" applyBorder="1"/>
    <xf numFmtId="0" fontId="2536" fillId="2536" borderId="2479" xfId="0" applyFont="1" applyFill="1" applyBorder="1"/>
    <xf numFmtId="0" fontId="2537" fillId="2537" borderId="2480" xfId="0" applyFont="1" applyFill="1" applyBorder="1"/>
    <xf numFmtId="0" fontId="2538" fillId="2538" borderId="2481" xfId="0" applyFont="1" applyFill="1" applyBorder="1"/>
    <xf numFmtId="0" fontId="2539" fillId="2539" borderId="2482" xfId="0" applyFont="1" applyFill="1" applyBorder="1"/>
    <xf numFmtId="0" fontId="2540" fillId="2540" borderId="2483" xfId="0" applyFont="1" applyFill="1" applyBorder="1"/>
    <xf numFmtId="0" fontId="2541" fillId="2541" borderId="2484" xfId="0" applyFont="1" applyFill="1" applyBorder="1"/>
    <xf numFmtId="0" fontId="2542" fillId="2542" borderId="2485" xfId="0" applyFont="1" applyFill="1" applyBorder="1"/>
    <xf numFmtId="0" fontId="2543" fillId="2543" borderId="2486" xfId="0" applyFont="1" applyFill="1" applyBorder="1"/>
    <xf numFmtId="0" fontId="2544" fillId="2544" borderId="2487" xfId="0" applyFont="1" applyFill="1" applyBorder="1"/>
    <xf numFmtId="0" fontId="2545" fillId="2545" borderId="2488" xfId="0" applyFont="1" applyFill="1" applyBorder="1"/>
    <xf numFmtId="0" fontId="2546" fillId="2546" borderId="2489" xfId="0" applyFont="1" applyFill="1" applyBorder="1"/>
    <xf numFmtId="0" fontId="2547" fillId="2547" borderId="2490" xfId="0" applyFont="1" applyFill="1" applyBorder="1"/>
    <xf numFmtId="0" fontId="2548" fillId="2548" borderId="2491" xfId="0" applyFont="1" applyFill="1" applyBorder="1"/>
    <xf numFmtId="0" fontId="2549" fillId="2549" borderId="2492" xfId="0" applyFont="1" applyFill="1" applyBorder="1"/>
    <xf numFmtId="0" fontId="2550" fillId="2550" borderId="2493" xfId="0" applyFont="1" applyFill="1" applyBorder="1"/>
    <xf numFmtId="0" fontId="2551" fillId="2551" borderId="2494" xfId="0" applyFont="1" applyFill="1" applyBorder="1"/>
    <xf numFmtId="0" fontId="2552" fillId="2552" borderId="2495" xfId="0" applyFont="1" applyFill="1" applyBorder="1"/>
    <xf numFmtId="0" fontId="2553" fillId="2553" borderId="2496" xfId="0" applyFont="1" applyFill="1" applyBorder="1"/>
    <xf numFmtId="0" fontId="2554" fillId="2554" borderId="2497" xfId="0" applyFont="1" applyFill="1" applyBorder="1"/>
    <xf numFmtId="0" fontId="2555" fillId="2555" borderId="2498" xfId="0" applyFont="1" applyFill="1" applyBorder="1"/>
    <xf numFmtId="0" fontId="2556" fillId="2556" borderId="2499" xfId="0" applyFont="1" applyFill="1" applyBorder="1"/>
    <xf numFmtId="0" fontId="2557" fillId="2557" borderId="2500" xfId="0" applyFont="1" applyFill="1" applyBorder="1"/>
    <xf numFmtId="0" fontId="2558" fillId="2558" borderId="2501" xfId="0" applyFont="1" applyFill="1" applyBorder="1"/>
    <xf numFmtId="0" fontId="2559" fillId="2559" borderId="2502" xfId="0" applyFont="1" applyFill="1" applyBorder="1"/>
    <xf numFmtId="0" fontId="2560" fillId="2560" borderId="2503" xfId="0" applyFont="1" applyFill="1" applyBorder="1"/>
    <xf numFmtId="0" fontId="2561" fillId="2561" borderId="2504" xfId="0" applyFont="1" applyFill="1" applyBorder="1"/>
    <xf numFmtId="0" fontId="2562" fillId="2562" borderId="2505" xfId="0" applyFont="1" applyFill="1" applyBorder="1"/>
    <xf numFmtId="0" fontId="2563" fillId="2563" borderId="2506" xfId="0" applyFont="1" applyFill="1" applyBorder="1"/>
    <xf numFmtId="0" fontId="2564" fillId="2564" borderId="2507" xfId="0" applyFont="1" applyFill="1" applyBorder="1"/>
    <xf numFmtId="0" fontId="2565" fillId="2565" borderId="2508" xfId="0" applyFont="1" applyFill="1" applyBorder="1"/>
    <xf numFmtId="0" fontId="2566" fillId="2566" borderId="2509" xfId="0" applyFont="1" applyFill="1" applyBorder="1"/>
    <xf numFmtId="0" fontId="2567" fillId="2567" borderId="2510" xfId="0" applyFont="1" applyFill="1" applyBorder="1"/>
    <xf numFmtId="0" fontId="2568" fillId="2568" borderId="2511" xfId="0" applyFont="1" applyFill="1" applyBorder="1"/>
    <xf numFmtId="0" fontId="2569" fillId="2569" borderId="2512" xfId="0" applyFont="1" applyFill="1" applyBorder="1"/>
    <xf numFmtId="0" fontId="2570" fillId="2570" borderId="2513" xfId="0" applyFont="1" applyFill="1" applyBorder="1"/>
    <xf numFmtId="0" fontId="2571" fillId="2571" borderId="2514" xfId="0" applyFont="1" applyFill="1" applyBorder="1"/>
    <xf numFmtId="0" fontId="2572" fillId="2572" borderId="2515" xfId="0" applyFont="1" applyFill="1" applyBorder="1"/>
    <xf numFmtId="0" fontId="2573" fillId="2573" borderId="2516" xfId="0" applyFont="1" applyFill="1" applyBorder="1"/>
    <xf numFmtId="0" fontId="2574" fillId="2574" borderId="2517" xfId="0" applyFont="1" applyFill="1" applyBorder="1"/>
    <xf numFmtId="0" fontId="2575" fillId="2575" borderId="2518" xfId="0" applyFont="1" applyFill="1" applyBorder="1"/>
    <xf numFmtId="0" fontId="2576" fillId="2576" borderId="2519" xfId="0" applyFont="1" applyFill="1" applyBorder="1"/>
    <xf numFmtId="0" fontId="2577" fillId="2577" borderId="2520" xfId="0" applyFont="1" applyFill="1" applyBorder="1"/>
    <xf numFmtId="0" fontId="2578" fillId="2578" borderId="2521" xfId="0" applyFont="1" applyFill="1" applyBorder="1"/>
    <xf numFmtId="0" fontId="2579" fillId="2579" borderId="2522" xfId="0" applyFont="1" applyFill="1" applyBorder="1"/>
    <xf numFmtId="0" fontId="2580" fillId="2580" borderId="2523" xfId="0" applyFont="1" applyFill="1" applyBorder="1"/>
    <xf numFmtId="0" fontId="2581" fillId="2581" borderId="2524" xfId="0" applyFont="1" applyFill="1" applyBorder="1"/>
    <xf numFmtId="0" fontId="2582" fillId="2582" borderId="2525" xfId="0" applyFont="1" applyFill="1" applyBorder="1"/>
    <xf numFmtId="0" fontId="2583" fillId="2583" borderId="2526" xfId="0" applyFont="1" applyFill="1" applyBorder="1"/>
    <xf numFmtId="0" fontId="2584" fillId="2584" borderId="2527" xfId="0" applyFont="1" applyFill="1" applyBorder="1"/>
    <xf numFmtId="0" fontId="2585" fillId="2585" borderId="2528" xfId="0" applyFont="1" applyFill="1" applyBorder="1"/>
    <xf numFmtId="0" fontId="2586" fillId="2586" borderId="2529" xfId="0" applyFont="1" applyFill="1" applyBorder="1"/>
    <xf numFmtId="0" fontId="2587" fillId="2587" borderId="2530" xfId="0" applyFont="1" applyFill="1" applyBorder="1"/>
    <xf numFmtId="0" fontId="2588" fillId="2588" borderId="2531" xfId="0" applyFont="1" applyFill="1" applyBorder="1"/>
    <xf numFmtId="0" fontId="2589" fillId="2589" borderId="2532" xfId="0" applyFont="1" applyFill="1" applyBorder="1"/>
    <xf numFmtId="0" fontId="2590" fillId="2590" borderId="2533" xfId="0" applyFont="1" applyFill="1" applyBorder="1"/>
    <xf numFmtId="0" fontId="2591" fillId="2591" borderId="2534" xfId="0" applyFont="1" applyFill="1" applyBorder="1"/>
    <xf numFmtId="0" fontId="2592" fillId="2592" borderId="2535" xfId="0" applyFont="1" applyFill="1" applyBorder="1"/>
    <xf numFmtId="0" fontId="2593" fillId="2593" borderId="2536" xfId="0" applyFont="1" applyFill="1" applyBorder="1"/>
    <xf numFmtId="0" fontId="2594" fillId="2594" borderId="2537" xfId="0" applyFont="1" applyFill="1" applyBorder="1"/>
    <xf numFmtId="0" fontId="2595" fillId="2595" borderId="2538" xfId="0" applyFont="1" applyFill="1" applyBorder="1"/>
    <xf numFmtId="0" fontId="2596" fillId="2596" borderId="2539" xfId="0" applyFont="1" applyFill="1" applyBorder="1"/>
    <xf numFmtId="0" fontId="2597" fillId="2597" borderId="2540" xfId="0" applyFont="1" applyFill="1" applyBorder="1"/>
    <xf numFmtId="0" fontId="2598" fillId="2598" borderId="2541" xfId="0" applyFont="1" applyFill="1" applyBorder="1"/>
    <xf numFmtId="0" fontId="2599" fillId="2599" borderId="2542" xfId="0" applyFont="1" applyFill="1" applyBorder="1"/>
    <xf numFmtId="0" fontId="2600" fillId="2600" borderId="2543" xfId="0" applyFont="1" applyFill="1" applyBorder="1"/>
    <xf numFmtId="0" fontId="2601" fillId="2601" borderId="2544" xfId="0" applyFont="1" applyFill="1" applyBorder="1"/>
    <xf numFmtId="0" fontId="2602" fillId="2602" borderId="2545" xfId="0" applyFont="1" applyFill="1" applyBorder="1"/>
    <xf numFmtId="0" fontId="2603" fillId="2603" borderId="2546" xfId="0" applyFont="1" applyFill="1" applyBorder="1"/>
    <xf numFmtId="0" fontId="2604" fillId="2604" borderId="2547" xfId="0" applyFont="1" applyFill="1" applyBorder="1"/>
    <xf numFmtId="0" fontId="2605" fillId="2605" borderId="2548" xfId="0" applyFont="1" applyFill="1" applyBorder="1"/>
    <xf numFmtId="0" fontId="2606" fillId="2606" borderId="2549" xfId="0" applyFont="1" applyFill="1" applyBorder="1"/>
    <xf numFmtId="0" fontId="2607" fillId="2607" borderId="2550" xfId="0" applyFont="1" applyFill="1" applyBorder="1"/>
    <xf numFmtId="0" fontId="2608" fillId="2608" borderId="2551" xfId="0" applyFont="1" applyFill="1" applyBorder="1"/>
    <xf numFmtId="0" fontId="2609" fillId="2609" borderId="2552" xfId="0" applyFont="1" applyFill="1" applyBorder="1" applyAlignment="1">
      <alignment horizontal="center" vertical="center"/>
    </xf>
    <xf numFmtId="0" fontId="2610" fillId="2610" borderId="2553" xfId="0" applyFont="1" applyFill="1" applyBorder="1" applyAlignment="1">
      <alignment horizontal="center" vertical="center"/>
    </xf>
    <xf numFmtId="0" fontId="2611" fillId="2611" borderId="2554" xfId="0" applyFont="1" applyFill="1" applyBorder="1" applyAlignment="1">
      <alignment horizontal="center" vertical="center"/>
    </xf>
    <xf numFmtId="0" fontId="2612" fillId="2612" borderId="2555" xfId="0" applyFont="1" applyFill="1" applyBorder="1" applyAlignment="1">
      <alignment horizontal="center" vertical="center"/>
    </xf>
    <xf numFmtId="0" fontId="2613" fillId="2613" borderId="2556" xfId="0" applyFont="1" applyFill="1" applyBorder="1" applyAlignment="1">
      <alignment horizontal="center" vertical="center"/>
    </xf>
    <xf numFmtId="0" fontId="2614" fillId="2614" borderId="2557" xfId="0" applyFont="1" applyFill="1" applyBorder="1" applyAlignment="1">
      <alignment horizontal="center" vertical="center"/>
    </xf>
    <xf numFmtId="0" fontId="2615" fillId="2615" borderId="2558" xfId="0" applyFont="1" applyFill="1" applyBorder="1" applyAlignment="1">
      <alignment horizontal="center" vertical="center"/>
    </xf>
    <xf numFmtId="0" fontId="2616" fillId="2616" borderId="2559" xfId="0" applyFont="1" applyFill="1" applyBorder="1" applyAlignment="1">
      <alignment horizontal="center" vertical="center"/>
    </xf>
    <xf numFmtId="0" fontId="2617" fillId="2617" borderId="2560" xfId="0" applyFont="1" applyFill="1" applyBorder="1" applyAlignment="1">
      <alignment horizontal="center" vertical="center"/>
    </xf>
    <xf numFmtId="0" fontId="2618" fillId="2618" borderId="2561" xfId="0" applyFont="1" applyFill="1" applyBorder="1" applyAlignment="1">
      <alignment horizontal="center" vertical="center"/>
    </xf>
    <xf numFmtId="0" fontId="2619" fillId="2619" borderId="2562" xfId="0" applyFont="1" applyFill="1" applyBorder="1" applyAlignment="1">
      <alignment horizontal="center" vertical="center"/>
    </xf>
    <xf numFmtId="0" fontId="2620" fillId="2620" borderId="2563" xfId="0" applyFont="1" applyFill="1" applyBorder="1" applyAlignment="1">
      <alignment horizontal="center" vertical="center"/>
    </xf>
    <xf numFmtId="0" fontId="2621" fillId="2621" borderId="2564" xfId="0" applyFont="1" applyFill="1" applyBorder="1" applyAlignment="1">
      <alignment horizontal="center" vertical="center"/>
    </xf>
    <xf numFmtId="0" fontId="2622" fillId="2622" borderId="2565" xfId="0" applyFont="1" applyFill="1" applyBorder="1" applyAlignment="1">
      <alignment horizontal="center" vertical="center"/>
    </xf>
    <xf numFmtId="0" fontId="2623" fillId="2623" borderId="2566" xfId="0" applyFont="1" applyFill="1" applyBorder="1" applyAlignment="1">
      <alignment horizontal="center" vertical="center"/>
    </xf>
    <xf numFmtId="0" fontId="2624" fillId="2624" borderId="2567" xfId="0" applyFont="1" applyFill="1" applyBorder="1" applyAlignment="1">
      <alignment horizontal="center" vertical="center"/>
    </xf>
    <xf numFmtId="0" fontId="2625" fillId="2625" borderId="2568" xfId="0" applyFont="1" applyFill="1" applyBorder="1" applyAlignment="1">
      <alignment horizontal="center" vertical="center"/>
    </xf>
    <xf numFmtId="0" fontId="2626" fillId="2626" borderId="2569" xfId="0" applyFont="1" applyFill="1" applyBorder="1" applyAlignment="1">
      <alignment horizontal="center" vertical="center"/>
    </xf>
    <xf numFmtId="0" fontId="2627" fillId="2627" borderId="2570" xfId="0" applyFont="1" applyFill="1" applyBorder="1" applyAlignment="1">
      <alignment horizontal="center" vertical="center"/>
    </xf>
    <xf numFmtId="0" fontId="2628" fillId="2628" borderId="2571" xfId="0" applyFont="1" applyFill="1" applyBorder="1" applyAlignment="1">
      <alignment horizontal="center" vertical="center"/>
    </xf>
    <xf numFmtId="0" fontId="2629" fillId="2629" borderId="2572" xfId="0" applyFont="1" applyFill="1" applyBorder="1" applyAlignment="1">
      <alignment horizontal="center" vertical="center"/>
    </xf>
    <xf numFmtId="0" fontId="2630" fillId="2630" borderId="2573" xfId="0" applyFont="1" applyFill="1" applyBorder="1" applyAlignment="1">
      <alignment horizontal="center" vertical="center"/>
    </xf>
    <xf numFmtId="0" fontId="2631" fillId="2631" borderId="2574" xfId="0" applyFont="1" applyFill="1" applyBorder="1" applyAlignment="1">
      <alignment horizontal="center" vertical="center"/>
    </xf>
    <xf numFmtId="0" fontId="2632" fillId="2632" borderId="2575" xfId="0" applyFont="1" applyFill="1" applyBorder="1" applyAlignment="1">
      <alignment horizontal="center" vertical="center"/>
    </xf>
    <xf numFmtId="0" fontId="2633" fillId="2633" borderId="2576" xfId="0" applyFont="1" applyFill="1" applyBorder="1" applyAlignment="1">
      <alignment horizontal="center" vertical="center"/>
    </xf>
    <xf numFmtId="0" fontId="2634" fillId="2634" borderId="2577" xfId="0" applyFont="1" applyFill="1" applyBorder="1" applyAlignment="1">
      <alignment horizontal="center" vertical="center"/>
    </xf>
    <xf numFmtId="0" fontId="2635" fillId="2635" borderId="2578" xfId="0" applyFont="1" applyFill="1" applyBorder="1" applyAlignment="1">
      <alignment horizontal="center" vertical="center"/>
    </xf>
    <xf numFmtId="0" fontId="2636" fillId="2636" borderId="2579" xfId="0" applyFont="1" applyFill="1" applyBorder="1" applyAlignment="1">
      <alignment horizontal="center" vertical="center"/>
    </xf>
    <xf numFmtId="0" fontId="2637" fillId="2637" borderId="2580" xfId="0" applyFont="1" applyFill="1" applyBorder="1" applyAlignment="1">
      <alignment horizontal="center" vertical="center"/>
    </xf>
    <xf numFmtId="0" fontId="2638" fillId="2638" borderId="2581" xfId="0" applyFont="1" applyFill="1" applyBorder="1" applyAlignment="1">
      <alignment horizontal="center" vertical="center"/>
    </xf>
    <xf numFmtId="0" fontId="2639" fillId="2639" borderId="2582" xfId="0" applyFont="1" applyFill="1" applyBorder="1" applyAlignment="1">
      <alignment horizontal="center" vertical="center"/>
    </xf>
    <xf numFmtId="0" fontId="2640" fillId="2640" borderId="2583" xfId="0" applyFont="1" applyFill="1" applyBorder="1" applyAlignment="1">
      <alignment horizontal="center" vertical="center"/>
    </xf>
    <xf numFmtId="0" fontId="2641" fillId="2641" borderId="2584" xfId="0" applyFont="1" applyFill="1" applyBorder="1" applyAlignment="1">
      <alignment horizontal="center" vertical="center"/>
    </xf>
    <xf numFmtId="0" fontId="2642" fillId="2642" borderId="2585" xfId="0" applyFont="1" applyFill="1" applyBorder="1" applyAlignment="1">
      <alignment horizontal="center" vertical="center"/>
    </xf>
    <xf numFmtId="0" fontId="2644" fillId="2644" borderId="2588" xfId="0" applyFont="1" applyFill="1" applyBorder="1"/>
    <xf numFmtId="0" fontId="2645" fillId="2645" borderId="2589" xfId="0" applyFont="1" applyFill="1" applyBorder="1" applyAlignment="1">
      <alignment horizontal="center" vertical="center" wrapText="1"/>
    </xf>
    <xf numFmtId="0" fontId="2646" fillId="2646" borderId="2590" xfId="0" applyFont="1" applyFill="1" applyBorder="1"/>
    <xf numFmtId="0" fontId="2647" fillId="2647" borderId="2591" xfId="0" applyFont="1" applyFill="1" applyBorder="1" applyAlignment="1">
      <alignment horizontal="center" vertical="center"/>
    </xf>
    <xf numFmtId="0" fontId="2648" fillId="2648" borderId="2592" xfId="0" applyFont="1" applyFill="1" applyBorder="1"/>
    <xf numFmtId="0" fontId="2649" fillId="2649" borderId="2593" xfId="0" applyFont="1" applyFill="1" applyBorder="1" applyAlignment="1">
      <alignment horizontal="center" vertical="center"/>
    </xf>
    <xf numFmtId="0" fontId="2650" fillId="2650" borderId="2594" xfId="0" applyFont="1" applyFill="1" applyBorder="1"/>
    <xf numFmtId="0" fontId="2651" fillId="2651" borderId="2595" xfId="0" applyFont="1" applyFill="1" applyBorder="1" applyAlignment="1">
      <alignment horizontal="center" vertical="center"/>
    </xf>
    <xf numFmtId="0" fontId="2652" fillId="2652" borderId="2596" xfId="0" applyFont="1" applyFill="1" applyBorder="1"/>
    <xf numFmtId="0" fontId="2653" fillId="2653" borderId="2597" xfId="0" applyFont="1" applyFill="1" applyBorder="1" applyAlignment="1">
      <alignment horizontal="center" vertical="center"/>
    </xf>
    <xf numFmtId="0" fontId="2654" fillId="2654" borderId="2598" xfId="0" applyFont="1" applyFill="1" applyBorder="1"/>
    <xf numFmtId="0" fontId="2655" fillId="2655" borderId="2599" xfId="0" applyFont="1" applyFill="1" applyBorder="1" applyAlignment="1">
      <alignment horizontal="center" vertical="center"/>
    </xf>
    <xf numFmtId="0" fontId="2656" fillId="2656" borderId="2600" xfId="0" applyFont="1" applyFill="1" applyBorder="1"/>
    <xf numFmtId="0" fontId="2657" fillId="2657" borderId="2601" xfId="0" applyFont="1" applyFill="1" applyBorder="1" applyAlignment="1">
      <alignment horizontal="center" vertical="center"/>
    </xf>
    <xf numFmtId="0" fontId="2658" fillId="2658" borderId="2602" xfId="0" applyFont="1" applyFill="1" applyBorder="1"/>
    <xf numFmtId="0" fontId="2659" fillId="2659" borderId="2603" xfId="0" applyFont="1" applyFill="1" applyBorder="1" applyAlignment="1">
      <alignment horizontal="center" vertical="center"/>
    </xf>
    <xf numFmtId="0" fontId="2660" fillId="2660" borderId="2604" xfId="0" applyFont="1" applyFill="1" applyBorder="1"/>
    <xf numFmtId="0" fontId="2661" fillId="2661" borderId="2605" xfId="0" applyFont="1" applyFill="1" applyBorder="1" applyAlignment="1">
      <alignment horizontal="center" vertical="center"/>
    </xf>
    <xf numFmtId="0" fontId="2662" fillId="2662" borderId="2606" xfId="0" applyFont="1" applyFill="1" applyBorder="1"/>
    <xf numFmtId="0" fontId="2663" fillId="2663" borderId="2607" xfId="0" applyFont="1" applyFill="1" applyBorder="1" applyAlignment="1">
      <alignment horizontal="center" vertical="center"/>
    </xf>
    <xf numFmtId="0" fontId="2664" fillId="2664" borderId="2608" xfId="0" applyFont="1" applyFill="1" applyBorder="1"/>
    <xf numFmtId="0" fontId="2665" fillId="2665" borderId="2609" xfId="0" applyFont="1" applyFill="1" applyBorder="1" applyAlignment="1">
      <alignment horizontal="center" vertical="center"/>
    </xf>
    <xf numFmtId="0" fontId="2666" fillId="2666" borderId="2610" xfId="0" applyFont="1" applyFill="1" applyBorder="1"/>
    <xf numFmtId="0" fontId="2667" fillId="2667" borderId="2611" xfId="0" applyFont="1" applyFill="1" applyBorder="1" applyAlignment="1">
      <alignment horizontal="center" vertical="center"/>
    </xf>
    <xf numFmtId="0" fontId="2668" fillId="2668" borderId="2612" xfId="0" applyFont="1" applyFill="1" applyBorder="1" applyAlignment="1">
      <alignment horizontal="left" vertical="center"/>
    </xf>
    <xf numFmtId="3" fontId="2669" fillId="2669" borderId="2613" xfId="0" applyNumberFormat="1" applyFont="1" applyFill="1" applyBorder="1" applyAlignment="1">
      <alignment horizontal="right" vertical="center"/>
    </xf>
    <xf numFmtId="3" fontId="2670" fillId="2670" borderId="2614" xfId="0" applyNumberFormat="1" applyFont="1" applyFill="1" applyBorder="1" applyAlignment="1">
      <alignment horizontal="right" vertical="center"/>
    </xf>
    <xf numFmtId="164" fontId="2671" fillId="2671" borderId="2615" xfId="0" applyNumberFormat="1" applyFont="1" applyFill="1" applyBorder="1" applyAlignment="1">
      <alignment horizontal="right" vertical="center"/>
    </xf>
    <xf numFmtId="164" fontId="2672" fillId="2672" borderId="2616" xfId="0" applyNumberFormat="1" applyFont="1" applyFill="1" applyBorder="1" applyAlignment="1">
      <alignment horizontal="right" vertical="center"/>
    </xf>
    <xf numFmtId="3" fontId="2673" fillId="2673" borderId="2617" xfId="0" applyNumberFormat="1" applyFont="1" applyFill="1" applyBorder="1" applyAlignment="1">
      <alignment horizontal="right" vertical="center"/>
    </xf>
    <xf numFmtId="2" fontId="2674" fillId="2674" borderId="2618" xfId="0" applyNumberFormat="1" applyFont="1" applyFill="1" applyBorder="1" applyAlignment="1">
      <alignment horizontal="right" vertical="center"/>
    </xf>
    <xf numFmtId="2" fontId="2675" fillId="2675" borderId="2619" xfId="0" applyNumberFormat="1" applyFont="1" applyFill="1" applyBorder="1" applyAlignment="1">
      <alignment horizontal="right" vertical="center"/>
    </xf>
    <xf numFmtId="0" fontId="2676" fillId="2676" borderId="2620" xfId="0" applyFont="1" applyFill="1" applyBorder="1" applyAlignment="1">
      <alignment horizontal="center" vertical="center"/>
    </xf>
    <xf numFmtId="0" fontId="2677" fillId="2677" borderId="2621" xfId="0" applyFont="1" applyFill="1" applyBorder="1"/>
    <xf numFmtId="0" fontId="2678" fillId="2678" borderId="2622" xfId="0" applyFont="1" applyFill="1" applyBorder="1" applyAlignment="1">
      <alignment horizontal="center" vertical="center"/>
    </xf>
    <xf numFmtId="0" fontId="2679" fillId="2679" borderId="2623" xfId="0" applyFont="1" applyFill="1" applyBorder="1" applyAlignment="1">
      <alignment horizontal="left" vertical="center"/>
    </xf>
    <xf numFmtId="3" fontId="2680" fillId="2680" borderId="2624" xfId="0" applyNumberFormat="1" applyFont="1" applyFill="1" applyBorder="1" applyAlignment="1">
      <alignment horizontal="right" vertical="center"/>
    </xf>
    <xf numFmtId="3" fontId="2681" fillId="2681" borderId="2625" xfId="0" applyNumberFormat="1" applyFont="1" applyFill="1" applyBorder="1" applyAlignment="1">
      <alignment horizontal="right" vertical="center"/>
    </xf>
    <xf numFmtId="164" fontId="2682" fillId="2682" borderId="2626" xfId="0" applyNumberFormat="1" applyFont="1" applyFill="1" applyBorder="1" applyAlignment="1">
      <alignment horizontal="right" vertical="center"/>
    </xf>
    <xf numFmtId="164" fontId="2683" fillId="2683" borderId="2627" xfId="0" applyNumberFormat="1" applyFont="1" applyFill="1" applyBorder="1" applyAlignment="1">
      <alignment horizontal="right" vertical="center"/>
    </xf>
    <xf numFmtId="3" fontId="2684" fillId="2684" borderId="2628" xfId="0" applyNumberFormat="1" applyFont="1" applyFill="1" applyBorder="1" applyAlignment="1">
      <alignment horizontal="right" vertical="center"/>
    </xf>
    <xf numFmtId="2" fontId="2685" fillId="2685" borderId="2629" xfId="0" applyNumberFormat="1" applyFont="1" applyFill="1" applyBorder="1" applyAlignment="1">
      <alignment horizontal="right" vertical="center"/>
    </xf>
    <xf numFmtId="2" fontId="2686" fillId="2686" borderId="2630" xfId="0" applyNumberFormat="1" applyFont="1" applyFill="1" applyBorder="1" applyAlignment="1">
      <alignment horizontal="right" vertical="center"/>
    </xf>
    <xf numFmtId="0" fontId="2687" fillId="2687" borderId="2631" xfId="0" applyFont="1" applyFill="1" applyBorder="1" applyAlignment="1">
      <alignment horizontal="center" vertical="center"/>
    </xf>
    <xf numFmtId="0" fontId="2688" fillId="2688" borderId="2632" xfId="0" applyFont="1" applyFill="1" applyBorder="1"/>
    <xf numFmtId="0" fontId="2689" fillId="2689" borderId="2633" xfId="0" applyFont="1" applyFill="1" applyBorder="1" applyAlignment="1">
      <alignment horizontal="center" vertical="center"/>
    </xf>
    <xf numFmtId="0" fontId="2690" fillId="2690" borderId="2634" xfId="0" applyFont="1" applyFill="1" applyBorder="1" applyAlignment="1">
      <alignment horizontal="left" vertical="center"/>
    </xf>
    <xf numFmtId="3" fontId="2691" fillId="2691" borderId="2635" xfId="0" applyNumberFormat="1" applyFont="1" applyFill="1" applyBorder="1" applyAlignment="1">
      <alignment horizontal="right" vertical="center"/>
    </xf>
    <xf numFmtId="3" fontId="2692" fillId="2692" borderId="2636" xfId="0" applyNumberFormat="1" applyFont="1" applyFill="1" applyBorder="1" applyAlignment="1">
      <alignment horizontal="right" vertical="center"/>
    </xf>
    <xf numFmtId="164" fontId="2693" fillId="2693" borderId="2637" xfId="0" applyNumberFormat="1" applyFont="1" applyFill="1" applyBorder="1" applyAlignment="1">
      <alignment horizontal="right" vertical="center"/>
    </xf>
    <xf numFmtId="164" fontId="2694" fillId="2694" borderId="2638" xfId="0" applyNumberFormat="1" applyFont="1" applyFill="1" applyBorder="1" applyAlignment="1">
      <alignment horizontal="right" vertical="center"/>
    </xf>
    <xf numFmtId="3" fontId="2695" fillId="2695" borderId="2639" xfId="0" applyNumberFormat="1" applyFont="1" applyFill="1" applyBorder="1" applyAlignment="1">
      <alignment horizontal="right" vertical="center"/>
    </xf>
    <xf numFmtId="2" fontId="2696" fillId="2696" borderId="2640" xfId="0" applyNumberFormat="1" applyFont="1" applyFill="1" applyBorder="1" applyAlignment="1">
      <alignment horizontal="right" vertical="center"/>
    </xf>
    <xf numFmtId="2" fontId="2697" fillId="2697" borderId="2641" xfId="0" applyNumberFormat="1" applyFont="1" applyFill="1" applyBorder="1" applyAlignment="1">
      <alignment horizontal="right" vertical="center"/>
    </xf>
    <xf numFmtId="0" fontId="2698" fillId="2698" borderId="2642" xfId="0" applyFont="1" applyFill="1" applyBorder="1" applyAlignment="1">
      <alignment horizontal="center" vertical="center"/>
    </xf>
    <xf numFmtId="0" fontId="2699" fillId="2699" borderId="2643" xfId="0" applyFont="1" applyFill="1" applyBorder="1"/>
    <xf numFmtId="0" fontId="2700" fillId="2700" borderId="2644" xfId="0" applyFont="1" applyFill="1" applyBorder="1" applyAlignment="1">
      <alignment horizontal="center" vertical="center"/>
    </xf>
    <xf numFmtId="0" fontId="2701" fillId="2701" borderId="2645" xfId="0" applyFont="1" applyFill="1" applyBorder="1" applyAlignment="1">
      <alignment horizontal="left" vertical="center"/>
    </xf>
    <xf numFmtId="3" fontId="2702" fillId="2702" borderId="2646" xfId="0" applyNumberFormat="1" applyFont="1" applyFill="1" applyBorder="1" applyAlignment="1">
      <alignment horizontal="right" vertical="center"/>
    </xf>
    <xf numFmtId="3" fontId="2703" fillId="2703" borderId="2647" xfId="0" applyNumberFormat="1" applyFont="1" applyFill="1" applyBorder="1" applyAlignment="1">
      <alignment horizontal="right" vertical="center"/>
    </xf>
    <xf numFmtId="164" fontId="2704" fillId="2704" borderId="2648" xfId="0" applyNumberFormat="1" applyFont="1" applyFill="1" applyBorder="1" applyAlignment="1">
      <alignment horizontal="right" vertical="center"/>
    </xf>
    <xf numFmtId="164" fontId="2705" fillId="2705" borderId="2649" xfId="0" applyNumberFormat="1" applyFont="1" applyFill="1" applyBorder="1" applyAlignment="1">
      <alignment horizontal="right" vertical="center"/>
    </xf>
    <xf numFmtId="3" fontId="2706" fillId="2706" borderId="2650" xfId="0" applyNumberFormat="1" applyFont="1" applyFill="1" applyBorder="1" applyAlignment="1">
      <alignment horizontal="right" vertical="center"/>
    </xf>
    <xf numFmtId="2" fontId="2707" fillId="2707" borderId="2651" xfId="0" applyNumberFormat="1" applyFont="1" applyFill="1" applyBorder="1" applyAlignment="1">
      <alignment horizontal="right" vertical="center"/>
    </xf>
    <xf numFmtId="2" fontId="2708" fillId="2708" borderId="2652" xfId="0" applyNumberFormat="1" applyFont="1" applyFill="1" applyBorder="1" applyAlignment="1">
      <alignment horizontal="right" vertical="center"/>
    </xf>
    <xf numFmtId="0" fontId="2709" fillId="2709" borderId="2653" xfId="0" applyFont="1" applyFill="1" applyBorder="1" applyAlignment="1">
      <alignment horizontal="center" vertical="center"/>
    </xf>
    <xf numFmtId="0" fontId="2710" fillId="2710" borderId="2654" xfId="0" applyFont="1" applyFill="1" applyBorder="1"/>
    <xf numFmtId="0" fontId="2711" fillId="2711" borderId="2655" xfId="0" applyFont="1" applyFill="1" applyBorder="1" applyAlignment="1">
      <alignment horizontal="center" vertical="center"/>
    </xf>
    <xf numFmtId="0" fontId="2712" fillId="2712" borderId="2656" xfId="0" applyFont="1" applyFill="1" applyBorder="1" applyAlignment="1">
      <alignment horizontal="left" vertical="center"/>
    </xf>
    <xf numFmtId="3" fontId="2713" fillId="2713" borderId="2657" xfId="0" applyNumberFormat="1" applyFont="1" applyFill="1" applyBorder="1" applyAlignment="1">
      <alignment horizontal="right" vertical="center"/>
    </xf>
    <xf numFmtId="3" fontId="2714" fillId="2714" borderId="2658" xfId="0" applyNumberFormat="1" applyFont="1" applyFill="1" applyBorder="1" applyAlignment="1">
      <alignment horizontal="right" vertical="center"/>
    </xf>
    <xf numFmtId="164" fontId="2715" fillId="2715" borderId="2659" xfId="0" applyNumberFormat="1" applyFont="1" applyFill="1" applyBorder="1" applyAlignment="1">
      <alignment horizontal="right" vertical="center"/>
    </xf>
    <xf numFmtId="164" fontId="2716" fillId="2716" borderId="2660" xfId="0" applyNumberFormat="1" applyFont="1" applyFill="1" applyBorder="1" applyAlignment="1">
      <alignment horizontal="right" vertical="center"/>
    </xf>
    <xf numFmtId="3" fontId="2717" fillId="2717" borderId="2661" xfId="0" applyNumberFormat="1" applyFont="1" applyFill="1" applyBorder="1" applyAlignment="1">
      <alignment horizontal="right" vertical="center"/>
    </xf>
    <xf numFmtId="2" fontId="2718" fillId="2718" borderId="2662" xfId="0" applyNumberFormat="1" applyFont="1" applyFill="1" applyBorder="1" applyAlignment="1">
      <alignment horizontal="right" vertical="center"/>
    </xf>
    <xf numFmtId="2" fontId="2719" fillId="2719" borderId="2663" xfId="0" applyNumberFormat="1" applyFont="1" applyFill="1" applyBorder="1" applyAlignment="1">
      <alignment horizontal="right" vertical="center"/>
    </xf>
    <xf numFmtId="0" fontId="2720" fillId="2720" borderId="2664" xfId="0" applyFont="1" applyFill="1" applyBorder="1" applyAlignment="1">
      <alignment horizontal="center" vertical="center"/>
    </xf>
    <xf numFmtId="0" fontId="2721" fillId="2721" borderId="2665" xfId="0" applyFont="1" applyFill="1" applyBorder="1"/>
    <xf numFmtId="0" fontId="2722" fillId="2722" borderId="2666" xfId="0" applyFont="1" applyFill="1" applyBorder="1" applyAlignment="1">
      <alignment horizontal="center" vertical="center"/>
    </xf>
    <xf numFmtId="0" fontId="2723" fillId="2723" borderId="2667" xfId="0" applyFont="1" applyFill="1" applyBorder="1" applyAlignment="1">
      <alignment horizontal="left" vertical="center"/>
    </xf>
    <xf numFmtId="3" fontId="2724" fillId="2724" borderId="2668" xfId="0" applyNumberFormat="1" applyFont="1" applyFill="1" applyBorder="1" applyAlignment="1">
      <alignment horizontal="right" vertical="center"/>
    </xf>
    <xf numFmtId="3" fontId="2725" fillId="2725" borderId="2669" xfId="0" applyNumberFormat="1" applyFont="1" applyFill="1" applyBorder="1" applyAlignment="1">
      <alignment horizontal="right" vertical="center"/>
    </xf>
    <xf numFmtId="164" fontId="2726" fillId="2726" borderId="2670" xfId="0" applyNumberFormat="1" applyFont="1" applyFill="1" applyBorder="1" applyAlignment="1">
      <alignment horizontal="right" vertical="center"/>
    </xf>
    <xf numFmtId="164" fontId="2727" fillId="2727" borderId="2671" xfId="0" applyNumberFormat="1" applyFont="1" applyFill="1" applyBorder="1" applyAlignment="1">
      <alignment horizontal="right" vertical="center"/>
    </xf>
    <xf numFmtId="3" fontId="2728" fillId="2728" borderId="2672" xfId="0" applyNumberFormat="1" applyFont="1" applyFill="1" applyBorder="1" applyAlignment="1">
      <alignment horizontal="right" vertical="center"/>
    </xf>
    <xf numFmtId="2" fontId="2729" fillId="2729" borderId="2673" xfId="0" applyNumberFormat="1" applyFont="1" applyFill="1" applyBorder="1" applyAlignment="1">
      <alignment horizontal="right" vertical="center"/>
    </xf>
    <xf numFmtId="2" fontId="2730" fillId="2730" borderId="2674" xfId="0" applyNumberFormat="1" applyFont="1" applyFill="1" applyBorder="1" applyAlignment="1">
      <alignment horizontal="right" vertical="center"/>
    </xf>
    <xf numFmtId="0" fontId="2731" fillId="2731" borderId="2675" xfId="0" applyFont="1" applyFill="1" applyBorder="1" applyAlignment="1">
      <alignment horizontal="center" vertical="center"/>
    </xf>
    <xf numFmtId="0" fontId="2732" fillId="2732" borderId="2676" xfId="0" applyFont="1" applyFill="1" applyBorder="1"/>
    <xf numFmtId="0" fontId="2733" fillId="2733" borderId="2677" xfId="0" applyFont="1" applyFill="1" applyBorder="1" applyAlignment="1">
      <alignment horizontal="center" vertical="center"/>
    </xf>
    <xf numFmtId="0" fontId="2734" fillId="2734" borderId="2678" xfId="0" applyFont="1" applyFill="1" applyBorder="1" applyAlignment="1">
      <alignment horizontal="left" vertical="center"/>
    </xf>
    <xf numFmtId="3" fontId="2735" fillId="2735" borderId="2679" xfId="0" applyNumberFormat="1" applyFont="1" applyFill="1" applyBorder="1" applyAlignment="1">
      <alignment horizontal="right" vertical="center"/>
    </xf>
    <xf numFmtId="3" fontId="2736" fillId="2736" borderId="2680" xfId="0" applyNumberFormat="1" applyFont="1" applyFill="1" applyBorder="1" applyAlignment="1">
      <alignment horizontal="right" vertical="center"/>
    </xf>
    <xf numFmtId="164" fontId="2737" fillId="2737" borderId="2681" xfId="0" applyNumberFormat="1" applyFont="1" applyFill="1" applyBorder="1" applyAlignment="1">
      <alignment horizontal="right" vertical="center"/>
    </xf>
    <xf numFmtId="164" fontId="2738" fillId="2738" borderId="2682" xfId="0" applyNumberFormat="1" applyFont="1" applyFill="1" applyBorder="1" applyAlignment="1">
      <alignment horizontal="right" vertical="center"/>
    </xf>
    <xf numFmtId="3" fontId="2739" fillId="2739" borderId="2683" xfId="0" applyNumberFormat="1" applyFont="1" applyFill="1" applyBorder="1" applyAlignment="1">
      <alignment horizontal="right" vertical="center"/>
    </xf>
    <xf numFmtId="2" fontId="2740" fillId="2740" borderId="2684" xfId="0" applyNumberFormat="1" applyFont="1" applyFill="1" applyBorder="1" applyAlignment="1">
      <alignment horizontal="right" vertical="center"/>
    </xf>
    <xf numFmtId="2" fontId="2741" fillId="2741" borderId="2685" xfId="0" applyNumberFormat="1" applyFont="1" applyFill="1" applyBorder="1" applyAlignment="1">
      <alignment horizontal="right" vertical="center"/>
    </xf>
    <xf numFmtId="0" fontId="2742" fillId="2742" borderId="2686" xfId="0" applyFont="1" applyFill="1" applyBorder="1" applyAlignment="1">
      <alignment horizontal="center" vertical="center"/>
    </xf>
    <xf numFmtId="0" fontId="2743" fillId="2743" borderId="2687" xfId="0" applyFont="1" applyFill="1" applyBorder="1"/>
    <xf numFmtId="0" fontId="2744" fillId="2744" borderId="2688" xfId="0" applyFont="1" applyFill="1" applyBorder="1" applyAlignment="1">
      <alignment horizontal="center" vertical="center"/>
    </xf>
    <xf numFmtId="0" fontId="2745" fillId="2745" borderId="2689" xfId="0" applyFont="1" applyFill="1" applyBorder="1" applyAlignment="1">
      <alignment horizontal="left" vertical="center"/>
    </xf>
    <xf numFmtId="3" fontId="2746" fillId="2746" borderId="2690" xfId="0" applyNumberFormat="1" applyFont="1" applyFill="1" applyBorder="1" applyAlignment="1">
      <alignment horizontal="right" vertical="center"/>
    </xf>
    <xf numFmtId="3" fontId="2747" fillId="2747" borderId="2691" xfId="0" applyNumberFormat="1" applyFont="1" applyFill="1" applyBorder="1" applyAlignment="1">
      <alignment horizontal="right" vertical="center"/>
    </xf>
    <xf numFmtId="164" fontId="2748" fillId="2748" borderId="2692" xfId="0" applyNumberFormat="1" applyFont="1" applyFill="1" applyBorder="1" applyAlignment="1">
      <alignment horizontal="right" vertical="center"/>
    </xf>
    <xf numFmtId="164" fontId="2749" fillId="2749" borderId="2693" xfId="0" applyNumberFormat="1" applyFont="1" applyFill="1" applyBorder="1" applyAlignment="1">
      <alignment horizontal="right" vertical="center"/>
    </xf>
    <xf numFmtId="3" fontId="2750" fillId="2750" borderId="2694" xfId="0" applyNumberFormat="1" applyFont="1" applyFill="1" applyBorder="1" applyAlignment="1">
      <alignment horizontal="right" vertical="center"/>
    </xf>
    <xf numFmtId="2" fontId="2751" fillId="2751" borderId="2695" xfId="0" applyNumberFormat="1" applyFont="1" applyFill="1" applyBorder="1" applyAlignment="1">
      <alignment horizontal="right" vertical="center"/>
    </xf>
    <xf numFmtId="2" fontId="2752" fillId="2752" borderId="2696" xfId="0" applyNumberFormat="1" applyFont="1" applyFill="1" applyBorder="1" applyAlignment="1">
      <alignment horizontal="right" vertical="center"/>
    </xf>
    <xf numFmtId="0" fontId="2753" fillId="2753" borderId="2697" xfId="0" applyFont="1" applyFill="1" applyBorder="1" applyAlignment="1">
      <alignment horizontal="center" vertical="center"/>
    </xf>
    <xf numFmtId="0" fontId="2754" fillId="2754" borderId="2698" xfId="0" applyFont="1" applyFill="1" applyBorder="1"/>
    <xf numFmtId="0" fontId="2755" fillId="2755" borderId="2699" xfId="0" applyFont="1" applyFill="1" applyBorder="1" applyAlignment="1">
      <alignment horizontal="center" vertical="center"/>
    </xf>
    <xf numFmtId="0" fontId="2756" fillId="2756" borderId="2700" xfId="0" applyFont="1" applyFill="1" applyBorder="1" applyAlignment="1">
      <alignment horizontal="left" vertical="center"/>
    </xf>
    <xf numFmtId="3" fontId="2757" fillId="2757" borderId="2701" xfId="0" applyNumberFormat="1" applyFont="1" applyFill="1" applyBorder="1" applyAlignment="1">
      <alignment horizontal="right" vertical="center"/>
    </xf>
    <xf numFmtId="3" fontId="2758" fillId="2758" borderId="2702" xfId="0" applyNumberFormat="1" applyFont="1" applyFill="1" applyBorder="1" applyAlignment="1">
      <alignment horizontal="right" vertical="center"/>
    </xf>
    <xf numFmtId="164" fontId="2759" fillId="2759" borderId="2703" xfId="0" applyNumberFormat="1" applyFont="1" applyFill="1" applyBorder="1" applyAlignment="1">
      <alignment horizontal="right" vertical="center"/>
    </xf>
    <xf numFmtId="164" fontId="2760" fillId="2760" borderId="2704" xfId="0" applyNumberFormat="1" applyFont="1" applyFill="1" applyBorder="1" applyAlignment="1">
      <alignment horizontal="right" vertical="center"/>
    </xf>
    <xf numFmtId="3" fontId="2761" fillId="2761" borderId="2705" xfId="0" applyNumberFormat="1" applyFont="1" applyFill="1" applyBorder="1" applyAlignment="1">
      <alignment horizontal="right" vertical="center"/>
    </xf>
    <xf numFmtId="2" fontId="2762" fillId="2762" borderId="2706" xfId="0" applyNumberFormat="1" applyFont="1" applyFill="1" applyBorder="1" applyAlignment="1">
      <alignment horizontal="right" vertical="center"/>
    </xf>
    <xf numFmtId="2" fontId="2763" fillId="2763" borderId="2707" xfId="0" applyNumberFormat="1" applyFont="1" applyFill="1" applyBorder="1" applyAlignment="1">
      <alignment horizontal="right" vertical="center"/>
    </xf>
    <xf numFmtId="0" fontId="2764" fillId="2764" borderId="2708" xfId="0" applyFont="1" applyFill="1" applyBorder="1" applyAlignment="1">
      <alignment horizontal="center" vertical="center"/>
    </xf>
    <xf numFmtId="0" fontId="2765" fillId="2765" borderId="2709" xfId="0" applyFont="1" applyFill="1" applyBorder="1"/>
    <xf numFmtId="0" fontId="2766" fillId="2766" borderId="2710" xfId="0" applyFont="1" applyFill="1" applyBorder="1" applyAlignment="1">
      <alignment horizontal="center" vertical="center"/>
    </xf>
    <xf numFmtId="0" fontId="2767" fillId="2767" borderId="2711" xfId="0" applyFont="1" applyFill="1" applyBorder="1" applyAlignment="1">
      <alignment horizontal="left" vertical="center"/>
    </xf>
    <xf numFmtId="3" fontId="2768" fillId="2768" borderId="2712" xfId="0" applyNumberFormat="1" applyFont="1" applyFill="1" applyBorder="1" applyAlignment="1">
      <alignment horizontal="right" vertical="center"/>
    </xf>
    <xf numFmtId="3" fontId="2769" fillId="2769" borderId="2713" xfId="0" applyNumberFormat="1" applyFont="1" applyFill="1" applyBorder="1" applyAlignment="1">
      <alignment horizontal="right" vertical="center"/>
    </xf>
    <xf numFmtId="164" fontId="2770" fillId="2770" borderId="2714" xfId="0" applyNumberFormat="1" applyFont="1" applyFill="1" applyBorder="1" applyAlignment="1">
      <alignment horizontal="right" vertical="center"/>
    </xf>
    <xf numFmtId="164" fontId="2771" fillId="2771" borderId="2715" xfId="0" applyNumberFormat="1" applyFont="1" applyFill="1" applyBorder="1" applyAlignment="1">
      <alignment horizontal="right" vertical="center"/>
    </xf>
    <xf numFmtId="3" fontId="2772" fillId="2772" borderId="2716" xfId="0" applyNumberFormat="1" applyFont="1" applyFill="1" applyBorder="1" applyAlignment="1">
      <alignment horizontal="right" vertical="center"/>
    </xf>
    <xf numFmtId="2" fontId="2773" fillId="2773" borderId="2717" xfId="0" applyNumberFormat="1" applyFont="1" applyFill="1" applyBorder="1" applyAlignment="1">
      <alignment horizontal="right" vertical="center"/>
    </xf>
    <xf numFmtId="2" fontId="2774" fillId="2774" borderId="2718" xfId="0" applyNumberFormat="1" applyFont="1" applyFill="1" applyBorder="1" applyAlignment="1">
      <alignment horizontal="right" vertical="center"/>
    </xf>
    <xf numFmtId="0" fontId="2775" fillId="2775" borderId="2719" xfId="0" applyFont="1" applyFill="1" applyBorder="1" applyAlignment="1">
      <alignment horizontal="center" vertical="center"/>
    </xf>
    <xf numFmtId="0" fontId="2776" fillId="2776" borderId="2720" xfId="0" applyFont="1" applyFill="1" applyBorder="1"/>
    <xf numFmtId="0" fontId="2777" fillId="2777" borderId="2721" xfId="0" applyFont="1" applyFill="1" applyBorder="1" applyAlignment="1">
      <alignment horizontal="center" vertical="center"/>
    </xf>
    <xf numFmtId="0" fontId="2778" fillId="2778" borderId="2722" xfId="0" applyFont="1" applyFill="1" applyBorder="1" applyAlignment="1">
      <alignment horizontal="left" vertical="center"/>
    </xf>
    <xf numFmtId="3" fontId="2779" fillId="2779" borderId="2723" xfId="0" applyNumberFormat="1" applyFont="1" applyFill="1" applyBorder="1" applyAlignment="1">
      <alignment horizontal="right" vertical="center"/>
    </xf>
    <xf numFmtId="3" fontId="2780" fillId="2780" borderId="2724" xfId="0" applyNumberFormat="1" applyFont="1" applyFill="1" applyBorder="1" applyAlignment="1">
      <alignment horizontal="right" vertical="center"/>
    </xf>
    <xf numFmtId="164" fontId="2781" fillId="2781" borderId="2725" xfId="0" applyNumberFormat="1" applyFont="1" applyFill="1" applyBorder="1" applyAlignment="1">
      <alignment horizontal="right" vertical="center"/>
    </xf>
    <xf numFmtId="164" fontId="2782" fillId="2782" borderId="2726" xfId="0" applyNumberFormat="1" applyFont="1" applyFill="1" applyBorder="1" applyAlignment="1">
      <alignment horizontal="right" vertical="center"/>
    </xf>
    <xf numFmtId="3" fontId="2783" fillId="2783" borderId="2727" xfId="0" applyNumberFormat="1" applyFont="1" applyFill="1" applyBorder="1" applyAlignment="1">
      <alignment horizontal="right" vertical="center"/>
    </xf>
    <xf numFmtId="2" fontId="2784" fillId="2784" borderId="2728" xfId="0" applyNumberFormat="1" applyFont="1" applyFill="1" applyBorder="1" applyAlignment="1">
      <alignment horizontal="right" vertical="center"/>
    </xf>
    <xf numFmtId="2" fontId="2785" fillId="2785" borderId="2729" xfId="0" applyNumberFormat="1" applyFont="1" applyFill="1" applyBorder="1" applyAlignment="1">
      <alignment horizontal="right" vertical="center"/>
    </xf>
    <xf numFmtId="0" fontId="2786" fillId="2786" borderId="2730" xfId="0" applyFont="1" applyFill="1" applyBorder="1" applyAlignment="1">
      <alignment horizontal="center" vertical="center"/>
    </xf>
    <xf numFmtId="0" fontId="2787" fillId="2787" borderId="2731" xfId="0" applyFont="1" applyFill="1" applyBorder="1"/>
    <xf numFmtId="0" fontId="2788" fillId="2788" borderId="2732" xfId="0" applyFont="1" applyFill="1" applyBorder="1" applyAlignment="1">
      <alignment horizontal="center" vertical="center"/>
    </xf>
    <xf numFmtId="0" fontId="2789" fillId="2789" borderId="2733" xfId="0" applyFont="1" applyFill="1" applyBorder="1" applyAlignment="1">
      <alignment horizontal="left" vertical="center"/>
    </xf>
    <xf numFmtId="3" fontId="2790" fillId="2790" borderId="2734" xfId="0" applyNumberFormat="1" applyFont="1" applyFill="1" applyBorder="1" applyAlignment="1">
      <alignment horizontal="right" vertical="center"/>
    </xf>
    <xf numFmtId="3" fontId="2791" fillId="2791" borderId="2735" xfId="0" applyNumberFormat="1" applyFont="1" applyFill="1" applyBorder="1" applyAlignment="1">
      <alignment horizontal="right" vertical="center"/>
    </xf>
    <xf numFmtId="164" fontId="2792" fillId="2792" borderId="2736" xfId="0" applyNumberFormat="1" applyFont="1" applyFill="1" applyBorder="1" applyAlignment="1">
      <alignment horizontal="right" vertical="center"/>
    </xf>
    <xf numFmtId="164" fontId="2793" fillId="2793" borderId="2737" xfId="0" applyNumberFormat="1" applyFont="1" applyFill="1" applyBorder="1" applyAlignment="1">
      <alignment horizontal="right" vertical="center"/>
    </xf>
    <xf numFmtId="3" fontId="2794" fillId="2794" borderId="2738" xfId="0" applyNumberFormat="1" applyFont="1" applyFill="1" applyBorder="1" applyAlignment="1">
      <alignment horizontal="right" vertical="center"/>
    </xf>
    <xf numFmtId="2" fontId="2795" fillId="2795" borderId="2739" xfId="0" applyNumberFormat="1" applyFont="1" applyFill="1" applyBorder="1" applyAlignment="1">
      <alignment horizontal="right" vertical="center"/>
    </xf>
    <xf numFmtId="2" fontId="2796" fillId="2796" borderId="2740" xfId="0" applyNumberFormat="1" applyFont="1" applyFill="1" applyBorder="1" applyAlignment="1">
      <alignment horizontal="right" vertical="center"/>
    </xf>
    <xf numFmtId="0" fontId="2797" fillId="2797" borderId="2741" xfId="0" applyFont="1" applyFill="1" applyBorder="1" applyAlignment="1">
      <alignment horizontal="center" vertical="center"/>
    </xf>
    <xf numFmtId="0" fontId="2798" fillId="2798" borderId="2742" xfId="0" applyFont="1" applyFill="1" applyBorder="1"/>
    <xf numFmtId="0" fontId="2799" fillId="2799" borderId="2743" xfId="0" applyFont="1" applyFill="1" applyBorder="1" applyAlignment="1">
      <alignment horizontal="center" vertical="center"/>
    </xf>
    <xf numFmtId="0" fontId="2800" fillId="2800" borderId="2744" xfId="0" applyFont="1" applyFill="1" applyBorder="1" applyAlignment="1">
      <alignment horizontal="left" vertical="center"/>
    </xf>
    <xf numFmtId="3" fontId="2801" fillId="2801" borderId="2745" xfId="0" applyNumberFormat="1" applyFont="1" applyFill="1" applyBorder="1" applyAlignment="1">
      <alignment horizontal="right" vertical="center"/>
    </xf>
    <xf numFmtId="3" fontId="2802" fillId="2802" borderId="2746" xfId="0" applyNumberFormat="1" applyFont="1" applyFill="1" applyBorder="1" applyAlignment="1">
      <alignment horizontal="right" vertical="center"/>
    </xf>
    <xf numFmtId="164" fontId="2803" fillId="2803" borderId="2747" xfId="0" applyNumberFormat="1" applyFont="1" applyFill="1" applyBorder="1" applyAlignment="1">
      <alignment horizontal="right" vertical="center"/>
    </xf>
    <xf numFmtId="164" fontId="2804" fillId="2804" borderId="2748" xfId="0" applyNumberFormat="1" applyFont="1" applyFill="1" applyBorder="1" applyAlignment="1">
      <alignment horizontal="right" vertical="center"/>
    </xf>
    <xf numFmtId="3" fontId="2805" fillId="2805" borderId="2749" xfId="0" applyNumberFormat="1" applyFont="1" applyFill="1" applyBorder="1" applyAlignment="1">
      <alignment horizontal="right" vertical="center"/>
    </xf>
    <xf numFmtId="2" fontId="2806" fillId="2806" borderId="2750" xfId="0" applyNumberFormat="1" applyFont="1" applyFill="1" applyBorder="1" applyAlignment="1">
      <alignment horizontal="right" vertical="center"/>
    </xf>
    <xf numFmtId="2" fontId="2807" fillId="2807" borderId="2751" xfId="0" applyNumberFormat="1" applyFont="1" applyFill="1" applyBorder="1" applyAlignment="1">
      <alignment horizontal="right" vertical="center"/>
    </xf>
    <xf numFmtId="0" fontId="2808" fillId="2808" borderId="2752" xfId="0" applyFont="1" applyFill="1" applyBorder="1" applyAlignment="1">
      <alignment horizontal="center" vertical="center"/>
    </xf>
    <xf numFmtId="0" fontId="2809" fillId="2809" borderId="2753" xfId="0" applyFont="1" applyFill="1" applyBorder="1"/>
    <xf numFmtId="0" fontId="2810" fillId="2810" borderId="2754" xfId="0" applyFont="1" applyFill="1" applyBorder="1" applyAlignment="1">
      <alignment horizontal="center" vertical="center"/>
    </xf>
    <xf numFmtId="0" fontId="2811" fillId="2811" borderId="2755" xfId="0" applyFont="1" applyFill="1" applyBorder="1" applyAlignment="1">
      <alignment horizontal="left" vertical="center"/>
    </xf>
    <xf numFmtId="3" fontId="2812" fillId="2812" borderId="2756" xfId="0" applyNumberFormat="1" applyFont="1" applyFill="1" applyBorder="1" applyAlignment="1">
      <alignment horizontal="right" vertical="center"/>
    </xf>
    <xf numFmtId="3" fontId="2813" fillId="2813" borderId="2757" xfId="0" applyNumberFormat="1" applyFont="1" applyFill="1" applyBorder="1" applyAlignment="1">
      <alignment horizontal="right" vertical="center"/>
    </xf>
    <xf numFmtId="164" fontId="2814" fillId="2814" borderId="2758" xfId="0" applyNumberFormat="1" applyFont="1" applyFill="1" applyBorder="1" applyAlignment="1">
      <alignment horizontal="right" vertical="center"/>
    </xf>
    <xf numFmtId="164" fontId="2815" fillId="2815" borderId="2759" xfId="0" applyNumberFormat="1" applyFont="1" applyFill="1" applyBorder="1" applyAlignment="1">
      <alignment horizontal="right" vertical="center"/>
    </xf>
    <xf numFmtId="3" fontId="2816" fillId="2816" borderId="2760" xfId="0" applyNumberFormat="1" applyFont="1" applyFill="1" applyBorder="1" applyAlignment="1">
      <alignment horizontal="right" vertical="center"/>
    </xf>
    <xf numFmtId="2" fontId="2817" fillId="2817" borderId="2761" xfId="0" applyNumberFormat="1" applyFont="1" applyFill="1" applyBorder="1" applyAlignment="1">
      <alignment horizontal="right" vertical="center"/>
    </xf>
    <xf numFmtId="2" fontId="2818" fillId="2818" borderId="2762" xfId="0" applyNumberFormat="1" applyFont="1" applyFill="1" applyBorder="1" applyAlignment="1">
      <alignment horizontal="right" vertical="center"/>
    </xf>
    <xf numFmtId="0" fontId="2819" fillId="2819" borderId="2763" xfId="0" applyFont="1" applyFill="1" applyBorder="1" applyAlignment="1">
      <alignment horizontal="center" vertical="center"/>
    </xf>
    <xf numFmtId="0" fontId="2820" fillId="2820" borderId="2764" xfId="0" applyFont="1" applyFill="1" applyBorder="1"/>
    <xf numFmtId="0" fontId="2821" fillId="2821" borderId="2765" xfId="0" applyFont="1" applyFill="1" applyBorder="1" applyAlignment="1">
      <alignment horizontal="center" vertical="center"/>
    </xf>
    <xf numFmtId="0" fontId="2822" fillId="2822" borderId="2766" xfId="0" applyFont="1" applyFill="1" applyBorder="1" applyAlignment="1">
      <alignment horizontal="left" vertical="center"/>
    </xf>
    <xf numFmtId="3" fontId="2823" fillId="2823" borderId="2767" xfId="0" applyNumberFormat="1" applyFont="1" applyFill="1" applyBorder="1" applyAlignment="1">
      <alignment horizontal="right" vertical="center"/>
    </xf>
    <xf numFmtId="3" fontId="2824" fillId="2824" borderId="2768" xfId="0" applyNumberFormat="1" applyFont="1" applyFill="1" applyBorder="1" applyAlignment="1">
      <alignment horizontal="right" vertical="center"/>
    </xf>
    <xf numFmtId="164" fontId="2825" fillId="2825" borderId="2769" xfId="0" applyNumberFormat="1" applyFont="1" applyFill="1" applyBorder="1" applyAlignment="1">
      <alignment horizontal="right" vertical="center"/>
    </xf>
    <xf numFmtId="164" fontId="2826" fillId="2826" borderId="2770" xfId="0" applyNumberFormat="1" applyFont="1" applyFill="1" applyBorder="1" applyAlignment="1">
      <alignment horizontal="right" vertical="center"/>
    </xf>
    <xf numFmtId="3" fontId="2827" fillId="2827" borderId="2771" xfId="0" applyNumberFormat="1" applyFont="1" applyFill="1" applyBorder="1" applyAlignment="1">
      <alignment horizontal="right" vertical="center"/>
    </xf>
    <xf numFmtId="2" fontId="2828" fillId="2828" borderId="2772" xfId="0" applyNumberFormat="1" applyFont="1" applyFill="1" applyBorder="1" applyAlignment="1">
      <alignment horizontal="right" vertical="center"/>
    </xf>
    <xf numFmtId="2" fontId="2829" fillId="2829" borderId="2773" xfId="0" applyNumberFormat="1" applyFont="1" applyFill="1" applyBorder="1" applyAlignment="1">
      <alignment horizontal="right" vertical="center"/>
    </xf>
    <xf numFmtId="0" fontId="2830" fillId="2830" borderId="2774" xfId="0" applyFont="1" applyFill="1" applyBorder="1" applyAlignment="1">
      <alignment horizontal="center" vertical="center"/>
    </xf>
    <xf numFmtId="0" fontId="2831" fillId="2831" borderId="2775" xfId="0" applyFont="1" applyFill="1" applyBorder="1"/>
    <xf numFmtId="0" fontId="2832" fillId="2832" borderId="2776" xfId="0" applyFont="1" applyFill="1" applyBorder="1" applyAlignment="1">
      <alignment horizontal="center" vertical="center"/>
    </xf>
    <xf numFmtId="0" fontId="2833" fillId="2833" borderId="2777" xfId="0" applyFont="1" applyFill="1" applyBorder="1" applyAlignment="1">
      <alignment horizontal="left" vertical="center"/>
    </xf>
    <xf numFmtId="3" fontId="2834" fillId="2834" borderId="2778" xfId="0" applyNumberFormat="1" applyFont="1" applyFill="1" applyBorder="1" applyAlignment="1">
      <alignment horizontal="right" vertical="center"/>
    </xf>
    <xf numFmtId="3" fontId="2835" fillId="2835" borderId="2779" xfId="0" applyNumberFormat="1" applyFont="1" applyFill="1" applyBorder="1" applyAlignment="1">
      <alignment horizontal="right" vertical="center"/>
    </xf>
    <xf numFmtId="164" fontId="2836" fillId="2836" borderId="2780" xfId="0" applyNumberFormat="1" applyFont="1" applyFill="1" applyBorder="1" applyAlignment="1">
      <alignment horizontal="right" vertical="center"/>
    </xf>
    <xf numFmtId="164" fontId="2837" fillId="2837" borderId="2781" xfId="0" applyNumberFormat="1" applyFont="1" applyFill="1" applyBorder="1" applyAlignment="1">
      <alignment horizontal="right" vertical="center"/>
    </xf>
    <xf numFmtId="3" fontId="2838" fillId="2838" borderId="2782" xfId="0" applyNumberFormat="1" applyFont="1" applyFill="1" applyBorder="1" applyAlignment="1">
      <alignment horizontal="right" vertical="center"/>
    </xf>
    <xf numFmtId="2" fontId="2839" fillId="2839" borderId="2783" xfId="0" applyNumberFormat="1" applyFont="1" applyFill="1" applyBorder="1" applyAlignment="1">
      <alignment horizontal="right" vertical="center"/>
    </xf>
    <xf numFmtId="2" fontId="2840" fillId="2840" borderId="2784" xfId="0" applyNumberFormat="1" applyFont="1" applyFill="1" applyBorder="1" applyAlignment="1">
      <alignment horizontal="right" vertical="center"/>
    </xf>
    <xf numFmtId="0" fontId="2841" fillId="2841" borderId="2785" xfId="0" applyFont="1" applyFill="1" applyBorder="1" applyAlignment="1">
      <alignment horizontal="center" vertical="center"/>
    </xf>
    <xf numFmtId="0" fontId="2842" fillId="2842" borderId="2786" xfId="0" applyFont="1" applyFill="1" applyBorder="1"/>
    <xf numFmtId="0" fontId="2843" fillId="2843" borderId="2787" xfId="0" applyFont="1" applyFill="1" applyBorder="1" applyAlignment="1">
      <alignment horizontal="center" vertical="center"/>
    </xf>
    <xf numFmtId="0" fontId="2844" fillId="2844" borderId="2788" xfId="0" applyFont="1" applyFill="1" applyBorder="1" applyAlignment="1">
      <alignment horizontal="left" vertical="center"/>
    </xf>
    <xf numFmtId="3" fontId="2845" fillId="2845" borderId="2789" xfId="0" applyNumberFormat="1" applyFont="1" applyFill="1" applyBorder="1" applyAlignment="1">
      <alignment horizontal="right" vertical="center"/>
    </xf>
    <xf numFmtId="3" fontId="2846" fillId="2846" borderId="2790" xfId="0" applyNumberFormat="1" applyFont="1" applyFill="1" applyBorder="1" applyAlignment="1">
      <alignment horizontal="right" vertical="center"/>
    </xf>
    <xf numFmtId="164" fontId="2847" fillId="2847" borderId="2791" xfId="0" applyNumberFormat="1" applyFont="1" applyFill="1" applyBorder="1" applyAlignment="1">
      <alignment horizontal="right" vertical="center"/>
    </xf>
    <xf numFmtId="164" fontId="2848" fillId="2848" borderId="2792" xfId="0" applyNumberFormat="1" applyFont="1" applyFill="1" applyBorder="1" applyAlignment="1">
      <alignment horizontal="right" vertical="center"/>
    </xf>
    <xf numFmtId="3" fontId="2849" fillId="2849" borderId="2793" xfId="0" applyNumberFormat="1" applyFont="1" applyFill="1" applyBorder="1" applyAlignment="1">
      <alignment horizontal="right" vertical="center"/>
    </xf>
    <xf numFmtId="2" fontId="2850" fillId="2850" borderId="2794" xfId="0" applyNumberFormat="1" applyFont="1" applyFill="1" applyBorder="1" applyAlignment="1">
      <alignment horizontal="right" vertical="center"/>
    </xf>
    <xf numFmtId="2" fontId="2851" fillId="2851" borderId="2795" xfId="0" applyNumberFormat="1" applyFont="1" applyFill="1" applyBorder="1" applyAlignment="1">
      <alignment horizontal="right" vertical="center"/>
    </xf>
    <xf numFmtId="0" fontId="2852" fillId="2852" borderId="2796" xfId="0" applyFont="1" applyFill="1" applyBorder="1" applyAlignment="1">
      <alignment horizontal="center" vertical="center"/>
    </xf>
    <xf numFmtId="0" fontId="2853" fillId="2853" borderId="2797" xfId="0" applyFont="1" applyFill="1" applyBorder="1"/>
    <xf numFmtId="0" fontId="2854" fillId="2854" borderId="2798" xfId="0" applyFont="1" applyFill="1" applyBorder="1" applyAlignment="1">
      <alignment horizontal="center" vertical="center"/>
    </xf>
    <xf numFmtId="0" fontId="2855" fillId="2855" borderId="2799" xfId="0" applyFont="1" applyFill="1" applyBorder="1" applyAlignment="1">
      <alignment horizontal="left" vertical="center"/>
    </xf>
    <xf numFmtId="3" fontId="2856" fillId="2856" borderId="2800" xfId="0" applyNumberFormat="1" applyFont="1" applyFill="1" applyBorder="1" applyAlignment="1">
      <alignment horizontal="right" vertical="center"/>
    </xf>
    <xf numFmtId="3" fontId="2857" fillId="2857" borderId="2801" xfId="0" applyNumberFormat="1" applyFont="1" applyFill="1" applyBorder="1" applyAlignment="1">
      <alignment horizontal="right" vertical="center"/>
    </xf>
    <xf numFmtId="164" fontId="2858" fillId="2858" borderId="2802" xfId="0" applyNumberFormat="1" applyFont="1" applyFill="1" applyBorder="1" applyAlignment="1">
      <alignment horizontal="right" vertical="center"/>
    </xf>
    <xf numFmtId="164" fontId="2859" fillId="2859" borderId="2803" xfId="0" applyNumberFormat="1" applyFont="1" applyFill="1" applyBorder="1" applyAlignment="1">
      <alignment horizontal="right" vertical="center"/>
    </xf>
    <xf numFmtId="3" fontId="2860" fillId="2860" borderId="2804" xfId="0" applyNumberFormat="1" applyFont="1" applyFill="1" applyBorder="1" applyAlignment="1">
      <alignment horizontal="right" vertical="center"/>
    </xf>
    <xf numFmtId="2" fontId="2861" fillId="2861" borderId="2805" xfId="0" applyNumberFormat="1" applyFont="1" applyFill="1" applyBorder="1" applyAlignment="1">
      <alignment horizontal="right" vertical="center"/>
    </xf>
    <xf numFmtId="2" fontId="2862" fillId="2862" borderId="2806" xfId="0" applyNumberFormat="1" applyFont="1" applyFill="1" applyBorder="1" applyAlignment="1">
      <alignment horizontal="right" vertical="center"/>
    </xf>
    <xf numFmtId="0" fontId="2863" fillId="2863" borderId="2807" xfId="0" applyFont="1" applyFill="1" applyBorder="1" applyAlignment="1">
      <alignment horizontal="center" vertical="center"/>
    </xf>
    <xf numFmtId="0" fontId="2864" fillId="2864" borderId="2808" xfId="0" applyFont="1" applyFill="1" applyBorder="1"/>
    <xf numFmtId="0" fontId="2865" fillId="2865" borderId="2809" xfId="0" applyFont="1" applyFill="1" applyBorder="1" applyAlignment="1">
      <alignment horizontal="center" vertical="center"/>
    </xf>
    <xf numFmtId="0" fontId="2866" fillId="2866" borderId="2810" xfId="0" applyFont="1" applyFill="1" applyBorder="1" applyAlignment="1">
      <alignment horizontal="left" vertical="center"/>
    </xf>
    <xf numFmtId="3" fontId="2867" fillId="2867" borderId="2811" xfId="0" applyNumberFormat="1" applyFont="1" applyFill="1" applyBorder="1" applyAlignment="1">
      <alignment horizontal="right" vertical="center"/>
    </xf>
    <xf numFmtId="3" fontId="2868" fillId="2868" borderId="2812" xfId="0" applyNumberFormat="1" applyFont="1" applyFill="1" applyBorder="1" applyAlignment="1">
      <alignment horizontal="right" vertical="center"/>
    </xf>
    <xf numFmtId="164" fontId="2869" fillId="2869" borderId="2813" xfId="0" applyNumberFormat="1" applyFont="1" applyFill="1" applyBorder="1" applyAlignment="1">
      <alignment horizontal="right" vertical="center"/>
    </xf>
    <xf numFmtId="164" fontId="2870" fillId="2870" borderId="2814" xfId="0" applyNumberFormat="1" applyFont="1" applyFill="1" applyBorder="1" applyAlignment="1">
      <alignment horizontal="right" vertical="center"/>
    </xf>
    <xf numFmtId="3" fontId="2871" fillId="2871" borderId="2815" xfId="0" applyNumberFormat="1" applyFont="1" applyFill="1" applyBorder="1" applyAlignment="1">
      <alignment horizontal="right" vertical="center"/>
    </xf>
    <xf numFmtId="2" fontId="2872" fillId="2872" borderId="2816" xfId="0" applyNumberFormat="1" applyFont="1" applyFill="1" applyBorder="1" applyAlignment="1">
      <alignment horizontal="right" vertical="center"/>
    </xf>
    <xf numFmtId="2" fontId="2873" fillId="2873" borderId="2817" xfId="0" applyNumberFormat="1" applyFont="1" applyFill="1" applyBorder="1" applyAlignment="1">
      <alignment horizontal="right" vertical="center"/>
    </xf>
    <xf numFmtId="0" fontId="2874" fillId="2874" borderId="2818" xfId="0" applyFont="1" applyFill="1" applyBorder="1" applyAlignment="1">
      <alignment horizontal="center" vertical="center"/>
    </xf>
    <xf numFmtId="0" fontId="2875" fillId="2875" borderId="2819" xfId="0" applyFont="1" applyFill="1" applyBorder="1"/>
    <xf numFmtId="0" fontId="2876" fillId="2876" borderId="2820" xfId="0" applyFont="1" applyFill="1" applyBorder="1" applyAlignment="1">
      <alignment horizontal="center" vertical="center"/>
    </xf>
    <xf numFmtId="0" fontId="2877" fillId="2877" borderId="2821" xfId="0" applyFont="1" applyFill="1" applyBorder="1" applyAlignment="1">
      <alignment horizontal="left" vertical="center"/>
    </xf>
    <xf numFmtId="3" fontId="2878" fillId="2878" borderId="2822" xfId="0" applyNumberFormat="1" applyFont="1" applyFill="1" applyBorder="1" applyAlignment="1">
      <alignment horizontal="right" vertical="center"/>
    </xf>
    <xf numFmtId="3" fontId="2879" fillId="2879" borderId="2823" xfId="0" applyNumberFormat="1" applyFont="1" applyFill="1" applyBorder="1" applyAlignment="1">
      <alignment horizontal="right" vertical="center"/>
    </xf>
    <xf numFmtId="164" fontId="2880" fillId="2880" borderId="2824" xfId="0" applyNumberFormat="1" applyFont="1" applyFill="1" applyBorder="1" applyAlignment="1">
      <alignment horizontal="right" vertical="center"/>
    </xf>
    <xf numFmtId="164" fontId="2881" fillId="2881" borderId="2825" xfId="0" applyNumberFormat="1" applyFont="1" applyFill="1" applyBorder="1" applyAlignment="1">
      <alignment horizontal="right" vertical="center"/>
    </xf>
    <xf numFmtId="3" fontId="2882" fillId="2882" borderId="2826" xfId="0" applyNumberFormat="1" applyFont="1" applyFill="1" applyBorder="1" applyAlignment="1">
      <alignment horizontal="right" vertical="center"/>
    </xf>
    <xf numFmtId="2" fontId="2883" fillId="2883" borderId="2827" xfId="0" applyNumberFormat="1" applyFont="1" applyFill="1" applyBorder="1" applyAlignment="1">
      <alignment horizontal="right" vertical="center"/>
    </xf>
    <xf numFmtId="2" fontId="2884" fillId="2884" borderId="2828" xfId="0" applyNumberFormat="1" applyFont="1" applyFill="1" applyBorder="1" applyAlignment="1">
      <alignment horizontal="right" vertical="center"/>
    </xf>
    <xf numFmtId="0" fontId="2885" fillId="2885" borderId="2829" xfId="0" applyFont="1" applyFill="1" applyBorder="1" applyAlignment="1">
      <alignment horizontal="center" vertical="center"/>
    </xf>
    <xf numFmtId="0" fontId="2886" fillId="2886" borderId="2830" xfId="0" applyFont="1" applyFill="1" applyBorder="1"/>
    <xf numFmtId="0" fontId="2887" fillId="2887" borderId="2831" xfId="0" applyFont="1" applyFill="1" applyBorder="1" applyAlignment="1">
      <alignment horizontal="center" vertical="center"/>
    </xf>
    <xf numFmtId="0" fontId="2888" fillId="2888" borderId="2832" xfId="0" applyFont="1" applyFill="1" applyBorder="1" applyAlignment="1">
      <alignment horizontal="left" vertical="center"/>
    </xf>
    <xf numFmtId="3" fontId="2889" fillId="2889" borderId="2833" xfId="0" applyNumberFormat="1" applyFont="1" applyFill="1" applyBorder="1" applyAlignment="1">
      <alignment horizontal="right" vertical="center"/>
    </xf>
    <xf numFmtId="3" fontId="2890" fillId="2890" borderId="2834" xfId="0" applyNumberFormat="1" applyFont="1" applyFill="1" applyBorder="1" applyAlignment="1">
      <alignment horizontal="right" vertical="center"/>
    </xf>
    <xf numFmtId="164" fontId="2891" fillId="2891" borderId="2835" xfId="0" applyNumberFormat="1" applyFont="1" applyFill="1" applyBorder="1" applyAlignment="1">
      <alignment horizontal="right" vertical="center"/>
    </xf>
    <xf numFmtId="164" fontId="2892" fillId="2892" borderId="2836" xfId="0" applyNumberFormat="1" applyFont="1" applyFill="1" applyBorder="1" applyAlignment="1">
      <alignment horizontal="right" vertical="center"/>
    </xf>
    <xf numFmtId="3" fontId="2893" fillId="2893" borderId="2837" xfId="0" applyNumberFormat="1" applyFont="1" applyFill="1" applyBorder="1" applyAlignment="1">
      <alignment horizontal="right" vertical="center"/>
    </xf>
    <xf numFmtId="2" fontId="2894" fillId="2894" borderId="2838" xfId="0" applyNumberFormat="1" applyFont="1" applyFill="1" applyBorder="1" applyAlignment="1">
      <alignment horizontal="right" vertical="center"/>
    </xf>
    <xf numFmtId="2" fontId="2895" fillId="2895" borderId="2839" xfId="0" applyNumberFormat="1" applyFont="1" applyFill="1" applyBorder="1" applyAlignment="1">
      <alignment horizontal="right" vertical="center"/>
    </xf>
    <xf numFmtId="0" fontId="2896" fillId="2896" borderId="2840" xfId="0" applyFont="1" applyFill="1" applyBorder="1" applyAlignment="1">
      <alignment horizontal="center" vertical="center"/>
    </xf>
    <xf numFmtId="0" fontId="2897" fillId="2897" borderId="2841" xfId="0" applyFont="1" applyFill="1" applyBorder="1"/>
    <xf numFmtId="0" fontId="2898" fillId="2898" borderId="2842" xfId="0" applyFont="1" applyFill="1" applyBorder="1" applyAlignment="1">
      <alignment horizontal="center" vertical="center"/>
    </xf>
    <xf numFmtId="0" fontId="2899" fillId="2899" borderId="2843" xfId="0" applyFont="1" applyFill="1" applyBorder="1" applyAlignment="1">
      <alignment horizontal="left" vertical="center"/>
    </xf>
    <xf numFmtId="3" fontId="2900" fillId="2900" borderId="2844" xfId="0" applyNumberFormat="1" applyFont="1" applyFill="1" applyBorder="1" applyAlignment="1">
      <alignment horizontal="right" vertical="center"/>
    </xf>
    <xf numFmtId="3" fontId="2901" fillId="2901" borderId="2845" xfId="0" applyNumberFormat="1" applyFont="1" applyFill="1" applyBorder="1" applyAlignment="1">
      <alignment horizontal="right" vertical="center"/>
    </xf>
    <xf numFmtId="164" fontId="2902" fillId="2902" borderId="2846" xfId="0" applyNumberFormat="1" applyFont="1" applyFill="1" applyBorder="1" applyAlignment="1">
      <alignment horizontal="right" vertical="center"/>
    </xf>
    <xf numFmtId="164" fontId="2903" fillId="2903" borderId="2847" xfId="0" applyNumberFormat="1" applyFont="1" applyFill="1" applyBorder="1" applyAlignment="1">
      <alignment horizontal="right" vertical="center"/>
    </xf>
    <xf numFmtId="3" fontId="2904" fillId="2904" borderId="2848" xfId="0" applyNumberFormat="1" applyFont="1" applyFill="1" applyBorder="1" applyAlignment="1">
      <alignment horizontal="right" vertical="center"/>
    </xf>
    <xf numFmtId="2" fontId="2905" fillId="2905" borderId="2849" xfId="0" applyNumberFormat="1" applyFont="1" applyFill="1" applyBorder="1" applyAlignment="1">
      <alignment horizontal="right" vertical="center"/>
    </xf>
    <xf numFmtId="2" fontId="2906" fillId="2906" borderId="2850" xfId="0" applyNumberFormat="1" applyFont="1" applyFill="1" applyBorder="1" applyAlignment="1">
      <alignment horizontal="right" vertical="center"/>
    </xf>
    <xf numFmtId="0" fontId="2907" fillId="2907" borderId="2851" xfId="0" applyFont="1" applyFill="1" applyBorder="1" applyAlignment="1">
      <alignment horizontal="center" vertical="center"/>
    </xf>
    <xf numFmtId="0" fontId="2908" fillId="2908" borderId="2852" xfId="0" applyFont="1" applyFill="1" applyBorder="1"/>
    <xf numFmtId="3" fontId="2911" fillId="2911" borderId="2855" xfId="0" applyNumberFormat="1" applyFont="1" applyFill="1" applyBorder="1" applyAlignment="1">
      <alignment horizontal="right" vertical="center"/>
    </xf>
    <xf numFmtId="3" fontId="2912" fillId="2912" borderId="2856" xfId="0" applyNumberFormat="1" applyFont="1" applyFill="1" applyBorder="1" applyAlignment="1">
      <alignment horizontal="right" vertical="center"/>
    </xf>
    <xf numFmtId="164" fontId="2913" fillId="2913" borderId="2857" xfId="0" applyNumberFormat="1" applyFont="1" applyFill="1" applyBorder="1" applyAlignment="1">
      <alignment horizontal="right" vertical="center"/>
    </xf>
    <xf numFmtId="164" fontId="2914" fillId="2914" borderId="2858" xfId="0" applyNumberFormat="1" applyFont="1" applyFill="1" applyBorder="1" applyAlignment="1">
      <alignment horizontal="right" vertical="center"/>
    </xf>
    <xf numFmtId="0" fontId="2915" fillId="2915" borderId="2859" xfId="0" applyFont="1" applyFill="1" applyBorder="1" applyAlignment="1">
      <alignment horizontal="center" vertical="center"/>
    </xf>
    <xf numFmtId="0" fontId="2916" fillId="2916" borderId="2860" xfId="0" applyFont="1" applyFill="1" applyBorder="1" applyAlignment="1">
      <alignment horizontal="center" vertical="center"/>
    </xf>
    <xf numFmtId="0" fontId="2917" fillId="2917" borderId="2861" xfId="0" applyFont="1" applyFill="1" applyBorder="1" applyAlignment="1">
      <alignment horizontal="center" vertical="center"/>
    </xf>
    <xf numFmtId="0" fontId="2918" fillId="2918" borderId="2862" xfId="0" applyFont="1" applyFill="1" applyBorder="1" applyAlignment="1">
      <alignment horizontal="center" vertical="center"/>
    </xf>
    <xf numFmtId="0" fontId="2919" fillId="2919" borderId="2863" xfId="0" applyFont="1" applyFill="1" applyBorder="1"/>
    <xf numFmtId="0" fontId="2929" fillId="2929" borderId="2873" xfId="0" applyFont="1" applyFill="1" applyBorder="1" applyAlignment="1">
      <alignment horizontal="right" vertical="center" wrapText="1"/>
    </xf>
    <xf numFmtId="166" fontId="2930" fillId="2930" borderId="2874" xfId="0" applyNumberFormat="1" applyFont="1" applyFill="1" applyBorder="1" applyAlignment="1">
      <alignment horizontal="center" vertical="center" wrapText="1"/>
    </xf>
    <xf numFmtId="0" fontId="2931" fillId="2931" borderId="2875" xfId="0" applyFont="1" applyFill="1" applyBorder="1" applyAlignment="1">
      <alignment horizontal="center" vertical="center" wrapText="1"/>
    </xf>
    <xf numFmtId="0" fontId="2932" fillId="2932" borderId="2876" xfId="0" applyFont="1" applyFill="1" applyBorder="1" applyAlignment="1">
      <alignment horizontal="center" vertical="center" wrapText="1"/>
    </xf>
    <xf numFmtId="0" fontId="2933" fillId="2933" borderId="2877" xfId="0" applyFont="1" applyFill="1" applyBorder="1" applyAlignment="1">
      <alignment horizontal="center" vertical="center" wrapText="1"/>
    </xf>
    <xf numFmtId="0" fontId="2934" fillId="2934" borderId="2878" xfId="0" applyFont="1" applyFill="1" applyBorder="1" applyAlignment="1">
      <alignment horizontal="center" vertical="center" wrapText="1"/>
    </xf>
    <xf numFmtId="0" fontId="2935" fillId="2935" borderId="2879" xfId="0" applyFont="1" applyFill="1" applyBorder="1" applyAlignment="1">
      <alignment horizontal="center" vertical="center" wrapText="1"/>
    </xf>
    <xf numFmtId="0" fontId="2936" fillId="2936" borderId="2880" xfId="0" applyFont="1" applyFill="1" applyBorder="1" applyAlignment="1">
      <alignment horizontal="center" vertical="center" wrapText="1"/>
    </xf>
    <xf numFmtId="166" fontId="2937" fillId="2937" borderId="2881" xfId="0" applyNumberFormat="1" applyFont="1" applyFill="1" applyBorder="1" applyAlignment="1">
      <alignment horizontal="center" vertical="center" wrapText="1"/>
    </xf>
    <xf numFmtId="3" fontId="2938" fillId="2938" borderId="2882" xfId="0" applyNumberFormat="1" applyFont="1" applyFill="1" applyBorder="1" applyAlignment="1">
      <alignment horizontal="center" vertical="center" wrapText="1"/>
    </xf>
    <xf numFmtId="3" fontId="2939" fillId="2939" borderId="2883" xfId="0" applyNumberFormat="1" applyFont="1" applyFill="1" applyBorder="1" applyAlignment="1">
      <alignment horizontal="center" vertical="center" wrapText="1"/>
    </xf>
    <xf numFmtId="3" fontId="2940" fillId="2940" borderId="2884" xfId="0" applyNumberFormat="1" applyFont="1" applyFill="1" applyBorder="1" applyAlignment="1">
      <alignment horizontal="center" vertical="center" wrapText="1"/>
    </xf>
    <xf numFmtId="164" fontId="2941" fillId="2941" borderId="2885" xfId="0" applyNumberFormat="1" applyFont="1" applyFill="1" applyBorder="1" applyAlignment="1">
      <alignment horizontal="center" vertical="center" wrapText="1"/>
    </xf>
    <xf numFmtId="164" fontId="2942" fillId="2942" borderId="2886" xfId="0" applyNumberFormat="1" applyFont="1" applyFill="1" applyBorder="1" applyAlignment="1">
      <alignment horizontal="center" vertical="center" wrapText="1"/>
    </xf>
    <xf numFmtId="164" fontId="2943" fillId="2943" borderId="2887" xfId="0" applyNumberFormat="1" applyFont="1" applyFill="1" applyBorder="1" applyAlignment="1">
      <alignment horizontal="center" vertical="center"/>
    </xf>
    <xf numFmtId="2" fontId="2944" fillId="2944" borderId="2888" xfId="0" applyNumberFormat="1" applyFont="1" applyFill="1" applyBorder="1" applyAlignment="1">
      <alignment horizontal="right" vertical="center"/>
    </xf>
    <xf numFmtId="2" fontId="2945" fillId="2945" borderId="2889" xfId="0" applyNumberFormat="1" applyFont="1" applyFill="1" applyBorder="1" applyAlignment="1">
      <alignment horizontal="right" vertical="center"/>
    </xf>
    <xf numFmtId="2" fontId="2946" fillId="2946" borderId="2890" xfId="0" applyNumberFormat="1" applyFont="1" applyFill="1" applyBorder="1" applyAlignment="1">
      <alignment horizontal="right" vertical="center"/>
    </xf>
    <xf numFmtId="2" fontId="2947" fillId="2947" borderId="2891" xfId="0" applyNumberFormat="1" applyFont="1" applyFill="1" applyBorder="1" applyAlignment="1">
      <alignment horizontal="right" vertical="center"/>
    </xf>
    <xf numFmtId="2" fontId="2948" fillId="2948" borderId="2892" xfId="0" applyNumberFormat="1" applyFont="1" applyFill="1" applyBorder="1" applyAlignment="1">
      <alignment horizontal="right" vertical="center"/>
    </xf>
    <xf numFmtId="2" fontId="2949" fillId="2949" borderId="2893" xfId="0" applyNumberFormat="1" applyFont="1" applyFill="1" applyBorder="1" applyAlignment="1">
      <alignment horizontal="right" vertical="center"/>
    </xf>
    <xf numFmtId="2" fontId="2950" fillId="2950" borderId="2894" xfId="0" applyNumberFormat="1" applyFont="1" applyFill="1" applyBorder="1" applyAlignment="1">
      <alignment horizontal="right" vertical="center"/>
    </xf>
    <xf numFmtId="2" fontId="2951" fillId="2951" borderId="2895" xfId="0" applyNumberFormat="1" applyFont="1" applyFill="1" applyBorder="1" applyAlignment="1">
      <alignment horizontal="right" vertical="center"/>
    </xf>
    <xf numFmtId="2" fontId="2952" fillId="2952" borderId="2896" xfId="0" applyNumberFormat="1" applyFont="1" applyFill="1" applyBorder="1" applyAlignment="1">
      <alignment horizontal="right" vertical="center"/>
    </xf>
    <xf numFmtId="2" fontId="2953" fillId="2953" borderId="2897" xfId="0" applyNumberFormat="1" applyFont="1" applyFill="1" applyBorder="1" applyAlignment="1">
      <alignment horizontal="right" vertical="center"/>
    </xf>
    <xf numFmtId="2" fontId="2954" fillId="2954" borderId="2898" xfId="0" applyNumberFormat="1" applyFont="1" applyFill="1" applyBorder="1" applyAlignment="1">
      <alignment horizontal="right" vertical="center"/>
    </xf>
    <xf numFmtId="2" fontId="2955" fillId="2955" borderId="2899" xfId="0" applyNumberFormat="1" applyFont="1" applyFill="1" applyBorder="1" applyAlignment="1">
      <alignment horizontal="right" vertical="center"/>
    </xf>
    <xf numFmtId="2" fontId="2956" fillId="2956" borderId="2900" xfId="0" applyNumberFormat="1" applyFont="1" applyFill="1" applyBorder="1" applyAlignment="1">
      <alignment horizontal="right" vertical="center"/>
    </xf>
    <xf numFmtId="2" fontId="2957" fillId="2957" borderId="2901" xfId="0" applyNumberFormat="1" applyFont="1" applyFill="1" applyBorder="1" applyAlignment="1">
      <alignment horizontal="right" vertical="center"/>
    </xf>
    <xf numFmtId="2" fontId="2958" fillId="2958" borderId="2902" xfId="0" applyNumberFormat="1" applyFont="1" applyFill="1" applyBorder="1" applyAlignment="1">
      <alignment horizontal="right" vertical="center"/>
    </xf>
    <xf numFmtId="2" fontId="2959" fillId="2959" borderId="2903" xfId="0" applyNumberFormat="1" applyFont="1" applyFill="1" applyBorder="1" applyAlignment="1">
      <alignment horizontal="right" vertical="center"/>
    </xf>
    <xf numFmtId="2" fontId="2960" fillId="2960" borderId="2904" xfId="0" applyNumberFormat="1" applyFont="1" applyFill="1" applyBorder="1" applyAlignment="1">
      <alignment horizontal="right" vertical="center"/>
    </xf>
    <xf numFmtId="2" fontId="2961" fillId="2961" borderId="2905" xfId="0" applyNumberFormat="1" applyFont="1" applyFill="1" applyBorder="1" applyAlignment="1">
      <alignment horizontal="right" vertical="center"/>
    </xf>
    <xf numFmtId="2" fontId="2962" fillId="2962" borderId="2906" xfId="0" applyNumberFormat="1" applyFont="1" applyFill="1" applyBorder="1" applyAlignment="1">
      <alignment horizontal="right" vertical="center"/>
    </xf>
    <xf numFmtId="0" fontId="2963" fillId="2963" borderId="2907" xfId="0" applyFont="1" applyFill="1" applyBorder="1" applyAlignment="1">
      <alignment horizontal="right" vertical="center" wrapText="1"/>
    </xf>
    <xf numFmtId="164" fontId="2964" fillId="2964" borderId="2908" xfId="0" applyNumberFormat="1" applyFont="1" applyFill="1" applyBorder="1" applyAlignment="1">
      <alignment horizontal="center" vertical="center" wrapText="1"/>
    </xf>
    <xf numFmtId="0" fontId="2965" fillId="2965" borderId="2909" xfId="0" applyFont="1" applyFill="1" applyBorder="1" applyAlignment="1">
      <alignment horizontal="center" vertical="center"/>
    </xf>
    <xf numFmtId="3" fontId="2966" fillId="2966" borderId="2910" xfId="0" applyNumberFormat="1" applyFont="1" applyFill="1" applyBorder="1" applyAlignment="1">
      <alignment horizontal="center" vertical="center"/>
    </xf>
    <xf numFmtId="3" fontId="2967" fillId="2967" borderId="2911" xfId="0" applyNumberFormat="1" applyFont="1" applyFill="1" applyBorder="1" applyAlignment="1">
      <alignment horizontal="center" vertical="center"/>
    </xf>
    <xf numFmtId="3" fontId="2968" fillId="2968" borderId="2912" xfId="0" applyNumberFormat="1" applyFont="1" applyFill="1" applyBorder="1" applyAlignment="1">
      <alignment horizontal="center" vertical="center"/>
    </xf>
    <xf numFmtId="164" fontId="2969" fillId="2969" borderId="2913" xfId="0" applyNumberFormat="1" applyFont="1" applyFill="1" applyBorder="1" applyAlignment="1">
      <alignment horizontal="center" vertical="center"/>
    </xf>
    <xf numFmtId="164" fontId="2970" fillId="2970" borderId="2914" xfId="0" applyNumberFormat="1" applyFont="1" applyFill="1" applyBorder="1" applyAlignment="1">
      <alignment horizontal="center" vertical="center"/>
    </xf>
    <xf numFmtId="164" fontId="2971" fillId="2971" borderId="2915" xfId="0" applyNumberFormat="1" applyFont="1" applyFill="1" applyBorder="1" applyAlignment="1">
      <alignment horizontal="center" vertical="center"/>
    </xf>
    <xf numFmtId="0" fontId="2972" fillId="2972" borderId="2916" xfId="0" applyFont="1" applyFill="1" applyBorder="1" applyAlignment="1">
      <alignment horizontal="center" vertical="center"/>
    </xf>
    <xf numFmtId="3" fontId="2973" fillId="2973" borderId="2917" xfId="0" applyNumberFormat="1" applyFont="1" applyFill="1" applyBorder="1" applyAlignment="1">
      <alignment horizontal="center" vertical="center"/>
    </xf>
    <xf numFmtId="3" fontId="2974" fillId="2974" borderId="2918" xfId="0" applyNumberFormat="1" applyFont="1" applyFill="1" applyBorder="1" applyAlignment="1">
      <alignment horizontal="center" vertical="center"/>
    </xf>
    <xf numFmtId="3" fontId="2975" fillId="2975" borderId="2919" xfId="0" applyNumberFormat="1" applyFont="1" applyFill="1" applyBorder="1" applyAlignment="1">
      <alignment horizontal="center" vertical="center"/>
    </xf>
    <xf numFmtId="164" fontId="2976" fillId="2976" borderId="2920" xfId="0" applyNumberFormat="1" applyFont="1" applyFill="1" applyBorder="1" applyAlignment="1">
      <alignment horizontal="center" vertical="center"/>
    </xf>
    <xf numFmtId="164" fontId="2977" fillId="2977" borderId="2921" xfId="0" applyNumberFormat="1" applyFont="1" applyFill="1" applyBorder="1" applyAlignment="1">
      <alignment horizontal="center" vertical="center"/>
    </xf>
    <xf numFmtId="164" fontId="2978" fillId="2978" borderId="2922" xfId="0" applyNumberFormat="1" applyFont="1" applyFill="1" applyBorder="1" applyAlignment="1">
      <alignment horizontal="center" vertical="center"/>
    </xf>
    <xf numFmtId="0" fontId="2979" fillId="2979" borderId="2923" xfId="0" applyFont="1" applyFill="1" applyBorder="1" applyAlignment="1">
      <alignment horizontal="center" vertical="center"/>
    </xf>
    <xf numFmtId="3" fontId="2980" fillId="2980" borderId="2924" xfId="0" applyNumberFormat="1" applyFont="1" applyFill="1" applyBorder="1" applyAlignment="1">
      <alignment horizontal="center" vertical="center"/>
    </xf>
    <xf numFmtId="3" fontId="2981" fillId="2981" borderId="2925" xfId="0" applyNumberFormat="1" applyFont="1" applyFill="1" applyBorder="1" applyAlignment="1">
      <alignment horizontal="center" vertical="center"/>
    </xf>
    <xf numFmtId="3" fontId="2982" fillId="2982" borderId="2926" xfId="0" applyNumberFormat="1" applyFont="1" applyFill="1" applyBorder="1" applyAlignment="1">
      <alignment horizontal="center" vertical="center"/>
    </xf>
    <xf numFmtId="164" fontId="2983" fillId="2983" borderId="2927" xfId="0" applyNumberFormat="1" applyFont="1" applyFill="1" applyBorder="1" applyAlignment="1">
      <alignment horizontal="center" vertical="center"/>
    </xf>
    <xf numFmtId="164" fontId="2984" fillId="2984" borderId="2928" xfId="0" applyNumberFormat="1" applyFont="1" applyFill="1" applyBorder="1" applyAlignment="1">
      <alignment horizontal="center" vertical="center"/>
    </xf>
    <xf numFmtId="164" fontId="2985" fillId="2985" borderId="2929" xfId="0" applyNumberFormat="1" applyFont="1" applyFill="1" applyBorder="1" applyAlignment="1">
      <alignment horizontal="center" vertical="center"/>
    </xf>
    <xf numFmtId="0" fontId="2986" fillId="2986" borderId="2930" xfId="0" applyFont="1" applyFill="1" applyBorder="1" applyAlignment="1">
      <alignment horizontal="center" vertical="center"/>
    </xf>
    <xf numFmtId="3" fontId="2987" fillId="2987" borderId="2931" xfId="0" applyNumberFormat="1" applyFont="1" applyFill="1" applyBorder="1" applyAlignment="1">
      <alignment horizontal="center" vertical="center"/>
    </xf>
    <xf numFmtId="3" fontId="2988" fillId="2988" borderId="2932" xfId="0" applyNumberFormat="1" applyFont="1" applyFill="1" applyBorder="1" applyAlignment="1">
      <alignment horizontal="center" vertical="center"/>
    </xf>
    <xf numFmtId="3" fontId="2989" fillId="2989" borderId="2933" xfId="0" applyNumberFormat="1" applyFont="1" applyFill="1" applyBorder="1" applyAlignment="1">
      <alignment horizontal="center" vertical="center"/>
    </xf>
    <xf numFmtId="164" fontId="2990" fillId="2990" borderId="2934" xfId="0" applyNumberFormat="1" applyFont="1" applyFill="1" applyBorder="1" applyAlignment="1">
      <alignment horizontal="center" vertical="center"/>
    </xf>
    <xf numFmtId="164" fontId="2991" fillId="2991" borderId="2935" xfId="0" applyNumberFormat="1" applyFont="1" applyFill="1" applyBorder="1" applyAlignment="1">
      <alignment horizontal="center" vertical="center"/>
    </xf>
    <xf numFmtId="164" fontId="2992" fillId="2992" borderId="2936" xfId="0" applyNumberFormat="1" applyFont="1" applyFill="1" applyBorder="1" applyAlignment="1">
      <alignment horizontal="center" vertical="center"/>
    </xf>
    <xf numFmtId="0" fontId="2993" fillId="2993" borderId="2937" xfId="0" applyFont="1" applyFill="1" applyBorder="1" applyAlignment="1">
      <alignment horizontal="center" vertical="center"/>
    </xf>
    <xf numFmtId="3" fontId="2994" fillId="2994" borderId="2938" xfId="0" applyNumberFormat="1" applyFont="1" applyFill="1" applyBorder="1" applyAlignment="1">
      <alignment horizontal="center" vertical="center"/>
    </xf>
    <xf numFmtId="3" fontId="2995" fillId="2995" borderId="2939" xfId="0" applyNumberFormat="1" applyFont="1" applyFill="1" applyBorder="1" applyAlignment="1">
      <alignment horizontal="center" vertical="center"/>
    </xf>
    <xf numFmtId="3" fontId="2996" fillId="2996" borderId="2940" xfId="0" applyNumberFormat="1" applyFont="1" applyFill="1" applyBorder="1" applyAlignment="1">
      <alignment horizontal="center" vertical="center"/>
    </xf>
    <xf numFmtId="164" fontId="2997" fillId="2997" borderId="2941" xfId="0" applyNumberFormat="1" applyFont="1" applyFill="1" applyBorder="1" applyAlignment="1">
      <alignment horizontal="center" vertical="center"/>
    </xf>
    <xf numFmtId="164" fontId="2998" fillId="2998" borderId="2942" xfId="0" applyNumberFormat="1" applyFont="1" applyFill="1" applyBorder="1" applyAlignment="1">
      <alignment horizontal="center" vertical="center"/>
    </xf>
    <xf numFmtId="164" fontId="2999" fillId="2999" borderId="2943" xfId="0" applyNumberFormat="1" applyFont="1" applyFill="1" applyBorder="1" applyAlignment="1">
      <alignment horizontal="center" vertical="center"/>
    </xf>
    <xf numFmtId="0" fontId="3000" fillId="3000" borderId="2944" xfId="0" applyFont="1" applyFill="1" applyBorder="1" applyAlignment="1">
      <alignment horizontal="center" vertical="center"/>
    </xf>
    <xf numFmtId="3" fontId="3001" fillId="3001" borderId="2945" xfId="0" applyNumberFormat="1" applyFont="1" applyFill="1" applyBorder="1" applyAlignment="1">
      <alignment horizontal="center" vertical="center"/>
    </xf>
    <xf numFmtId="3" fontId="3002" fillId="3002" borderId="2946" xfId="0" applyNumberFormat="1" applyFont="1" applyFill="1" applyBorder="1" applyAlignment="1">
      <alignment horizontal="center" vertical="center"/>
    </xf>
    <xf numFmtId="3" fontId="3003" fillId="3003" borderId="2947" xfId="0" applyNumberFormat="1" applyFont="1" applyFill="1" applyBorder="1" applyAlignment="1">
      <alignment horizontal="center" vertical="center"/>
    </xf>
    <xf numFmtId="164" fontId="3004" fillId="3004" borderId="2948" xfId="0" applyNumberFormat="1" applyFont="1" applyFill="1" applyBorder="1" applyAlignment="1">
      <alignment horizontal="center" vertical="center"/>
    </xf>
    <xf numFmtId="164" fontId="3005" fillId="3005" borderId="2949" xfId="0" applyNumberFormat="1" applyFont="1" applyFill="1" applyBorder="1" applyAlignment="1">
      <alignment horizontal="center" vertical="center"/>
    </xf>
    <xf numFmtId="164" fontId="3006" fillId="3006" borderId="2950" xfId="0" applyNumberFormat="1" applyFont="1" applyFill="1" applyBorder="1" applyAlignment="1">
      <alignment horizontal="center" vertical="center"/>
    </xf>
    <xf numFmtId="0" fontId="3007" fillId="3007" borderId="2951" xfId="0" applyFont="1" applyFill="1" applyBorder="1" applyAlignment="1">
      <alignment horizontal="center" vertical="center"/>
    </xf>
    <xf numFmtId="3" fontId="3008" fillId="3008" borderId="2952" xfId="0" applyNumberFormat="1" applyFont="1" applyFill="1" applyBorder="1" applyAlignment="1">
      <alignment horizontal="center" vertical="center"/>
    </xf>
    <xf numFmtId="3" fontId="3009" fillId="3009" borderId="2953" xfId="0" applyNumberFormat="1" applyFont="1" applyFill="1" applyBorder="1" applyAlignment="1">
      <alignment horizontal="center" vertical="center"/>
    </xf>
    <xf numFmtId="3" fontId="3010" fillId="3010" borderId="2954" xfId="0" applyNumberFormat="1" applyFont="1" applyFill="1" applyBorder="1" applyAlignment="1">
      <alignment horizontal="center" vertical="center"/>
    </xf>
    <xf numFmtId="164" fontId="3011" fillId="3011" borderId="2955" xfId="0" applyNumberFormat="1" applyFont="1" applyFill="1" applyBorder="1" applyAlignment="1">
      <alignment horizontal="center" vertical="center"/>
    </xf>
    <xf numFmtId="164" fontId="3012" fillId="3012" borderId="2956" xfId="0" applyNumberFormat="1" applyFont="1" applyFill="1" applyBorder="1" applyAlignment="1">
      <alignment horizontal="center" vertical="center"/>
    </xf>
    <xf numFmtId="164" fontId="3013" fillId="3013" borderId="2957" xfId="0" applyNumberFormat="1" applyFont="1" applyFill="1" applyBorder="1" applyAlignment="1">
      <alignment horizontal="center" vertical="center"/>
    </xf>
    <xf numFmtId="0" fontId="3014" fillId="3014" borderId="2958" xfId="0" applyFont="1" applyFill="1" applyBorder="1" applyAlignment="1">
      <alignment horizontal="center" vertical="center"/>
    </xf>
    <xf numFmtId="3" fontId="3015" fillId="3015" borderId="2959" xfId="0" applyNumberFormat="1" applyFont="1" applyFill="1" applyBorder="1" applyAlignment="1">
      <alignment horizontal="center" vertical="center"/>
    </xf>
    <xf numFmtId="3" fontId="3016" fillId="3016" borderId="2960" xfId="0" applyNumberFormat="1" applyFont="1" applyFill="1" applyBorder="1" applyAlignment="1">
      <alignment horizontal="center" vertical="center"/>
    </xf>
    <xf numFmtId="3" fontId="3017" fillId="3017" borderId="2961" xfId="0" applyNumberFormat="1" applyFont="1" applyFill="1" applyBorder="1" applyAlignment="1">
      <alignment horizontal="center" vertical="center"/>
    </xf>
    <xf numFmtId="164" fontId="3018" fillId="3018" borderId="2962" xfId="0" applyNumberFormat="1" applyFont="1" applyFill="1" applyBorder="1" applyAlignment="1">
      <alignment horizontal="center" vertical="center"/>
    </xf>
    <xf numFmtId="164" fontId="3019" fillId="3019" borderId="2963" xfId="0" applyNumberFormat="1" applyFont="1" applyFill="1" applyBorder="1" applyAlignment="1">
      <alignment horizontal="center" vertical="center"/>
    </xf>
    <xf numFmtId="164" fontId="3020" fillId="3020" borderId="2964" xfId="0" applyNumberFormat="1" applyFont="1" applyFill="1" applyBorder="1" applyAlignment="1">
      <alignment horizontal="center" vertical="center"/>
    </xf>
    <xf numFmtId="0" fontId="3021" fillId="3021" borderId="2965" xfId="0" applyFont="1" applyFill="1" applyBorder="1" applyAlignment="1">
      <alignment horizontal="center" vertical="center"/>
    </xf>
    <xf numFmtId="3" fontId="3022" fillId="3022" borderId="2966" xfId="0" applyNumberFormat="1" applyFont="1" applyFill="1" applyBorder="1" applyAlignment="1">
      <alignment horizontal="center" vertical="center"/>
    </xf>
    <xf numFmtId="3" fontId="3023" fillId="3023" borderId="2967" xfId="0" applyNumberFormat="1" applyFont="1" applyFill="1" applyBorder="1" applyAlignment="1">
      <alignment horizontal="center" vertical="center"/>
    </xf>
    <xf numFmtId="3" fontId="3024" fillId="3024" borderId="2968" xfId="0" applyNumberFormat="1" applyFont="1" applyFill="1" applyBorder="1" applyAlignment="1">
      <alignment horizontal="center" vertical="center"/>
    </xf>
    <xf numFmtId="164" fontId="3025" fillId="3025" borderId="2969" xfId="0" applyNumberFormat="1" applyFont="1" applyFill="1" applyBorder="1" applyAlignment="1">
      <alignment horizontal="center" vertical="center"/>
    </xf>
    <xf numFmtId="164" fontId="3026" fillId="3026" borderId="2970" xfId="0" applyNumberFormat="1" applyFont="1" applyFill="1" applyBorder="1" applyAlignment="1">
      <alignment horizontal="center" vertical="center"/>
    </xf>
    <xf numFmtId="164" fontId="3027" fillId="3027" borderId="2971" xfId="0" applyNumberFormat="1" applyFont="1" applyFill="1" applyBorder="1" applyAlignment="1">
      <alignment horizontal="center" vertical="center"/>
    </xf>
    <xf numFmtId="3" fontId="663" fillId="663" borderId="2972" xfId="0" applyNumberFormat="1" applyFont="1" applyFill="1" applyBorder="1" applyAlignment="1">
      <alignment horizontal="right" vertical="center"/>
    </xf>
    <xf numFmtId="3" fontId="704" fillId="704" borderId="2972" xfId="0" applyNumberFormat="1" applyFont="1" applyFill="1" applyBorder="1" applyAlignment="1">
      <alignment horizontal="right" vertical="center"/>
    </xf>
    <xf numFmtId="0" fontId="0" fillId="0" borderId="2586" xfId="0" applyBorder="1"/>
    <xf numFmtId="3" fontId="663" fillId="663" borderId="2586" xfId="0" applyNumberFormat="1" applyFont="1" applyFill="1" applyBorder="1" applyAlignment="1">
      <alignment horizontal="right" vertical="center"/>
    </xf>
    <xf numFmtId="3" fontId="664" fillId="664" borderId="2586" xfId="0" applyNumberFormat="1" applyFont="1" applyFill="1" applyBorder="1" applyAlignment="1">
      <alignment horizontal="right" vertical="center"/>
    </xf>
    <xf numFmtId="3" fontId="665" fillId="665" borderId="2586" xfId="0" applyNumberFormat="1" applyFont="1" applyFill="1" applyBorder="1" applyAlignment="1">
      <alignment horizontal="right" vertical="center"/>
    </xf>
    <xf numFmtId="3" fontId="666" fillId="666" borderId="2586" xfId="0" applyNumberFormat="1" applyFont="1" applyFill="1" applyBorder="1" applyAlignment="1">
      <alignment horizontal="right" vertical="center"/>
    </xf>
    <xf numFmtId="3" fontId="667" fillId="667" borderId="2586" xfId="0" applyNumberFormat="1" applyFont="1" applyFill="1" applyBorder="1" applyAlignment="1">
      <alignment horizontal="right" vertical="center"/>
    </xf>
    <xf numFmtId="3" fontId="668" fillId="668" borderId="2586" xfId="0" applyNumberFormat="1" applyFont="1" applyFill="1" applyBorder="1" applyAlignment="1">
      <alignment horizontal="right" vertical="center"/>
    </xf>
    <xf numFmtId="3" fontId="669" fillId="669" borderId="2586" xfId="0" applyNumberFormat="1" applyFont="1" applyFill="1" applyBorder="1" applyAlignment="1">
      <alignment horizontal="right" vertical="center"/>
    </xf>
    <xf numFmtId="3" fontId="670" fillId="670" borderId="2586" xfId="0" applyNumberFormat="1" applyFont="1" applyFill="1" applyBorder="1" applyAlignment="1">
      <alignment horizontal="right" vertical="center"/>
    </xf>
    <xf numFmtId="3" fontId="672" fillId="672" borderId="2586" xfId="0" applyNumberFormat="1" applyFont="1" applyFill="1" applyBorder="1" applyAlignment="1">
      <alignment horizontal="right" vertical="center"/>
    </xf>
    <xf numFmtId="3" fontId="673" fillId="673" borderId="2586" xfId="0" applyNumberFormat="1" applyFont="1" applyFill="1" applyBorder="1" applyAlignment="1">
      <alignment horizontal="right" vertical="center"/>
    </xf>
    <xf numFmtId="3" fontId="674" fillId="674" borderId="2586" xfId="0" applyNumberFormat="1" applyFont="1" applyFill="1" applyBorder="1" applyAlignment="1">
      <alignment horizontal="right" vertical="center"/>
    </xf>
    <xf numFmtId="3" fontId="675" fillId="675" borderId="2586" xfId="0" applyNumberFormat="1" applyFont="1" applyFill="1" applyBorder="1" applyAlignment="1">
      <alignment horizontal="right" vertical="center"/>
    </xf>
    <xf numFmtId="3" fontId="676" fillId="676" borderId="2586" xfId="0" applyNumberFormat="1" applyFont="1" applyFill="1" applyBorder="1" applyAlignment="1">
      <alignment horizontal="right" vertical="center"/>
    </xf>
    <xf numFmtId="3" fontId="677" fillId="677" borderId="2586" xfId="0" applyNumberFormat="1" applyFont="1" applyFill="1" applyBorder="1" applyAlignment="1">
      <alignment horizontal="right" vertical="center"/>
    </xf>
    <xf numFmtId="3" fontId="678" fillId="678" borderId="2586" xfId="0" applyNumberFormat="1" applyFont="1" applyFill="1" applyBorder="1" applyAlignment="1">
      <alignment horizontal="right" vertical="center"/>
    </xf>
    <xf numFmtId="3" fontId="680" fillId="680" borderId="2586" xfId="0" applyNumberFormat="1" applyFont="1" applyFill="1" applyBorder="1" applyAlignment="1">
      <alignment horizontal="right" vertical="center"/>
    </xf>
    <xf numFmtId="3" fontId="681" fillId="681" borderId="2586" xfId="0" applyNumberFormat="1" applyFont="1" applyFill="1" applyBorder="1" applyAlignment="1">
      <alignment horizontal="right" vertical="center"/>
    </xf>
    <xf numFmtId="3" fontId="682" fillId="682" borderId="2586" xfId="0" applyNumberFormat="1" applyFont="1" applyFill="1" applyBorder="1" applyAlignment="1">
      <alignment horizontal="right" vertical="center"/>
    </xf>
    <xf numFmtId="3" fontId="683" fillId="683" borderId="2586" xfId="0" applyNumberFormat="1" applyFont="1" applyFill="1" applyBorder="1" applyAlignment="1">
      <alignment horizontal="right" vertical="center"/>
    </xf>
    <xf numFmtId="3" fontId="684" fillId="684" borderId="2586" xfId="0" applyNumberFormat="1" applyFont="1" applyFill="1" applyBorder="1" applyAlignment="1">
      <alignment horizontal="right" vertical="center"/>
    </xf>
    <xf numFmtId="3" fontId="685" fillId="685" borderId="2586" xfId="0" applyNumberFormat="1" applyFont="1" applyFill="1" applyBorder="1" applyAlignment="1">
      <alignment horizontal="right" vertical="center"/>
    </xf>
    <xf numFmtId="3" fontId="686" fillId="686" borderId="2586" xfId="0" applyNumberFormat="1" applyFont="1" applyFill="1" applyBorder="1" applyAlignment="1">
      <alignment horizontal="right" vertical="center"/>
    </xf>
    <xf numFmtId="3" fontId="688" fillId="688" borderId="2586" xfId="0" applyNumberFormat="1" applyFont="1" applyFill="1" applyBorder="1" applyAlignment="1">
      <alignment horizontal="right" vertical="center"/>
    </xf>
    <xf numFmtId="3" fontId="689" fillId="689" borderId="2586" xfId="0" applyNumberFormat="1" applyFont="1" applyFill="1" applyBorder="1" applyAlignment="1">
      <alignment horizontal="right" vertical="center"/>
    </xf>
    <xf numFmtId="3" fontId="690" fillId="690" borderId="2586" xfId="0" applyNumberFormat="1" applyFont="1" applyFill="1" applyBorder="1" applyAlignment="1">
      <alignment horizontal="right" vertical="center"/>
    </xf>
    <xf numFmtId="3" fontId="691" fillId="691" borderId="2586" xfId="0" applyNumberFormat="1" applyFont="1" applyFill="1" applyBorder="1" applyAlignment="1">
      <alignment horizontal="right" vertical="center"/>
    </xf>
    <xf numFmtId="3" fontId="692" fillId="692" borderId="2586" xfId="0" applyNumberFormat="1" applyFont="1" applyFill="1" applyBorder="1" applyAlignment="1">
      <alignment horizontal="right" vertical="center"/>
    </xf>
    <xf numFmtId="3" fontId="693" fillId="693" borderId="2586" xfId="0" applyNumberFormat="1" applyFont="1" applyFill="1" applyBorder="1" applyAlignment="1">
      <alignment horizontal="right" vertical="center"/>
    </xf>
    <xf numFmtId="3" fontId="694" fillId="694" borderId="2586" xfId="0" applyNumberFormat="1" applyFont="1" applyFill="1" applyBorder="1" applyAlignment="1">
      <alignment horizontal="right" vertical="center"/>
    </xf>
    <xf numFmtId="3" fontId="696" fillId="696" borderId="2586" xfId="0" applyNumberFormat="1" applyFont="1" applyFill="1" applyBorder="1" applyAlignment="1">
      <alignment horizontal="right" vertical="center"/>
    </xf>
    <xf numFmtId="3" fontId="697" fillId="697" borderId="2586" xfId="0" applyNumberFormat="1" applyFont="1" applyFill="1" applyBorder="1" applyAlignment="1">
      <alignment horizontal="right" vertical="center"/>
    </xf>
    <xf numFmtId="3" fontId="698" fillId="698" borderId="2586" xfId="0" applyNumberFormat="1" applyFont="1" applyFill="1" applyBorder="1" applyAlignment="1">
      <alignment horizontal="right" vertical="center"/>
    </xf>
    <xf numFmtId="3" fontId="699" fillId="699" borderId="2586" xfId="0" applyNumberFormat="1" applyFont="1" applyFill="1" applyBorder="1" applyAlignment="1">
      <alignment horizontal="right" vertical="center"/>
    </xf>
    <xf numFmtId="3" fontId="700" fillId="700" borderId="2586" xfId="0" applyNumberFormat="1" applyFont="1" applyFill="1" applyBorder="1" applyAlignment="1">
      <alignment horizontal="right" vertical="center"/>
    </xf>
    <xf numFmtId="3" fontId="701" fillId="701" borderId="2586" xfId="0" applyNumberFormat="1" applyFont="1" applyFill="1" applyBorder="1" applyAlignment="1">
      <alignment horizontal="right" vertical="center"/>
    </xf>
    <xf numFmtId="3" fontId="702" fillId="702" borderId="2586" xfId="0" applyNumberFormat="1" applyFont="1" applyFill="1" applyBorder="1" applyAlignment="1">
      <alignment horizontal="right" vertical="center"/>
    </xf>
    <xf numFmtId="3" fontId="704" fillId="704" borderId="2586" xfId="0" applyNumberFormat="1" applyFont="1" applyFill="1" applyBorder="1" applyAlignment="1">
      <alignment horizontal="right" vertical="center"/>
    </xf>
    <xf numFmtId="0" fontId="656" fillId="655" borderId="2586" xfId="0" applyFont="1" applyFill="1" applyBorder="1" applyAlignment="1">
      <alignment vertical="center"/>
    </xf>
    <xf numFmtId="3" fontId="10" fillId="3027" borderId="2975" xfId="0" applyNumberFormat="1" applyFont="1" applyFill="1" applyBorder="1" applyAlignment="1">
      <alignment horizontal="right" vertical="center"/>
    </xf>
    <xf numFmtId="0" fontId="3036" fillId="3036" borderId="2984" xfId="0" applyFont="1" applyFill="1" applyBorder="1"/>
    <xf numFmtId="0" fontId="3037" fillId="3037" borderId="2985" xfId="0" applyFont="1" applyFill="1" applyBorder="1"/>
    <xf numFmtId="0" fontId="3038" fillId="3038" borderId="2986" xfId="0" applyFont="1" applyFill="1" applyBorder="1"/>
    <xf numFmtId="0" fontId="3045" fillId="3045" borderId="2993" xfId="0" applyFont="1" applyFill="1" applyBorder="1"/>
    <xf numFmtId="0" fontId="3046" fillId="3046" borderId="2994" xfId="0" applyFont="1" applyFill="1" applyBorder="1"/>
    <xf numFmtId="0" fontId="3047" fillId="3047" borderId="2995" xfId="0" applyFont="1" applyFill="1" applyBorder="1"/>
    <xf numFmtId="0" fontId="3048" fillId="3048" borderId="2996" xfId="0" applyFont="1" applyFill="1" applyBorder="1" applyAlignment="1">
      <alignment horizontal="center" vertical="center" wrapText="1"/>
    </xf>
    <xf numFmtId="0" fontId="3049" fillId="3049" borderId="2997" xfId="0" applyFont="1" applyFill="1" applyBorder="1" applyAlignment="1">
      <alignment horizontal="right" vertical="center" wrapText="1"/>
    </xf>
    <xf numFmtId="166" fontId="3050" fillId="3050" borderId="2998" xfId="0" applyNumberFormat="1" applyFont="1" applyFill="1" applyBorder="1" applyAlignment="1">
      <alignment horizontal="center" vertical="center"/>
    </xf>
    <xf numFmtId="0" fontId="3051" fillId="3051" borderId="2999" xfId="0" applyFont="1" applyFill="1" applyBorder="1"/>
    <xf numFmtId="0" fontId="3052" fillId="3052" borderId="3000" xfId="0" applyFont="1" applyFill="1" applyBorder="1"/>
    <xf numFmtId="0" fontId="3053" fillId="3053" borderId="3001" xfId="0" applyFont="1" applyFill="1" applyBorder="1"/>
    <xf numFmtId="0" fontId="3054" fillId="3054" borderId="3002" xfId="0" applyFont="1" applyFill="1" applyBorder="1"/>
    <xf numFmtId="0" fontId="3055" fillId="3055" borderId="3003" xfId="0" applyFont="1" applyFill="1" applyBorder="1"/>
    <xf numFmtId="0" fontId="3056" fillId="3056" borderId="3004" xfId="0" applyFont="1" applyFill="1" applyBorder="1"/>
    <xf numFmtId="0" fontId="3057" fillId="3057" borderId="3005" xfId="0" applyFont="1" applyFill="1" applyBorder="1"/>
    <xf numFmtId="0" fontId="3058" fillId="3058" borderId="3006" xfId="0" applyFont="1" applyFill="1" applyBorder="1"/>
    <xf numFmtId="4" fontId="3059" fillId="3059" borderId="3007" xfId="0" applyNumberFormat="1" applyFont="1" applyFill="1" applyBorder="1"/>
    <xf numFmtId="0" fontId="3060" fillId="3060" borderId="3008" xfId="0" applyFont="1" applyFill="1" applyBorder="1"/>
    <xf numFmtId="0" fontId="3061" fillId="3061" borderId="3009" xfId="0" applyFont="1" applyFill="1" applyBorder="1"/>
    <xf numFmtId="0" fontId="3062" fillId="3062" borderId="3010" xfId="0" applyFont="1" applyFill="1" applyBorder="1"/>
    <xf numFmtId="0" fontId="3063" fillId="3063" borderId="3011" xfId="0" applyFont="1" applyFill="1" applyBorder="1"/>
    <xf numFmtId="0" fontId="3064" fillId="3064" borderId="3012" xfId="0" applyFont="1" applyFill="1" applyBorder="1"/>
    <xf numFmtId="0" fontId="3065" fillId="3065" borderId="3013" xfId="0" applyFont="1" applyFill="1" applyBorder="1"/>
    <xf numFmtId="0" fontId="3066" fillId="3066" borderId="3014" xfId="0" applyFont="1" applyFill="1" applyBorder="1"/>
    <xf numFmtId="0" fontId="3067" fillId="3067" borderId="3015" xfId="0" applyFont="1" applyFill="1" applyBorder="1"/>
    <xf numFmtId="0" fontId="3068" fillId="3068" borderId="3016" xfId="0" applyFont="1" applyFill="1" applyBorder="1"/>
    <xf numFmtId="4" fontId="3069" fillId="3069" borderId="3017" xfId="0" applyNumberFormat="1" applyFont="1" applyFill="1" applyBorder="1" applyAlignment="1">
      <alignment horizontal="center" vertical="center" wrapText="1"/>
    </xf>
    <xf numFmtId="0" fontId="3070" fillId="3070" borderId="3018" xfId="0" applyFont="1" applyFill="1" applyBorder="1" applyAlignment="1">
      <alignment horizontal="center" vertical="center" wrapText="1"/>
    </xf>
    <xf numFmtId="0" fontId="3071" fillId="3071" borderId="3019" xfId="0" applyFont="1" applyFill="1" applyBorder="1" applyAlignment="1">
      <alignment horizontal="center" vertical="center" wrapText="1"/>
    </xf>
    <xf numFmtId="0" fontId="3072" fillId="3072" borderId="3020" xfId="0" applyFont="1" applyFill="1" applyBorder="1" applyAlignment="1">
      <alignment horizontal="center" vertical="center" wrapText="1"/>
    </xf>
    <xf numFmtId="0" fontId="3073" fillId="3073" borderId="3021" xfId="0" applyFont="1" applyFill="1" applyBorder="1" applyAlignment="1">
      <alignment horizontal="center" vertical="center" wrapText="1"/>
    </xf>
    <xf numFmtId="0" fontId="3074" fillId="3074" borderId="3022" xfId="0" applyFont="1" applyFill="1" applyBorder="1" applyAlignment="1">
      <alignment horizontal="center" vertical="center" wrapText="1"/>
    </xf>
    <xf numFmtId="0" fontId="3075" fillId="3075" borderId="3023" xfId="0" applyFont="1" applyFill="1" applyBorder="1"/>
    <xf numFmtId="0" fontId="3076" fillId="3076" borderId="3024" xfId="0" applyFont="1" applyFill="1" applyBorder="1"/>
    <xf numFmtId="0" fontId="3077" fillId="3077" borderId="3025" xfId="0" applyFont="1" applyFill="1" applyBorder="1"/>
    <xf numFmtId="0" fontId="3078" fillId="3078" borderId="3026" xfId="0" applyFont="1" applyFill="1" applyBorder="1"/>
    <xf numFmtId="4" fontId="3079" fillId="3079" borderId="3027" xfId="0" applyNumberFormat="1" applyFont="1" applyFill="1" applyBorder="1" applyAlignment="1">
      <alignment horizontal="center" vertical="center"/>
    </xf>
    <xf numFmtId="3" fontId="3080" fillId="3080" borderId="3028" xfId="0" applyNumberFormat="1" applyFont="1" applyFill="1" applyBorder="1" applyAlignment="1">
      <alignment horizontal="center" vertical="center"/>
    </xf>
    <xf numFmtId="3" fontId="3081" fillId="3081" borderId="3029" xfId="0" applyNumberFormat="1" applyFont="1" applyFill="1" applyBorder="1" applyAlignment="1">
      <alignment horizontal="center" vertical="center"/>
    </xf>
    <xf numFmtId="3" fontId="3082" fillId="3082" borderId="3030" xfId="0" applyNumberFormat="1" applyFont="1" applyFill="1" applyBorder="1" applyAlignment="1">
      <alignment horizontal="center" vertical="center"/>
    </xf>
    <xf numFmtId="3" fontId="3083" fillId="3083" borderId="3031" xfId="0" applyNumberFormat="1" applyFont="1" applyFill="1" applyBorder="1" applyAlignment="1">
      <alignment horizontal="center" vertical="center"/>
    </xf>
    <xf numFmtId="3" fontId="3084" fillId="3084" borderId="3032" xfId="0" applyNumberFormat="1" applyFont="1" applyFill="1" applyBorder="1" applyAlignment="1">
      <alignment horizontal="center" vertical="center"/>
    </xf>
    <xf numFmtId="0" fontId="3085" fillId="3085" borderId="3033" xfId="0" applyFont="1" applyFill="1" applyBorder="1"/>
    <xf numFmtId="0" fontId="3086" fillId="3086" borderId="3034" xfId="0" applyFont="1" applyFill="1" applyBorder="1"/>
    <xf numFmtId="0" fontId="3087" fillId="3087" borderId="3035" xfId="0" applyFont="1" applyFill="1" applyBorder="1"/>
    <xf numFmtId="0" fontId="3088" fillId="3088" borderId="3036" xfId="0" applyFont="1" applyFill="1" applyBorder="1"/>
    <xf numFmtId="4" fontId="3089" fillId="3089" borderId="3037" xfId="0" applyNumberFormat="1" applyFont="1" applyFill="1" applyBorder="1" applyAlignment="1">
      <alignment horizontal="center" vertical="center"/>
    </xf>
    <xf numFmtId="3" fontId="3090" fillId="3090" borderId="3038" xfId="0" applyNumberFormat="1" applyFont="1" applyFill="1" applyBorder="1" applyAlignment="1">
      <alignment horizontal="center" vertical="center"/>
    </xf>
    <xf numFmtId="3" fontId="3091" fillId="3091" borderId="3039" xfId="0" applyNumberFormat="1" applyFont="1" applyFill="1" applyBorder="1" applyAlignment="1">
      <alignment horizontal="center" vertical="center"/>
    </xf>
    <xf numFmtId="3" fontId="3092" fillId="3092" borderId="3040" xfId="0" applyNumberFormat="1" applyFont="1" applyFill="1" applyBorder="1" applyAlignment="1">
      <alignment horizontal="center" vertical="center"/>
    </xf>
    <xf numFmtId="3" fontId="3093" fillId="3093" borderId="3041" xfId="0" applyNumberFormat="1" applyFont="1" applyFill="1" applyBorder="1" applyAlignment="1">
      <alignment horizontal="center" vertical="center"/>
    </xf>
    <xf numFmtId="3" fontId="3094" fillId="3094" borderId="3042" xfId="0" applyNumberFormat="1" applyFont="1" applyFill="1" applyBorder="1" applyAlignment="1">
      <alignment horizontal="center" vertical="center"/>
    </xf>
    <xf numFmtId="0" fontId="3095" fillId="3095" borderId="3043" xfId="0" applyFont="1" applyFill="1" applyBorder="1"/>
    <xf numFmtId="0" fontId="3096" fillId="3096" borderId="3044" xfId="0" applyFont="1" applyFill="1" applyBorder="1"/>
    <xf numFmtId="0" fontId="3097" fillId="3097" borderId="3045" xfId="0" applyFont="1" applyFill="1" applyBorder="1"/>
    <xf numFmtId="0" fontId="3098" fillId="3098" borderId="3046" xfId="0" applyFont="1" applyFill="1" applyBorder="1"/>
    <xf numFmtId="4" fontId="3099" fillId="3099" borderId="3047" xfId="0" applyNumberFormat="1" applyFont="1" applyFill="1" applyBorder="1" applyAlignment="1">
      <alignment horizontal="center" vertical="center"/>
    </xf>
    <xf numFmtId="3" fontId="3100" fillId="3100" borderId="3048" xfId="0" applyNumberFormat="1" applyFont="1" applyFill="1" applyBorder="1" applyAlignment="1">
      <alignment horizontal="center" vertical="center"/>
    </xf>
    <xf numFmtId="3" fontId="3101" fillId="3101" borderId="3049" xfId="0" applyNumberFormat="1" applyFont="1" applyFill="1" applyBorder="1" applyAlignment="1">
      <alignment horizontal="center" vertical="center"/>
    </xf>
    <xf numFmtId="3" fontId="3102" fillId="3102" borderId="3050" xfId="0" applyNumberFormat="1" applyFont="1" applyFill="1" applyBorder="1" applyAlignment="1">
      <alignment horizontal="center" vertical="center"/>
    </xf>
    <xf numFmtId="3" fontId="3103" fillId="3103" borderId="3051" xfId="0" applyNumberFormat="1" applyFont="1" applyFill="1" applyBorder="1" applyAlignment="1">
      <alignment horizontal="center" vertical="center"/>
    </xf>
    <xf numFmtId="3" fontId="3104" fillId="3104" borderId="3052" xfId="0" applyNumberFormat="1" applyFont="1" applyFill="1" applyBorder="1" applyAlignment="1">
      <alignment horizontal="center" vertical="center"/>
    </xf>
    <xf numFmtId="0" fontId="3105" fillId="3105" borderId="3053" xfId="0" applyFont="1" applyFill="1" applyBorder="1"/>
    <xf numFmtId="0" fontId="3106" fillId="3106" borderId="3054" xfId="0" applyFont="1" applyFill="1" applyBorder="1"/>
    <xf numFmtId="0" fontId="3107" fillId="3107" borderId="3055" xfId="0" applyFont="1" applyFill="1" applyBorder="1"/>
    <xf numFmtId="0" fontId="3108" fillId="3108" borderId="3056" xfId="0" applyFont="1" applyFill="1" applyBorder="1"/>
    <xf numFmtId="4" fontId="3109" fillId="3109" borderId="3057" xfId="0" applyNumberFormat="1" applyFont="1" applyFill="1" applyBorder="1" applyAlignment="1">
      <alignment horizontal="center" vertical="center"/>
    </xf>
    <xf numFmtId="3" fontId="3110" fillId="3110" borderId="3058" xfId="0" applyNumberFormat="1" applyFont="1" applyFill="1" applyBorder="1" applyAlignment="1">
      <alignment horizontal="center" vertical="center"/>
    </xf>
    <xf numFmtId="3" fontId="3111" fillId="3111" borderId="3059" xfId="0" applyNumberFormat="1" applyFont="1" applyFill="1" applyBorder="1" applyAlignment="1">
      <alignment horizontal="center" vertical="center"/>
    </xf>
    <xf numFmtId="3" fontId="3112" fillId="3112" borderId="3060" xfId="0" applyNumberFormat="1" applyFont="1" applyFill="1" applyBorder="1" applyAlignment="1">
      <alignment horizontal="center" vertical="center"/>
    </xf>
    <xf numFmtId="3" fontId="3113" fillId="3113" borderId="3061" xfId="0" applyNumberFormat="1" applyFont="1" applyFill="1" applyBorder="1" applyAlignment="1">
      <alignment horizontal="center" vertical="center"/>
    </xf>
    <xf numFmtId="3" fontId="3114" fillId="3114" borderId="3062" xfId="0" applyNumberFormat="1" applyFont="1" applyFill="1" applyBorder="1" applyAlignment="1">
      <alignment horizontal="center" vertical="center"/>
    </xf>
    <xf numFmtId="0" fontId="3115" fillId="3115" borderId="3063" xfId="0" applyFont="1" applyFill="1" applyBorder="1"/>
    <xf numFmtId="0" fontId="3116" fillId="3116" borderId="3064" xfId="0" applyFont="1" applyFill="1" applyBorder="1"/>
    <xf numFmtId="0" fontId="3117" fillId="3117" borderId="3065" xfId="0" applyFont="1" applyFill="1" applyBorder="1"/>
    <xf numFmtId="0" fontId="3118" fillId="3118" borderId="3066" xfId="0" applyFont="1" applyFill="1" applyBorder="1"/>
    <xf numFmtId="4" fontId="3119" fillId="3119" borderId="3067" xfId="0" applyNumberFormat="1" applyFont="1" applyFill="1" applyBorder="1" applyAlignment="1">
      <alignment horizontal="center" vertical="center"/>
    </xf>
    <xf numFmtId="3" fontId="3120" fillId="3120" borderId="3068" xfId="0" applyNumberFormat="1" applyFont="1" applyFill="1" applyBorder="1" applyAlignment="1">
      <alignment horizontal="center" vertical="center"/>
    </xf>
    <xf numFmtId="3" fontId="3121" fillId="3121" borderId="3069" xfId="0" applyNumberFormat="1" applyFont="1" applyFill="1" applyBorder="1" applyAlignment="1">
      <alignment horizontal="center" vertical="center"/>
    </xf>
    <xf numFmtId="3" fontId="3122" fillId="3122" borderId="3070" xfId="0" applyNumberFormat="1" applyFont="1" applyFill="1" applyBorder="1" applyAlignment="1">
      <alignment horizontal="center" vertical="center"/>
    </xf>
    <xf numFmtId="3" fontId="3123" fillId="3123" borderId="3071" xfId="0" applyNumberFormat="1" applyFont="1" applyFill="1" applyBorder="1" applyAlignment="1">
      <alignment horizontal="center" vertical="center"/>
    </xf>
    <xf numFmtId="3" fontId="3124" fillId="3124" borderId="3072" xfId="0" applyNumberFormat="1" applyFont="1" applyFill="1" applyBorder="1" applyAlignment="1">
      <alignment horizontal="center" vertical="center"/>
    </xf>
    <xf numFmtId="0" fontId="3125" fillId="3125" borderId="3073" xfId="0" applyFont="1" applyFill="1" applyBorder="1"/>
    <xf numFmtId="0" fontId="3126" fillId="3126" borderId="3074" xfId="0" applyFont="1" applyFill="1" applyBorder="1"/>
    <xf numFmtId="0" fontId="3127" fillId="3127" borderId="3075" xfId="0" applyFont="1" applyFill="1" applyBorder="1"/>
    <xf numFmtId="0" fontId="3128" fillId="3128" borderId="3076" xfId="0" applyFont="1" applyFill="1" applyBorder="1"/>
    <xf numFmtId="4" fontId="3129" fillId="3129" borderId="3077" xfId="0" applyNumberFormat="1" applyFont="1" applyFill="1" applyBorder="1" applyAlignment="1">
      <alignment horizontal="center" vertical="center"/>
    </xf>
    <xf numFmtId="3" fontId="3130" fillId="3130" borderId="3078" xfId="0" applyNumberFormat="1" applyFont="1" applyFill="1" applyBorder="1" applyAlignment="1">
      <alignment horizontal="center" vertical="center"/>
    </xf>
    <xf numFmtId="3" fontId="3131" fillId="3131" borderId="3079" xfId="0" applyNumberFormat="1" applyFont="1" applyFill="1" applyBorder="1" applyAlignment="1">
      <alignment horizontal="center" vertical="center"/>
    </xf>
    <xf numFmtId="3" fontId="3132" fillId="3132" borderId="3080" xfId="0" applyNumberFormat="1" applyFont="1" applyFill="1" applyBorder="1" applyAlignment="1">
      <alignment horizontal="center" vertical="center"/>
    </xf>
    <xf numFmtId="3" fontId="3133" fillId="3133" borderId="3081" xfId="0" applyNumberFormat="1" applyFont="1" applyFill="1" applyBorder="1" applyAlignment="1">
      <alignment horizontal="center" vertical="center"/>
    </xf>
    <xf numFmtId="3" fontId="3134" fillId="3134" borderId="3082" xfId="0" applyNumberFormat="1" applyFont="1" applyFill="1" applyBorder="1" applyAlignment="1">
      <alignment horizontal="center" vertical="center"/>
    </xf>
    <xf numFmtId="0" fontId="3135" fillId="3135" borderId="3083" xfId="0" applyFont="1" applyFill="1" applyBorder="1"/>
    <xf numFmtId="0" fontId="3136" fillId="3136" borderId="3084" xfId="0" applyFont="1" applyFill="1" applyBorder="1"/>
    <xf numFmtId="0" fontId="3137" fillId="3137" borderId="3085" xfId="0" applyFont="1" applyFill="1" applyBorder="1"/>
    <xf numFmtId="0" fontId="3138" fillId="3138" borderId="3086" xfId="0" applyFont="1" applyFill="1" applyBorder="1"/>
    <xf numFmtId="4" fontId="3139" fillId="3139" borderId="3087" xfId="0" applyNumberFormat="1" applyFont="1" applyFill="1" applyBorder="1" applyAlignment="1">
      <alignment horizontal="center" vertical="center"/>
    </xf>
    <xf numFmtId="3" fontId="3140" fillId="3140" borderId="3088" xfId="0" applyNumberFormat="1" applyFont="1" applyFill="1" applyBorder="1" applyAlignment="1">
      <alignment horizontal="center" vertical="center"/>
    </xf>
    <xf numFmtId="3" fontId="3141" fillId="3141" borderId="3089" xfId="0" applyNumberFormat="1" applyFont="1" applyFill="1" applyBorder="1" applyAlignment="1">
      <alignment horizontal="center" vertical="center"/>
    </xf>
    <xf numFmtId="3" fontId="3142" fillId="3142" borderId="3090" xfId="0" applyNumberFormat="1" applyFont="1" applyFill="1" applyBorder="1" applyAlignment="1">
      <alignment horizontal="center" vertical="center"/>
    </xf>
    <xf numFmtId="3" fontId="3143" fillId="3143" borderId="3091" xfId="0" applyNumberFormat="1" applyFont="1" applyFill="1" applyBorder="1" applyAlignment="1">
      <alignment horizontal="center" vertical="center"/>
    </xf>
    <xf numFmtId="3" fontId="3144" fillId="3144" borderId="3092" xfId="0" applyNumberFormat="1" applyFont="1" applyFill="1" applyBorder="1" applyAlignment="1">
      <alignment horizontal="center" vertical="center"/>
    </xf>
    <xf numFmtId="0" fontId="3145" fillId="3145" borderId="3093" xfId="0" applyFont="1" applyFill="1" applyBorder="1"/>
    <xf numFmtId="0" fontId="3146" fillId="3146" borderId="3094" xfId="0" applyFont="1" applyFill="1" applyBorder="1"/>
    <xf numFmtId="0" fontId="3147" fillId="3147" borderId="3095" xfId="0" applyFont="1" applyFill="1" applyBorder="1"/>
    <xf numFmtId="0" fontId="3148" fillId="3148" borderId="3096" xfId="0" applyFont="1" applyFill="1" applyBorder="1"/>
    <xf numFmtId="4" fontId="3149" fillId="3149" borderId="3097" xfId="0" applyNumberFormat="1" applyFont="1" applyFill="1" applyBorder="1" applyAlignment="1">
      <alignment horizontal="center" vertical="center"/>
    </xf>
    <xf numFmtId="3" fontId="3150" fillId="3150" borderId="3098" xfId="0" applyNumberFormat="1" applyFont="1" applyFill="1" applyBorder="1" applyAlignment="1">
      <alignment horizontal="center" vertical="center"/>
    </xf>
    <xf numFmtId="3" fontId="3151" fillId="3151" borderId="3099" xfId="0" applyNumberFormat="1" applyFont="1" applyFill="1" applyBorder="1" applyAlignment="1">
      <alignment horizontal="center" vertical="center"/>
    </xf>
    <xf numFmtId="3" fontId="3152" fillId="3152" borderId="3100" xfId="0" applyNumberFormat="1" applyFont="1" applyFill="1" applyBorder="1" applyAlignment="1">
      <alignment horizontal="center" vertical="center"/>
    </xf>
    <xf numFmtId="3" fontId="3153" fillId="3153" borderId="3101" xfId="0" applyNumberFormat="1" applyFont="1" applyFill="1" applyBorder="1" applyAlignment="1">
      <alignment horizontal="center" vertical="center"/>
    </xf>
    <xf numFmtId="3" fontId="3154" fillId="3154" borderId="3102" xfId="0" applyNumberFormat="1" applyFont="1" applyFill="1" applyBorder="1" applyAlignment="1">
      <alignment horizontal="center" vertical="center"/>
    </xf>
    <xf numFmtId="0" fontId="3155" fillId="3155" borderId="3103" xfId="0" applyFont="1" applyFill="1" applyBorder="1"/>
    <xf numFmtId="0" fontId="3156" fillId="3156" borderId="3104" xfId="0" applyFont="1" applyFill="1" applyBorder="1"/>
    <xf numFmtId="0" fontId="3157" fillId="3157" borderId="3105" xfId="0" applyFont="1" applyFill="1" applyBorder="1"/>
    <xf numFmtId="0" fontId="3158" fillId="3158" borderId="3106" xfId="0" applyFont="1" applyFill="1" applyBorder="1" applyAlignment="1">
      <alignment horizontal="center" vertical="center" wrapText="1"/>
    </xf>
    <xf numFmtId="4" fontId="3159" fillId="3159" borderId="3107" xfId="0" applyNumberFormat="1" applyFont="1" applyFill="1" applyBorder="1" applyAlignment="1">
      <alignment horizontal="center" vertical="center" wrapText="1"/>
    </xf>
    <xf numFmtId="3" fontId="3160" fillId="3160" borderId="3108" xfId="0" applyNumberFormat="1" applyFont="1" applyFill="1" applyBorder="1" applyAlignment="1">
      <alignment horizontal="center" vertical="center" wrapText="1"/>
    </xf>
    <xf numFmtId="3" fontId="3161" fillId="3161" borderId="3109" xfId="0" applyNumberFormat="1" applyFont="1" applyFill="1" applyBorder="1" applyAlignment="1">
      <alignment horizontal="center" vertical="center" wrapText="1"/>
    </xf>
    <xf numFmtId="3" fontId="3162" fillId="3162" borderId="3110" xfId="0" applyNumberFormat="1" applyFont="1" applyFill="1" applyBorder="1" applyAlignment="1">
      <alignment horizontal="center" vertical="center"/>
    </xf>
    <xf numFmtId="3" fontId="3163" fillId="3163" borderId="3111" xfId="0" applyNumberFormat="1" applyFont="1" applyFill="1" applyBorder="1" applyAlignment="1">
      <alignment horizontal="center" vertical="center"/>
    </xf>
    <xf numFmtId="3" fontId="3164" fillId="3164" borderId="3112" xfId="0" applyNumberFormat="1" applyFont="1" applyFill="1" applyBorder="1" applyAlignment="1">
      <alignment horizontal="center" vertical="center"/>
    </xf>
    <xf numFmtId="0" fontId="3165" fillId="3165" borderId="3113" xfId="0" applyFont="1" applyFill="1" applyBorder="1"/>
    <xf numFmtId="0" fontId="3166" fillId="3166" borderId="3114" xfId="0" applyFont="1" applyFill="1" applyBorder="1"/>
    <xf numFmtId="0" fontId="3167" fillId="3167" borderId="3115" xfId="0" applyFont="1" applyFill="1" applyBorder="1"/>
    <xf numFmtId="0" fontId="3168" fillId="3168" borderId="3116" xfId="0" applyFont="1" applyFill="1" applyBorder="1"/>
    <xf numFmtId="4" fontId="3169" fillId="3169" borderId="3117" xfId="0" applyNumberFormat="1" applyFont="1" applyFill="1" applyBorder="1"/>
    <xf numFmtId="164" fontId="3170" fillId="3170" borderId="3118" xfId="0" applyNumberFormat="1" applyFont="1" applyFill="1" applyBorder="1"/>
    <xf numFmtId="10" fontId="3171" fillId="3171" borderId="3119" xfId="0" applyNumberFormat="1" applyFont="1" applyFill="1" applyBorder="1"/>
    <xf numFmtId="0" fontId="3172" fillId="3172" borderId="3120" xfId="0" applyFont="1" applyFill="1" applyBorder="1"/>
    <xf numFmtId="0" fontId="3173" fillId="3173" borderId="3121" xfId="0" applyFont="1" applyFill="1" applyBorder="1"/>
    <xf numFmtId="0" fontId="3174" fillId="3174" borderId="3122" xfId="0" applyFont="1" applyFill="1" applyBorder="1"/>
    <xf numFmtId="0" fontId="3175" fillId="3175" borderId="3123" xfId="0" applyFont="1" applyFill="1" applyBorder="1"/>
    <xf numFmtId="0" fontId="3176" fillId="3176" borderId="3124" xfId="0" applyFont="1" applyFill="1" applyBorder="1"/>
    <xf numFmtId="0" fontId="3177" fillId="3177" borderId="3125" xfId="0" applyFont="1" applyFill="1" applyBorder="1"/>
    <xf numFmtId="0" fontId="3178" fillId="3178" borderId="3126" xfId="0" applyFont="1" applyFill="1" applyBorder="1"/>
    <xf numFmtId="4" fontId="3179" fillId="3179" borderId="3127" xfId="0" applyNumberFormat="1" applyFont="1" applyFill="1" applyBorder="1"/>
    <xf numFmtId="164" fontId="3180" fillId="3180" borderId="3128" xfId="0" applyNumberFormat="1" applyFont="1" applyFill="1" applyBorder="1"/>
    <xf numFmtId="10" fontId="3181" fillId="3181" borderId="3129" xfId="0" applyNumberFormat="1" applyFont="1" applyFill="1" applyBorder="1"/>
    <xf numFmtId="0" fontId="3182" fillId="3182" borderId="3130" xfId="0" applyFont="1" applyFill="1" applyBorder="1"/>
    <xf numFmtId="0" fontId="3183" fillId="3183" borderId="3131" xfId="0" applyFont="1" applyFill="1" applyBorder="1"/>
    <xf numFmtId="0" fontId="3184" fillId="3184" borderId="3132" xfId="0" applyFont="1" applyFill="1" applyBorder="1"/>
    <xf numFmtId="0" fontId="3185" fillId="3185" borderId="3133" xfId="0" applyFont="1" applyFill="1" applyBorder="1"/>
    <xf numFmtId="0" fontId="3186" fillId="3186" borderId="3134" xfId="0" applyFont="1" applyFill="1" applyBorder="1"/>
    <xf numFmtId="0" fontId="3187" fillId="3187" borderId="3135" xfId="0" applyFont="1" applyFill="1" applyBorder="1"/>
    <xf numFmtId="0" fontId="3188" fillId="3188" borderId="3136" xfId="0" applyFont="1" applyFill="1" applyBorder="1"/>
    <xf numFmtId="4" fontId="3189" fillId="3189" borderId="3137" xfId="0" applyNumberFormat="1" applyFont="1" applyFill="1" applyBorder="1"/>
    <xf numFmtId="164" fontId="3190" fillId="3190" borderId="3138" xfId="0" applyNumberFormat="1" applyFont="1" applyFill="1" applyBorder="1"/>
    <xf numFmtId="10" fontId="3191" fillId="3191" borderId="3139" xfId="0" applyNumberFormat="1" applyFont="1" applyFill="1" applyBorder="1"/>
    <xf numFmtId="0" fontId="3192" fillId="3192" borderId="3140" xfId="0" applyFont="1" applyFill="1" applyBorder="1"/>
    <xf numFmtId="0" fontId="3193" fillId="3193" borderId="3141" xfId="0" applyFont="1" applyFill="1" applyBorder="1"/>
    <xf numFmtId="0" fontId="3194" fillId="3194" borderId="3142" xfId="0" applyFont="1" applyFill="1" applyBorder="1"/>
    <xf numFmtId="0" fontId="3195" fillId="3195" borderId="3143" xfId="0" applyFont="1" applyFill="1" applyBorder="1"/>
    <xf numFmtId="0" fontId="3196" fillId="3196" borderId="3144" xfId="0" applyFont="1" applyFill="1" applyBorder="1"/>
    <xf numFmtId="0" fontId="3197" fillId="3197" borderId="3145" xfId="0" applyFont="1" applyFill="1" applyBorder="1"/>
    <xf numFmtId="0" fontId="3198" fillId="3198" borderId="3146" xfId="0" applyFont="1" applyFill="1" applyBorder="1"/>
    <xf numFmtId="0" fontId="3205" fillId="3205" borderId="3153" xfId="0" applyFont="1" applyFill="1" applyBorder="1"/>
    <xf numFmtId="0" fontId="3206" fillId="3206" borderId="3154" xfId="0" applyFont="1" applyFill="1" applyBorder="1"/>
    <xf numFmtId="0" fontId="3207" fillId="3207" borderId="3155" xfId="0" applyFont="1" applyFill="1" applyBorder="1"/>
    <xf numFmtId="0" fontId="3208" fillId="3208" borderId="3156" xfId="0" applyFont="1" applyFill="1" applyBorder="1"/>
    <xf numFmtId="4" fontId="3209" fillId="3209" borderId="3157" xfId="0" applyNumberFormat="1" applyFont="1" applyFill="1" applyBorder="1" applyAlignment="1">
      <alignment horizontal="right" vertical="center"/>
    </xf>
    <xf numFmtId="166" fontId="3210" fillId="3210" borderId="3158" xfId="0" applyNumberFormat="1" applyFont="1" applyFill="1" applyBorder="1" applyAlignment="1">
      <alignment horizontal="center" vertical="center"/>
    </xf>
    <xf numFmtId="10" fontId="3211" fillId="3211" borderId="3159" xfId="0" applyNumberFormat="1" applyFont="1" applyFill="1" applyBorder="1"/>
    <xf numFmtId="0" fontId="3212" fillId="3212" borderId="3160" xfId="0" applyFont="1" applyFill="1" applyBorder="1"/>
    <xf numFmtId="0" fontId="3213" fillId="3213" borderId="3161" xfId="0" applyFont="1" applyFill="1" applyBorder="1"/>
    <xf numFmtId="0" fontId="3214" fillId="3214" borderId="3162" xfId="0" applyFont="1" applyFill="1" applyBorder="1"/>
    <xf numFmtId="0" fontId="3215" fillId="3215" borderId="3163" xfId="0" applyFont="1" applyFill="1" applyBorder="1"/>
    <xf numFmtId="0" fontId="3216" fillId="3216" borderId="3164" xfId="0" applyFont="1" applyFill="1" applyBorder="1"/>
    <xf numFmtId="0" fontId="3217" fillId="3217" borderId="3165" xfId="0" applyFont="1" applyFill="1" applyBorder="1"/>
    <xf numFmtId="0" fontId="3218" fillId="3218" borderId="3166" xfId="0" applyFont="1" applyFill="1" applyBorder="1" applyAlignment="1">
      <alignment horizontal="left" vertical="center" wrapText="1"/>
    </xf>
    <xf numFmtId="4" fontId="3219" fillId="3219" borderId="3167" xfId="0" applyNumberFormat="1" applyFont="1" applyFill="1" applyBorder="1" applyAlignment="1">
      <alignment horizontal="right" vertical="center"/>
    </xf>
    <xf numFmtId="164" fontId="3220" fillId="3220" borderId="3168" xfId="0" applyNumberFormat="1" applyFont="1" applyFill="1" applyBorder="1" applyAlignment="1">
      <alignment horizontal="center" vertical="center"/>
    </xf>
    <xf numFmtId="10" fontId="3221" fillId="3221" borderId="3169" xfId="0" applyNumberFormat="1" applyFont="1" applyFill="1" applyBorder="1"/>
    <xf numFmtId="0" fontId="3222" fillId="3222" borderId="3170" xfId="0" applyFont="1" applyFill="1" applyBorder="1"/>
    <xf numFmtId="0" fontId="3223" fillId="3223" borderId="3171" xfId="0" applyFont="1" applyFill="1" applyBorder="1"/>
    <xf numFmtId="0" fontId="3224" fillId="3224" borderId="3172" xfId="0" applyFont="1" applyFill="1" applyBorder="1"/>
    <xf numFmtId="0" fontId="3225" fillId="3225" borderId="3173" xfId="0" applyFont="1" applyFill="1" applyBorder="1"/>
    <xf numFmtId="0" fontId="3226" fillId="3226" borderId="3174" xfId="0" applyFont="1" applyFill="1" applyBorder="1"/>
    <xf numFmtId="0" fontId="3227" fillId="3227" borderId="3175" xfId="0" applyFont="1" applyFill="1" applyBorder="1"/>
    <xf numFmtId="0" fontId="3228" fillId="3228" borderId="3176" xfId="0" applyFont="1" applyFill="1" applyBorder="1"/>
    <xf numFmtId="4" fontId="3229" fillId="3229" borderId="3177" xfId="0" applyNumberFormat="1" applyFont="1" applyFill="1" applyBorder="1"/>
    <xf numFmtId="164" fontId="3230" fillId="3230" borderId="3178" xfId="0" applyNumberFormat="1" applyFont="1" applyFill="1" applyBorder="1"/>
    <xf numFmtId="10" fontId="3231" fillId="3231" borderId="3179" xfId="0" applyNumberFormat="1" applyFont="1" applyFill="1" applyBorder="1"/>
    <xf numFmtId="0" fontId="3232" fillId="3232" borderId="3180" xfId="0" applyFont="1" applyFill="1" applyBorder="1"/>
    <xf numFmtId="0" fontId="3233" fillId="3233" borderId="3181" xfId="0" applyFont="1" applyFill="1" applyBorder="1"/>
    <xf numFmtId="0" fontId="3234" fillId="3234" borderId="3182" xfId="0" applyFont="1" applyFill="1" applyBorder="1"/>
    <xf numFmtId="0" fontId="3235" fillId="3235" borderId="3183" xfId="0" applyFont="1" applyFill="1" applyBorder="1"/>
    <xf numFmtId="0" fontId="3236" fillId="3236" borderId="3184" xfId="0" applyFont="1" applyFill="1" applyBorder="1"/>
    <xf numFmtId="0" fontId="3237" fillId="3237" borderId="3185" xfId="0" applyFont="1" applyFill="1" applyBorder="1"/>
    <xf numFmtId="0" fontId="3238" fillId="3238" borderId="3186" xfId="0" applyFont="1" applyFill="1" applyBorder="1"/>
    <xf numFmtId="0" fontId="3239" fillId="3239" borderId="3187" xfId="0" applyFont="1" applyFill="1" applyBorder="1" applyAlignment="1">
      <alignment horizontal="center" vertical="center" wrapText="1"/>
    </xf>
    <xf numFmtId="0" fontId="3240" fillId="3240" borderId="3188" xfId="0" applyFont="1" applyFill="1" applyBorder="1" applyAlignment="1">
      <alignment horizontal="center" vertical="center" wrapText="1"/>
    </xf>
    <xf numFmtId="0" fontId="3241" fillId="3241" borderId="3189" xfId="0" applyFont="1" applyFill="1" applyBorder="1" applyAlignment="1">
      <alignment horizontal="center" vertical="center" wrapText="1"/>
    </xf>
    <xf numFmtId="0" fontId="3242" fillId="3242" borderId="3190" xfId="0" applyFont="1" applyFill="1" applyBorder="1" applyAlignment="1">
      <alignment horizontal="center" vertical="center" wrapText="1"/>
    </xf>
    <xf numFmtId="0" fontId="3243" fillId="3243" borderId="3191" xfId="0" applyFont="1" applyFill="1" applyBorder="1" applyAlignment="1">
      <alignment horizontal="center" vertical="center" wrapText="1"/>
    </xf>
    <xf numFmtId="0" fontId="3244" fillId="3244" borderId="3192" xfId="0" applyFont="1" applyFill="1" applyBorder="1" applyAlignment="1">
      <alignment horizontal="center" vertical="center" wrapText="1"/>
    </xf>
    <xf numFmtId="0" fontId="3245" fillId="3245" borderId="3193" xfId="0" applyFont="1" applyFill="1" applyBorder="1"/>
    <xf numFmtId="0" fontId="3246" fillId="3246" borderId="3194" xfId="0" applyFont="1" applyFill="1" applyBorder="1"/>
    <xf numFmtId="0" fontId="3247" fillId="3247" borderId="3195" xfId="0" applyFont="1" applyFill="1" applyBorder="1"/>
    <xf numFmtId="0" fontId="3248" fillId="3248" borderId="3196" xfId="0" applyFont="1" applyFill="1" applyBorder="1" applyAlignment="1">
      <alignment horizontal="center" vertical="center" wrapText="1"/>
    </xf>
    <xf numFmtId="0" fontId="3249" fillId="3254" borderId="3202" xfId="0" applyFont="1" applyFill="1" applyBorder="1" applyAlignment="1">
      <alignment horizontal="center" vertical="center" wrapText="1"/>
    </xf>
    <xf numFmtId="0" fontId="3250" fillId="3255" borderId="3203" xfId="0" applyFont="1" applyFill="1" applyBorder="1"/>
    <xf numFmtId="0" fontId="3251" fillId="3256" borderId="3204" xfId="0" applyFont="1" applyFill="1" applyBorder="1"/>
    <xf numFmtId="0" fontId="3252" fillId="3257" borderId="3205" xfId="0" applyFont="1" applyFill="1" applyBorder="1"/>
    <xf numFmtId="168" fontId="3253" fillId="3258" borderId="3206" xfId="0" applyNumberFormat="1" applyFont="1" applyFill="1" applyBorder="1" applyAlignment="1">
      <alignment horizontal="center" vertical="center"/>
    </xf>
    <xf numFmtId="3" fontId="3254" fillId="3259" borderId="3207" xfId="0" applyNumberFormat="1" applyFont="1" applyFill="1" applyBorder="1" applyAlignment="1">
      <alignment horizontal="center" vertical="center"/>
    </xf>
    <xf numFmtId="3" fontId="3255" fillId="3260" borderId="3208" xfId="0" applyNumberFormat="1" applyFont="1" applyFill="1" applyBorder="1" applyAlignment="1">
      <alignment horizontal="center" vertical="center"/>
    </xf>
    <xf numFmtId="3" fontId="3256" fillId="3261" borderId="3209" xfId="0" applyNumberFormat="1" applyFont="1" applyFill="1" applyBorder="1" applyAlignment="1">
      <alignment horizontal="center" vertical="center"/>
    </xf>
    <xf numFmtId="3" fontId="3257" fillId="3262" borderId="3210" xfId="0" applyNumberFormat="1" applyFont="1" applyFill="1" applyBorder="1" applyAlignment="1">
      <alignment horizontal="center" vertical="center"/>
    </xf>
    <xf numFmtId="3" fontId="3258" fillId="3263" borderId="3211" xfId="0" applyNumberFormat="1" applyFont="1" applyFill="1" applyBorder="1" applyAlignment="1">
      <alignment horizontal="center" vertical="center"/>
    </xf>
    <xf numFmtId="0" fontId="3259" fillId="3264" borderId="3212" xfId="0" applyFont="1" applyFill="1" applyBorder="1"/>
    <xf numFmtId="0" fontId="3260" fillId="3265" borderId="3213" xfId="0" applyFont="1" applyFill="1" applyBorder="1"/>
    <xf numFmtId="0" fontId="3261" fillId="3266" borderId="3214" xfId="0" applyFont="1" applyFill="1" applyBorder="1"/>
    <xf numFmtId="0" fontId="3262" fillId="3267" borderId="3215" xfId="0" applyFont="1" applyFill="1" applyBorder="1"/>
    <xf numFmtId="168" fontId="3263" fillId="3268" borderId="3216" xfId="0" applyNumberFormat="1" applyFont="1" applyFill="1" applyBorder="1" applyAlignment="1">
      <alignment horizontal="center" vertical="center"/>
    </xf>
    <xf numFmtId="3" fontId="3264" fillId="3269" borderId="3217" xfId="0" applyNumberFormat="1" applyFont="1" applyFill="1" applyBorder="1" applyAlignment="1">
      <alignment horizontal="center" vertical="center"/>
    </xf>
    <xf numFmtId="3" fontId="3265" fillId="3270" borderId="3218" xfId="0" applyNumberFormat="1" applyFont="1" applyFill="1" applyBorder="1" applyAlignment="1">
      <alignment horizontal="center" vertical="center"/>
    </xf>
    <xf numFmtId="3" fontId="3266" fillId="3271" borderId="3219" xfId="0" applyNumberFormat="1" applyFont="1" applyFill="1" applyBorder="1" applyAlignment="1">
      <alignment horizontal="center" vertical="center"/>
    </xf>
    <xf numFmtId="3" fontId="3267" fillId="3272" borderId="3220" xfId="0" applyNumberFormat="1" applyFont="1" applyFill="1" applyBorder="1" applyAlignment="1">
      <alignment horizontal="center" vertical="center"/>
    </xf>
    <xf numFmtId="3" fontId="3268" fillId="3273" borderId="3221" xfId="0" applyNumberFormat="1" applyFont="1" applyFill="1" applyBorder="1" applyAlignment="1">
      <alignment horizontal="center" vertical="center"/>
    </xf>
    <xf numFmtId="0" fontId="3269" fillId="3274" borderId="3222" xfId="0" applyFont="1" applyFill="1" applyBorder="1"/>
    <xf numFmtId="0" fontId="3270" fillId="3275" borderId="3223" xfId="0" applyFont="1" applyFill="1" applyBorder="1"/>
    <xf numFmtId="0" fontId="3271" fillId="3276" borderId="3224" xfId="0" applyFont="1" applyFill="1" applyBorder="1"/>
    <xf numFmtId="0" fontId="3272" fillId="3277" borderId="3225" xfId="0" applyFont="1" applyFill="1" applyBorder="1"/>
    <xf numFmtId="168" fontId="3273" fillId="3278" borderId="3226" xfId="0" applyNumberFormat="1" applyFont="1" applyFill="1" applyBorder="1" applyAlignment="1">
      <alignment horizontal="center" vertical="center"/>
    </xf>
    <xf numFmtId="3" fontId="3274" fillId="3279" borderId="3227" xfId="0" applyNumberFormat="1" applyFont="1" applyFill="1" applyBorder="1" applyAlignment="1">
      <alignment horizontal="center" vertical="center"/>
    </xf>
    <xf numFmtId="3" fontId="3275" fillId="3280" borderId="3228" xfId="0" applyNumberFormat="1" applyFont="1" applyFill="1" applyBorder="1" applyAlignment="1">
      <alignment horizontal="center" vertical="center"/>
    </xf>
    <xf numFmtId="3" fontId="3276" fillId="3281" borderId="3229" xfId="0" applyNumberFormat="1" applyFont="1" applyFill="1" applyBorder="1" applyAlignment="1">
      <alignment horizontal="center" vertical="center"/>
    </xf>
    <xf numFmtId="3" fontId="3277" fillId="3282" borderId="3230" xfId="0" applyNumberFormat="1" applyFont="1" applyFill="1" applyBorder="1" applyAlignment="1">
      <alignment horizontal="center" vertical="center"/>
    </xf>
    <xf numFmtId="3" fontId="3278" fillId="3283" borderId="3231" xfId="0" applyNumberFormat="1" applyFont="1" applyFill="1" applyBorder="1" applyAlignment="1">
      <alignment horizontal="center" vertical="center"/>
    </xf>
    <xf numFmtId="0" fontId="3279" fillId="3284" borderId="3232" xfId="0" applyFont="1" applyFill="1" applyBorder="1"/>
    <xf numFmtId="0" fontId="3280" fillId="3285" borderId="3233" xfId="0" applyFont="1" applyFill="1" applyBorder="1"/>
    <xf numFmtId="0" fontId="3281" fillId="3286" borderId="3234" xfId="0" applyFont="1" applyFill="1" applyBorder="1"/>
    <xf numFmtId="0" fontId="3282" fillId="3287" borderId="3235" xfId="0" applyFont="1" applyFill="1" applyBorder="1"/>
    <xf numFmtId="168" fontId="3283" fillId="3288" borderId="3236" xfId="0" applyNumberFormat="1" applyFont="1" applyFill="1" applyBorder="1" applyAlignment="1">
      <alignment horizontal="center" vertical="center"/>
    </xf>
    <xf numFmtId="3" fontId="3284" fillId="3289" borderId="3237" xfId="0" applyNumberFormat="1" applyFont="1" applyFill="1" applyBorder="1" applyAlignment="1">
      <alignment horizontal="center" vertical="center"/>
    </xf>
    <xf numFmtId="3" fontId="3285" fillId="3290" borderId="3238" xfId="0" applyNumberFormat="1" applyFont="1" applyFill="1" applyBorder="1" applyAlignment="1">
      <alignment horizontal="center" vertical="center"/>
    </xf>
    <xf numFmtId="3" fontId="3286" fillId="3291" borderId="3239" xfId="0" applyNumberFormat="1" applyFont="1" applyFill="1" applyBorder="1" applyAlignment="1">
      <alignment horizontal="center" vertical="center"/>
    </xf>
    <xf numFmtId="3" fontId="3287" fillId="3292" borderId="3240" xfId="0" applyNumberFormat="1" applyFont="1" applyFill="1" applyBorder="1" applyAlignment="1">
      <alignment horizontal="center" vertical="center"/>
    </xf>
    <xf numFmtId="3" fontId="3288" fillId="3293" borderId="3241" xfId="0" applyNumberFormat="1" applyFont="1" applyFill="1" applyBorder="1" applyAlignment="1">
      <alignment horizontal="center" vertical="center"/>
    </xf>
    <xf numFmtId="0" fontId="3289" fillId="3294" borderId="3242" xfId="0" applyFont="1" applyFill="1" applyBorder="1"/>
    <xf numFmtId="0" fontId="3290" fillId="3295" borderId="3243" xfId="0" applyFont="1" applyFill="1" applyBorder="1"/>
    <xf numFmtId="0" fontId="3291" fillId="3296" borderId="3244" xfId="0" applyFont="1" applyFill="1" applyBorder="1"/>
    <xf numFmtId="0" fontId="3292" fillId="3297" borderId="3245" xfId="0" applyFont="1" applyFill="1" applyBorder="1"/>
    <xf numFmtId="168" fontId="3293" fillId="3298" borderId="3246" xfId="0" applyNumberFormat="1" applyFont="1" applyFill="1" applyBorder="1" applyAlignment="1">
      <alignment horizontal="center" vertical="center"/>
    </xf>
    <xf numFmtId="3" fontId="3294" fillId="3299" borderId="3247" xfId="0" applyNumberFormat="1" applyFont="1" applyFill="1" applyBorder="1" applyAlignment="1">
      <alignment horizontal="center" vertical="center"/>
    </xf>
    <xf numFmtId="3" fontId="3295" fillId="3300" borderId="3248" xfId="0" applyNumberFormat="1" applyFont="1" applyFill="1" applyBorder="1" applyAlignment="1">
      <alignment horizontal="center" vertical="center"/>
    </xf>
    <xf numFmtId="3" fontId="3296" fillId="3301" borderId="3249" xfId="0" applyNumberFormat="1" applyFont="1" applyFill="1" applyBorder="1" applyAlignment="1">
      <alignment horizontal="center" vertical="center"/>
    </xf>
    <xf numFmtId="3" fontId="3297" fillId="3302" borderId="3250" xfId="0" applyNumberFormat="1" applyFont="1" applyFill="1" applyBorder="1" applyAlignment="1">
      <alignment horizontal="center" vertical="center"/>
    </xf>
    <xf numFmtId="3" fontId="3298" fillId="3303" borderId="3251" xfId="0" applyNumberFormat="1" applyFont="1" applyFill="1" applyBorder="1" applyAlignment="1">
      <alignment horizontal="center" vertical="center"/>
    </xf>
    <xf numFmtId="0" fontId="3299" fillId="3304" borderId="3252" xfId="0" applyFont="1" applyFill="1" applyBorder="1"/>
    <xf numFmtId="0" fontId="3300" fillId="3305" borderId="3253" xfId="0" applyFont="1" applyFill="1" applyBorder="1"/>
    <xf numFmtId="0" fontId="3301" fillId="3306" borderId="3254" xfId="0" applyFont="1" applyFill="1" applyBorder="1"/>
    <xf numFmtId="0" fontId="3302" fillId="3307" borderId="3255" xfId="0" applyFont="1" applyFill="1" applyBorder="1"/>
    <xf numFmtId="168" fontId="3303" fillId="3308" borderId="3256" xfId="0" applyNumberFormat="1" applyFont="1" applyFill="1" applyBorder="1" applyAlignment="1">
      <alignment horizontal="center" vertical="center"/>
    </xf>
    <xf numFmtId="3" fontId="3304" fillId="3309" borderId="3257" xfId="0" applyNumberFormat="1" applyFont="1" applyFill="1" applyBorder="1" applyAlignment="1">
      <alignment horizontal="center" vertical="center"/>
    </xf>
    <xf numFmtId="3" fontId="3305" fillId="3310" borderId="3258" xfId="0" applyNumberFormat="1" applyFont="1" applyFill="1" applyBorder="1" applyAlignment="1">
      <alignment horizontal="center" vertical="center"/>
    </xf>
    <xf numFmtId="3" fontId="3306" fillId="3311" borderId="3259" xfId="0" applyNumberFormat="1" applyFont="1" applyFill="1" applyBorder="1" applyAlignment="1">
      <alignment horizontal="center" vertical="center"/>
    </xf>
    <xf numFmtId="3" fontId="3307" fillId="3312" borderId="3260" xfId="0" applyNumberFormat="1" applyFont="1" applyFill="1" applyBorder="1" applyAlignment="1">
      <alignment horizontal="center" vertical="center"/>
    </xf>
    <xf numFmtId="3" fontId="3308" fillId="3313" borderId="3261" xfId="0" applyNumberFormat="1" applyFont="1" applyFill="1" applyBorder="1" applyAlignment="1">
      <alignment horizontal="center" vertical="center"/>
    </xf>
    <xf numFmtId="0" fontId="3309" fillId="3314" borderId="3262" xfId="0" applyFont="1" applyFill="1" applyBorder="1"/>
    <xf numFmtId="0" fontId="3310" fillId="3315" borderId="3263" xfId="0" applyFont="1" applyFill="1" applyBorder="1"/>
    <xf numFmtId="0" fontId="3311" fillId="3316" borderId="3264" xfId="0" applyFont="1" applyFill="1" applyBorder="1"/>
    <xf numFmtId="0" fontId="3312" fillId="3317" borderId="3265" xfId="0" applyFont="1" applyFill="1" applyBorder="1"/>
    <xf numFmtId="0" fontId="3313" fillId="3318" borderId="3266" xfId="0" applyFont="1" applyFill="1" applyBorder="1" applyAlignment="1">
      <alignment horizontal="right"/>
    </xf>
    <xf numFmtId="3" fontId="3314" fillId="3319" borderId="3267" xfId="0" applyNumberFormat="1" applyFont="1" applyFill="1" applyBorder="1" applyAlignment="1">
      <alignment horizontal="center"/>
    </xf>
    <xf numFmtId="3" fontId="3315" fillId="3320" borderId="3268" xfId="0" applyNumberFormat="1" applyFont="1" applyFill="1" applyBorder="1" applyAlignment="1">
      <alignment horizontal="center"/>
    </xf>
    <xf numFmtId="3" fontId="3316" fillId="3321" borderId="3269" xfId="0" applyNumberFormat="1" applyFont="1" applyFill="1" applyBorder="1" applyAlignment="1">
      <alignment horizontal="center"/>
    </xf>
    <xf numFmtId="3" fontId="3317" fillId="3322" borderId="3270" xfId="0" applyNumberFormat="1" applyFont="1" applyFill="1" applyBorder="1" applyAlignment="1">
      <alignment horizontal="center"/>
    </xf>
    <xf numFmtId="3" fontId="3318" fillId="3323" borderId="3271" xfId="0" applyNumberFormat="1" applyFont="1" applyFill="1" applyBorder="1" applyAlignment="1">
      <alignment horizontal="center"/>
    </xf>
    <xf numFmtId="0" fontId="3319" fillId="3324" borderId="3272" xfId="0" applyFont="1" applyFill="1" applyBorder="1"/>
    <xf numFmtId="0" fontId="3320" fillId="3325" borderId="3273" xfId="0" applyFont="1" applyFill="1" applyBorder="1"/>
    <xf numFmtId="0" fontId="3321" fillId="3326" borderId="3274" xfId="0" applyFont="1" applyFill="1" applyBorder="1"/>
    <xf numFmtId="0" fontId="3322" fillId="3327" borderId="3275" xfId="0" applyFont="1" applyFill="1" applyBorder="1"/>
    <xf numFmtId="0" fontId="3323" fillId="3328" borderId="3276" xfId="0" applyFont="1" applyFill="1" applyBorder="1"/>
    <xf numFmtId="0" fontId="3324" fillId="3329" borderId="3277" xfId="0" applyFont="1" applyFill="1" applyBorder="1"/>
    <xf numFmtId="0" fontId="3325" fillId="3330" borderId="3278" xfId="0" applyFont="1" applyFill="1" applyBorder="1"/>
    <xf numFmtId="0" fontId="3326" fillId="3331" borderId="3279" xfId="0" applyFont="1" applyFill="1" applyBorder="1"/>
    <xf numFmtId="0" fontId="3327" fillId="3332" borderId="3280" xfId="0" applyFont="1" applyFill="1" applyBorder="1"/>
    <xf numFmtId="0" fontId="3328" fillId="3333" borderId="3281" xfId="0" applyFont="1" applyFill="1" applyBorder="1"/>
    <xf numFmtId="0" fontId="3329" fillId="3334" borderId="3282" xfId="0" applyFont="1" applyFill="1" applyBorder="1"/>
    <xf numFmtId="0" fontId="3330" fillId="3335" borderId="3283" xfId="0" applyFont="1" applyFill="1" applyBorder="1"/>
    <xf numFmtId="0" fontId="3331" fillId="3336" borderId="3284" xfId="0" applyFont="1" applyFill="1" applyBorder="1"/>
    <xf numFmtId="0" fontId="3332" fillId="3337" borderId="3285" xfId="0" applyFont="1" applyFill="1" applyBorder="1"/>
    <xf numFmtId="0" fontId="3333" fillId="3338" borderId="3286" xfId="0" applyFont="1" applyFill="1" applyBorder="1"/>
    <xf numFmtId="0" fontId="3334" fillId="3339" borderId="3287" xfId="0" applyFont="1" applyFill="1" applyBorder="1"/>
    <xf numFmtId="0" fontId="3335" fillId="3340" borderId="3288" xfId="0" applyFont="1" applyFill="1" applyBorder="1"/>
    <xf numFmtId="0" fontId="3336" fillId="3341" borderId="3289" xfId="0" applyFont="1" applyFill="1" applyBorder="1"/>
    <xf numFmtId="0" fontId="3337" fillId="3342" borderId="3290" xfId="0" applyFont="1" applyFill="1" applyBorder="1"/>
    <xf numFmtId="0" fontId="3338" fillId="3343" borderId="3291" xfId="0" applyFont="1" applyFill="1" applyBorder="1"/>
    <xf numFmtId="0" fontId="3339" fillId="3344" borderId="3292" xfId="0" applyFont="1" applyFill="1" applyBorder="1"/>
    <xf numFmtId="0" fontId="3340" fillId="3345" borderId="3293" xfId="0" applyFont="1" applyFill="1" applyBorder="1"/>
    <xf numFmtId="0" fontId="3341" fillId="3346" borderId="3294" xfId="0" applyFont="1" applyFill="1" applyBorder="1"/>
    <xf numFmtId="0" fontId="3342" fillId="3347" borderId="3295" xfId="0" applyFont="1" applyFill="1" applyBorder="1"/>
    <xf numFmtId="0" fontId="3343" fillId="3348" borderId="3296" xfId="0" applyFont="1" applyFill="1" applyBorder="1"/>
    <xf numFmtId="0" fontId="3344" fillId="3349" borderId="3297" xfId="0" applyFont="1" applyFill="1" applyBorder="1"/>
    <xf numFmtId="0" fontId="3345" fillId="3350" borderId="3298" xfId="0" applyFont="1" applyFill="1" applyBorder="1"/>
    <xf numFmtId="0" fontId="3346" fillId="3351" borderId="3299" xfId="0" applyFont="1" applyFill="1" applyBorder="1"/>
    <xf numFmtId="0" fontId="3347" fillId="3352" borderId="3300" xfId="0" applyFont="1" applyFill="1" applyBorder="1"/>
    <xf numFmtId="0" fontId="3348" fillId="3353" borderId="3301" xfId="0" applyFont="1" applyFill="1" applyBorder="1"/>
    <xf numFmtId="0" fontId="3349" fillId="3354" borderId="3302" xfId="0" applyFont="1" applyFill="1" applyBorder="1"/>
    <xf numFmtId="0" fontId="3350" fillId="3355" borderId="3303" xfId="0" applyFont="1" applyFill="1" applyBorder="1"/>
    <xf numFmtId="0" fontId="3351" fillId="3356" borderId="3304" xfId="0" applyFont="1" applyFill="1" applyBorder="1"/>
    <xf numFmtId="0" fontId="3352" fillId="3357" borderId="3305" xfId="0" applyFont="1" applyFill="1" applyBorder="1"/>
    <xf numFmtId="0" fontId="3353" fillId="3358" borderId="3306" xfId="0" applyFont="1" applyFill="1" applyBorder="1"/>
    <xf numFmtId="0" fontId="3354" fillId="3359" borderId="3307" xfId="0" applyFont="1" applyFill="1" applyBorder="1"/>
    <xf numFmtId="0" fontId="3355" fillId="3360" borderId="3308" xfId="0" applyFont="1" applyFill="1" applyBorder="1"/>
    <xf numFmtId="0" fontId="3356" fillId="3361" borderId="3309" xfId="0" applyFont="1" applyFill="1" applyBorder="1"/>
    <xf numFmtId="0" fontId="3357" fillId="3362" borderId="3310" xfId="0" applyFont="1" applyFill="1" applyBorder="1"/>
    <xf numFmtId="0" fontId="3358" fillId="3363" borderId="3311" xfId="0" applyFont="1" applyFill="1" applyBorder="1"/>
    <xf numFmtId="0" fontId="3359" fillId="3364" borderId="3312" xfId="0" applyFont="1" applyFill="1" applyBorder="1"/>
    <xf numFmtId="0" fontId="3360" fillId="3365" borderId="3313" xfId="0" applyFont="1" applyFill="1" applyBorder="1"/>
    <xf numFmtId="0" fontId="3361" fillId="3366" borderId="3314" xfId="0" applyFont="1" applyFill="1" applyBorder="1"/>
    <xf numFmtId="0" fontId="3362" fillId="3367" borderId="3315" xfId="0" applyFont="1" applyFill="1" applyBorder="1"/>
    <xf numFmtId="0" fontId="3363" fillId="3368" borderId="3316" xfId="0" applyFont="1" applyFill="1" applyBorder="1"/>
    <xf numFmtId="0" fontId="3364" fillId="3369" borderId="3317" xfId="0" applyFont="1" applyFill="1" applyBorder="1"/>
    <xf numFmtId="0" fontId="3365" fillId="3370" borderId="3318" xfId="0" applyFont="1" applyFill="1" applyBorder="1"/>
    <xf numFmtId="0" fontId="3366" fillId="3371" borderId="3319" xfId="0" applyFont="1" applyFill="1" applyBorder="1"/>
    <xf numFmtId="0" fontId="3367" fillId="3372" borderId="3320" xfId="0" applyFont="1" applyFill="1" applyBorder="1"/>
    <xf numFmtId="0" fontId="3368" fillId="3373" borderId="3321" xfId="0" applyFont="1" applyFill="1" applyBorder="1"/>
    <xf numFmtId="0" fontId="3369" fillId="3374" borderId="3322" xfId="0" applyFont="1" applyFill="1" applyBorder="1"/>
    <xf numFmtId="0" fontId="3370" fillId="3375" borderId="3323" xfId="0" applyFont="1" applyFill="1" applyBorder="1"/>
    <xf numFmtId="0" fontId="3371" fillId="3376" borderId="3324" xfId="0" applyFont="1" applyFill="1" applyBorder="1"/>
    <xf numFmtId="168" fontId="0" fillId="3377" borderId="3325" xfId="0" applyNumberFormat="1" applyFill="1" applyBorder="1" applyAlignment="1">
      <alignment horizontal="center" vertical="center" wrapText="1"/>
    </xf>
    <xf numFmtId="3" fontId="0" fillId="3249" borderId="3197" xfId="0" applyNumberFormat="1" applyFill="1" applyBorder="1" applyAlignment="1">
      <alignment horizontal="center" vertical="center" wrapText="1"/>
    </xf>
    <xf numFmtId="3" fontId="0" fillId="3250" borderId="3198" xfId="0" applyNumberFormat="1" applyFill="1" applyBorder="1" applyAlignment="1">
      <alignment horizontal="center" vertical="center" wrapText="1"/>
    </xf>
    <xf numFmtId="3" fontId="0" fillId="3251" borderId="3199" xfId="0" applyNumberFormat="1" applyFill="1" applyBorder="1" applyAlignment="1">
      <alignment horizontal="center" vertical="center" wrapText="1"/>
    </xf>
    <xf numFmtId="3" fontId="0" fillId="3252" borderId="3200" xfId="0" applyNumberFormat="1" applyFill="1" applyBorder="1" applyAlignment="1">
      <alignment horizontal="center" vertical="center" wrapText="1"/>
    </xf>
    <xf numFmtId="3" fontId="0" fillId="3253" borderId="3201" xfId="0" applyNumberFormat="1" applyFill="1" applyBorder="1" applyAlignment="1">
      <alignment horizontal="center" vertical="center" wrapText="1"/>
    </xf>
    <xf numFmtId="2" fontId="3372" fillId="3378" borderId="3326" xfId="0" applyNumberFormat="1" applyFont="1" applyFill="1" applyBorder="1" applyAlignment="1">
      <alignment horizontal="center"/>
    </xf>
    <xf numFmtId="2" fontId="3373" fillId="3379" borderId="3327" xfId="0" applyNumberFormat="1" applyFont="1" applyFill="1" applyBorder="1" applyAlignment="1">
      <alignment horizontal="center"/>
    </xf>
    <xf numFmtId="2" fontId="3374" fillId="3380" borderId="3328" xfId="0" applyNumberFormat="1" applyFont="1" applyFill="1" applyBorder="1" applyAlignment="1">
      <alignment horizontal="center"/>
    </xf>
    <xf numFmtId="2" fontId="3375" fillId="3381" borderId="3329" xfId="0" applyNumberFormat="1" applyFont="1" applyFill="1" applyBorder="1" applyAlignment="1">
      <alignment horizontal="center"/>
    </xf>
    <xf numFmtId="2" fontId="3376" fillId="3382" borderId="3330" xfId="0" applyNumberFormat="1" applyFont="1" applyFill="1" applyBorder="1" applyAlignment="1">
      <alignment horizontal="center"/>
    </xf>
    <xf numFmtId="2" fontId="3377" fillId="3383" borderId="3331" xfId="0" applyNumberFormat="1" applyFont="1" applyFill="1" applyBorder="1" applyAlignment="1">
      <alignment horizontal="center"/>
    </xf>
    <xf numFmtId="2" fontId="3378" fillId="3384" borderId="3332" xfId="0" applyNumberFormat="1" applyFont="1" applyFill="1" applyBorder="1" applyAlignment="1">
      <alignment horizontal="center"/>
    </xf>
    <xf numFmtId="2" fontId="3379" fillId="3385" borderId="3333" xfId="0" applyNumberFormat="1" applyFont="1" applyFill="1" applyBorder="1" applyAlignment="1">
      <alignment horizontal="center"/>
    </xf>
    <xf numFmtId="2" fontId="3380" fillId="3386" borderId="3334" xfId="0" applyNumberFormat="1" applyFont="1" applyFill="1" applyBorder="1" applyAlignment="1">
      <alignment horizontal="center"/>
    </xf>
    <xf numFmtId="2" fontId="3381" fillId="3387" borderId="3335" xfId="0" applyNumberFormat="1" applyFont="1" applyFill="1" applyBorder="1" applyAlignment="1">
      <alignment horizontal="center"/>
    </xf>
    <xf numFmtId="2" fontId="3382" fillId="3388" borderId="3336" xfId="0" applyNumberFormat="1" applyFont="1" applyFill="1" applyBorder="1" applyAlignment="1">
      <alignment horizontal="center"/>
    </xf>
    <xf numFmtId="2" fontId="3383" fillId="3389" borderId="3337" xfId="0" applyNumberFormat="1" applyFont="1" applyFill="1" applyBorder="1" applyAlignment="1">
      <alignment horizontal="center"/>
    </xf>
    <xf numFmtId="2" fontId="3384" fillId="3390" borderId="3338" xfId="0" applyNumberFormat="1" applyFont="1" applyFill="1" applyBorder="1" applyAlignment="1">
      <alignment horizontal="center"/>
    </xf>
    <xf numFmtId="2" fontId="3385" fillId="3391" borderId="3339" xfId="0" applyNumberFormat="1" applyFont="1" applyFill="1" applyBorder="1" applyAlignment="1">
      <alignment horizontal="center"/>
    </xf>
    <xf numFmtId="2" fontId="3386" fillId="3392" borderId="3340" xfId="0" applyNumberFormat="1" applyFont="1" applyFill="1" applyBorder="1" applyAlignment="1">
      <alignment horizontal="center"/>
    </xf>
    <xf numFmtId="2" fontId="3387" fillId="3393" borderId="3341" xfId="0" applyNumberFormat="1" applyFont="1" applyFill="1" applyBorder="1" applyAlignment="1">
      <alignment horizontal="center"/>
    </xf>
    <xf numFmtId="2" fontId="3388" fillId="3394" borderId="3342" xfId="0" applyNumberFormat="1" applyFont="1" applyFill="1" applyBorder="1" applyAlignment="1">
      <alignment horizontal="center"/>
    </xf>
    <xf numFmtId="2" fontId="3389" fillId="3395" borderId="3343" xfId="0" applyNumberFormat="1" applyFont="1" applyFill="1" applyBorder="1" applyAlignment="1">
      <alignment horizontal="center"/>
    </xf>
    <xf numFmtId="2" fontId="3390" fillId="3396" borderId="3344" xfId="0" applyNumberFormat="1" applyFont="1" applyFill="1" applyBorder="1" applyAlignment="1">
      <alignment horizontal="center"/>
    </xf>
    <xf numFmtId="2" fontId="3391" fillId="3397" borderId="3345" xfId="0" applyNumberFormat="1" applyFont="1" applyFill="1" applyBorder="1" applyAlignment="1">
      <alignment horizontal="center"/>
    </xf>
    <xf numFmtId="2" fontId="3392" fillId="3398" borderId="3346" xfId="0" applyNumberFormat="1" applyFont="1" applyFill="1" applyBorder="1" applyAlignment="1">
      <alignment horizontal="center"/>
    </xf>
    <xf numFmtId="2" fontId="3393" fillId="3399" borderId="3347" xfId="0" applyNumberFormat="1" applyFont="1" applyFill="1" applyBorder="1" applyAlignment="1">
      <alignment horizontal="center"/>
    </xf>
    <xf numFmtId="2" fontId="3394" fillId="3400" borderId="3348" xfId="0" applyNumberFormat="1" applyFont="1" applyFill="1" applyBorder="1" applyAlignment="1">
      <alignment horizontal="center"/>
    </xf>
    <xf numFmtId="2" fontId="3395" fillId="3401" borderId="3349" xfId="0" applyNumberFormat="1" applyFont="1" applyFill="1" applyBorder="1" applyAlignment="1">
      <alignment horizontal="center"/>
    </xf>
    <xf numFmtId="2" fontId="3396" fillId="3402" borderId="3350" xfId="0" applyNumberFormat="1" applyFont="1" applyFill="1" applyBorder="1" applyAlignment="1">
      <alignment horizontal="center"/>
    </xf>
    <xf numFmtId="2" fontId="3397" fillId="3403" borderId="3351" xfId="0" applyNumberFormat="1" applyFont="1" applyFill="1" applyBorder="1" applyAlignment="1">
      <alignment horizontal="center"/>
    </xf>
    <xf numFmtId="2" fontId="3398" fillId="3404" borderId="3352" xfId="0" applyNumberFormat="1" applyFont="1" applyFill="1" applyBorder="1" applyAlignment="1">
      <alignment horizontal="center"/>
    </xf>
    <xf numFmtId="2" fontId="3399" fillId="3405" borderId="3353" xfId="0" applyNumberFormat="1" applyFont="1" applyFill="1" applyBorder="1" applyAlignment="1">
      <alignment horizontal="center"/>
    </xf>
    <xf numFmtId="2" fontId="3400" fillId="3406" borderId="3354" xfId="0" applyNumberFormat="1" applyFont="1" applyFill="1" applyBorder="1" applyAlignment="1">
      <alignment horizontal="center"/>
    </xf>
    <xf numFmtId="2" fontId="3401" fillId="3407" borderId="3355" xfId="0" applyNumberFormat="1" applyFont="1" applyFill="1" applyBorder="1" applyAlignment="1">
      <alignment horizontal="center"/>
    </xf>
    <xf numFmtId="2" fontId="3402" fillId="3408" borderId="3356" xfId="0" applyNumberFormat="1" applyFont="1" applyFill="1" applyBorder="1" applyAlignment="1">
      <alignment horizontal="center"/>
    </xf>
    <xf numFmtId="2" fontId="3403" fillId="3409" borderId="3357" xfId="0" applyNumberFormat="1" applyFont="1" applyFill="1" applyBorder="1" applyAlignment="1">
      <alignment horizontal="center"/>
    </xf>
    <xf numFmtId="0" fontId="3408" fillId="3414" borderId="3362" xfId="0" applyFont="1" applyFill="1" applyBorder="1" applyAlignment="1">
      <alignment horizontal="center" vertical="center"/>
    </xf>
    <xf numFmtId="0" fontId="3409" fillId="3415" borderId="3363" xfId="0" applyFont="1" applyFill="1" applyBorder="1" applyAlignment="1">
      <alignment horizontal="center" vertical="center"/>
    </xf>
    <xf numFmtId="0" fontId="3410" fillId="3416" borderId="3364" xfId="0" applyFont="1" applyFill="1" applyBorder="1" applyAlignment="1">
      <alignment horizontal="center" vertical="center"/>
    </xf>
    <xf numFmtId="0" fontId="3411" fillId="3417" borderId="3365" xfId="0" applyFont="1" applyFill="1" applyBorder="1" applyAlignment="1">
      <alignment horizontal="center" vertical="center"/>
    </xf>
    <xf numFmtId="0" fontId="3412" fillId="3418" borderId="3366" xfId="0" applyFont="1" applyFill="1" applyBorder="1" applyAlignment="1">
      <alignment vertical="center"/>
    </xf>
    <xf numFmtId="0" fontId="3413" fillId="3419" borderId="3367" xfId="0" applyFont="1" applyFill="1" applyBorder="1" applyAlignment="1">
      <alignment vertical="center"/>
    </xf>
    <xf numFmtId="0" fontId="3414" fillId="3420" borderId="3368" xfId="0" applyFont="1" applyFill="1" applyBorder="1" applyAlignment="1">
      <alignment vertical="center"/>
    </xf>
    <xf numFmtId="0" fontId="3415" fillId="3421" borderId="3369" xfId="0" applyFont="1" applyFill="1" applyBorder="1" applyAlignment="1">
      <alignment vertical="center"/>
    </xf>
    <xf numFmtId="0" fontId="3416" fillId="3422" borderId="3370" xfId="0" applyFont="1" applyFill="1" applyBorder="1" applyAlignment="1">
      <alignment vertical="center"/>
    </xf>
    <xf numFmtId="0" fontId="3417" fillId="3423" borderId="3371" xfId="0" applyFont="1" applyFill="1" applyBorder="1" applyAlignment="1">
      <alignment vertical="center"/>
    </xf>
    <xf numFmtId="0" fontId="3418" fillId="3424" borderId="3372" xfId="0" applyFont="1" applyFill="1" applyBorder="1" applyAlignment="1">
      <alignment vertical="center"/>
    </xf>
    <xf numFmtId="0" fontId="3419" fillId="3425" borderId="3373" xfId="0" applyFont="1" applyFill="1" applyBorder="1" applyAlignment="1">
      <alignment vertical="center"/>
    </xf>
    <xf numFmtId="0" fontId="3420" fillId="3426" borderId="3374" xfId="0" applyFont="1" applyFill="1" applyBorder="1" applyAlignment="1">
      <alignment vertical="center"/>
    </xf>
    <xf numFmtId="0" fontId="3421" fillId="3427" borderId="3375" xfId="0" applyFont="1" applyFill="1" applyBorder="1" applyAlignment="1">
      <alignment vertical="center"/>
    </xf>
    <xf numFmtId="0" fontId="3422" fillId="3428" borderId="3376" xfId="0" applyFont="1" applyFill="1" applyBorder="1" applyAlignment="1">
      <alignment vertical="center"/>
    </xf>
    <xf numFmtId="0" fontId="3423" fillId="3429" borderId="3377" xfId="0" applyFont="1" applyFill="1" applyBorder="1" applyAlignment="1">
      <alignment vertical="center"/>
    </xf>
    <xf numFmtId="0" fontId="3424" fillId="3430" borderId="3378" xfId="0" applyFont="1" applyFill="1" applyBorder="1" applyAlignment="1">
      <alignment vertical="center"/>
    </xf>
    <xf numFmtId="0" fontId="3425" fillId="3431" borderId="3379" xfId="0" applyFont="1" applyFill="1" applyBorder="1" applyAlignment="1">
      <alignment vertical="center"/>
    </xf>
    <xf numFmtId="0" fontId="3426" fillId="3432" borderId="3380" xfId="0" applyFont="1" applyFill="1" applyBorder="1" applyAlignment="1">
      <alignment vertical="center"/>
    </xf>
    <xf numFmtId="0" fontId="3427" fillId="3433" borderId="3381" xfId="0" applyFont="1" applyFill="1" applyBorder="1" applyAlignment="1">
      <alignment vertical="center"/>
    </xf>
    <xf numFmtId="0" fontId="3428" fillId="3434" borderId="3382" xfId="0" applyFont="1" applyFill="1" applyBorder="1" applyAlignment="1">
      <alignment vertical="center"/>
    </xf>
    <xf numFmtId="0" fontId="3429" fillId="3435" borderId="3383" xfId="0" applyFont="1" applyFill="1" applyBorder="1" applyAlignment="1">
      <alignment vertical="center"/>
    </xf>
    <xf numFmtId="0" fontId="3430" fillId="3436" borderId="3384" xfId="0" applyFont="1" applyFill="1" applyBorder="1" applyAlignment="1">
      <alignment vertical="center"/>
    </xf>
    <xf numFmtId="0" fontId="3431" fillId="3437" borderId="3385" xfId="0" applyFont="1" applyFill="1" applyBorder="1" applyAlignment="1">
      <alignment vertical="center"/>
    </xf>
    <xf numFmtId="0" fontId="3432" fillId="3438" borderId="3386" xfId="0" applyFont="1" applyFill="1" applyBorder="1" applyAlignment="1">
      <alignment vertical="center"/>
    </xf>
    <xf numFmtId="0" fontId="3433" fillId="3439" borderId="3387" xfId="0" applyFont="1" applyFill="1" applyBorder="1" applyAlignment="1">
      <alignment vertical="center"/>
    </xf>
    <xf numFmtId="0" fontId="3434" fillId="3440" borderId="3388" xfId="0" applyFont="1" applyFill="1" applyBorder="1" applyAlignment="1">
      <alignment vertical="center"/>
    </xf>
    <xf numFmtId="0" fontId="3435" fillId="3441" borderId="3389" xfId="0" applyFont="1" applyFill="1" applyBorder="1" applyAlignment="1">
      <alignment vertical="center"/>
    </xf>
    <xf numFmtId="0" fontId="3436" fillId="3442" borderId="3390" xfId="0" applyFont="1" applyFill="1" applyBorder="1" applyAlignment="1">
      <alignment vertical="center"/>
    </xf>
    <xf numFmtId="0" fontId="3437" fillId="3443" borderId="3391" xfId="0" applyFont="1" applyFill="1" applyBorder="1" applyAlignment="1">
      <alignment vertical="center"/>
    </xf>
    <xf numFmtId="0" fontId="3438" fillId="3444" borderId="3392" xfId="0" applyFont="1" applyFill="1" applyBorder="1" applyAlignment="1">
      <alignment vertical="center"/>
    </xf>
    <xf numFmtId="0" fontId="3439" fillId="3445" borderId="3393" xfId="0" applyFont="1" applyFill="1" applyBorder="1" applyAlignment="1">
      <alignment vertical="center"/>
    </xf>
    <xf numFmtId="0" fontId="3440" fillId="3446" borderId="3394" xfId="0" applyFont="1" applyFill="1" applyBorder="1" applyAlignment="1">
      <alignment vertical="center"/>
    </xf>
    <xf numFmtId="0" fontId="3441" fillId="3447" borderId="3395" xfId="0" applyFont="1" applyFill="1" applyBorder="1" applyAlignment="1">
      <alignment vertical="center"/>
    </xf>
    <xf numFmtId="0" fontId="3442" fillId="3448" borderId="3396" xfId="0" applyFont="1" applyFill="1" applyBorder="1" applyAlignment="1">
      <alignment vertical="center"/>
    </xf>
    <xf numFmtId="0" fontId="3443" fillId="3449" borderId="3397" xfId="0" applyFont="1" applyFill="1" applyBorder="1" applyAlignment="1">
      <alignment vertical="center"/>
    </xf>
    <xf numFmtId="0" fontId="3444" fillId="3450" borderId="3398" xfId="0" applyFont="1" applyFill="1" applyBorder="1" applyAlignment="1">
      <alignment vertical="center"/>
    </xf>
    <xf numFmtId="0" fontId="3445" fillId="3451" borderId="3399" xfId="0" applyFont="1" applyFill="1" applyBorder="1" applyAlignment="1">
      <alignment vertical="center"/>
    </xf>
    <xf numFmtId="0" fontId="3446" fillId="3452" borderId="3400" xfId="0" applyFont="1" applyFill="1" applyBorder="1" applyAlignment="1">
      <alignment vertical="center"/>
    </xf>
    <xf numFmtId="0" fontId="3447" fillId="3453" borderId="3401" xfId="0" applyFont="1" applyFill="1" applyBorder="1" applyAlignment="1">
      <alignment vertical="center"/>
    </xf>
    <xf numFmtId="0" fontId="3448" fillId="3454" borderId="3402" xfId="0" applyFont="1" applyFill="1" applyBorder="1" applyAlignment="1">
      <alignment vertical="center"/>
    </xf>
    <xf numFmtId="0" fontId="3449" fillId="3455" borderId="3403" xfId="0" applyFont="1" applyFill="1" applyBorder="1" applyAlignment="1">
      <alignment vertical="center"/>
    </xf>
    <xf numFmtId="0" fontId="3450" fillId="3456" borderId="3404" xfId="0" applyFont="1" applyFill="1" applyBorder="1" applyAlignment="1">
      <alignment vertical="center"/>
    </xf>
    <xf numFmtId="0" fontId="3451" fillId="3457" borderId="3405" xfId="0" applyFont="1" applyFill="1" applyBorder="1" applyAlignment="1">
      <alignment vertical="center"/>
    </xf>
    <xf numFmtId="0" fontId="3452" fillId="3458" borderId="3406" xfId="0" applyFont="1" applyFill="1" applyBorder="1" applyAlignment="1">
      <alignment vertical="center"/>
    </xf>
    <xf numFmtId="0" fontId="3453" fillId="3459" borderId="3407" xfId="0" applyFont="1" applyFill="1" applyBorder="1" applyAlignment="1">
      <alignment vertical="center"/>
    </xf>
    <xf numFmtId="0" fontId="3454" fillId="3460" borderId="3408" xfId="0" applyFont="1" applyFill="1" applyBorder="1" applyAlignment="1">
      <alignment vertical="center"/>
    </xf>
    <xf numFmtId="0" fontId="3455" fillId="3461" borderId="3409" xfId="0" applyFont="1" applyFill="1" applyBorder="1" applyAlignment="1">
      <alignment vertical="center"/>
    </xf>
    <xf numFmtId="0" fontId="3456" fillId="3462" borderId="3410" xfId="0" applyFont="1" applyFill="1" applyBorder="1" applyAlignment="1">
      <alignment vertical="center"/>
    </xf>
    <xf numFmtId="0" fontId="3457" fillId="3463" borderId="3411" xfId="0" applyFont="1" applyFill="1" applyBorder="1" applyAlignment="1">
      <alignment vertical="center"/>
    </xf>
    <xf numFmtId="0" fontId="3458" fillId="3464" borderId="3412" xfId="0" applyFont="1" applyFill="1" applyBorder="1" applyAlignment="1">
      <alignment vertical="center"/>
    </xf>
    <xf numFmtId="0" fontId="3459" fillId="3465" borderId="3413" xfId="0" applyFont="1" applyFill="1" applyBorder="1" applyAlignment="1">
      <alignment vertical="center"/>
    </xf>
    <xf numFmtId="0" fontId="3460" fillId="3466" borderId="3414" xfId="0" applyFont="1" applyFill="1" applyBorder="1" applyAlignment="1">
      <alignment vertical="center"/>
    </xf>
    <xf numFmtId="0" fontId="3461" fillId="3467" borderId="3415" xfId="0" applyFont="1" applyFill="1" applyBorder="1" applyAlignment="1">
      <alignment vertical="center"/>
    </xf>
    <xf numFmtId="0" fontId="3462" fillId="3468" borderId="3416" xfId="0" applyFont="1" applyFill="1" applyBorder="1" applyAlignment="1">
      <alignment vertical="center"/>
    </xf>
    <xf numFmtId="0" fontId="3463" fillId="3469" borderId="3417" xfId="0" applyFont="1" applyFill="1" applyBorder="1" applyAlignment="1">
      <alignment vertical="center"/>
    </xf>
    <xf numFmtId="0" fontId="3464" fillId="3470" borderId="3418" xfId="0" applyFont="1" applyFill="1" applyBorder="1" applyAlignment="1">
      <alignment vertical="center"/>
    </xf>
    <xf numFmtId="0" fontId="3465" fillId="3471" borderId="3419" xfId="0" applyFont="1" applyFill="1" applyBorder="1" applyAlignment="1">
      <alignment vertical="center"/>
    </xf>
    <xf numFmtId="0" fontId="3466" fillId="3472" borderId="3420" xfId="0" applyFont="1" applyFill="1" applyBorder="1" applyAlignment="1">
      <alignment vertical="center"/>
    </xf>
    <xf numFmtId="0" fontId="3467" fillId="3473" borderId="3421" xfId="0" applyFont="1" applyFill="1" applyBorder="1" applyAlignment="1">
      <alignment vertical="center"/>
    </xf>
    <xf numFmtId="0" fontId="3468" fillId="3474" borderId="3422" xfId="0" applyFont="1" applyFill="1" applyBorder="1" applyAlignment="1">
      <alignment vertical="center"/>
    </xf>
    <xf numFmtId="0" fontId="3469" fillId="3475" borderId="3423" xfId="0" applyFont="1" applyFill="1" applyBorder="1" applyAlignment="1">
      <alignment vertical="center"/>
    </xf>
    <xf numFmtId="0" fontId="3470" fillId="3476" borderId="3424" xfId="0" applyFont="1" applyFill="1" applyBorder="1" applyAlignment="1">
      <alignment vertical="center"/>
    </xf>
    <xf numFmtId="0" fontId="3471" fillId="3477" borderId="3425" xfId="0" applyFont="1" applyFill="1" applyBorder="1" applyAlignment="1">
      <alignment vertical="center"/>
    </xf>
    <xf numFmtId="0" fontId="3472" fillId="3478" borderId="3426" xfId="0" applyFont="1" applyFill="1" applyBorder="1" applyAlignment="1">
      <alignment vertical="center"/>
    </xf>
    <xf numFmtId="0" fontId="3473" fillId="3479" borderId="3427" xfId="0" applyFont="1" applyFill="1" applyBorder="1" applyAlignment="1">
      <alignment vertical="center"/>
    </xf>
    <xf numFmtId="0" fontId="3474" fillId="3480" borderId="3428" xfId="0" applyFont="1" applyFill="1" applyBorder="1" applyAlignment="1">
      <alignment vertical="center"/>
    </xf>
    <xf numFmtId="0" fontId="3475" fillId="3481" borderId="3429" xfId="0" applyFont="1" applyFill="1" applyBorder="1" applyAlignment="1">
      <alignment vertical="center"/>
    </xf>
    <xf numFmtId="0" fontId="3476" fillId="3482" borderId="3430" xfId="0" applyFont="1" applyFill="1" applyBorder="1" applyAlignment="1">
      <alignment vertical="center"/>
    </xf>
    <xf numFmtId="0" fontId="3477" fillId="3483" borderId="3431" xfId="0" applyFont="1" applyFill="1" applyBorder="1" applyAlignment="1">
      <alignment vertical="center"/>
    </xf>
    <xf numFmtId="0" fontId="3478" fillId="3484" borderId="3432" xfId="0" applyFont="1" applyFill="1" applyBorder="1" applyAlignment="1">
      <alignment vertical="center"/>
    </xf>
    <xf numFmtId="0" fontId="3479" fillId="3485" borderId="3433" xfId="0" applyFont="1" applyFill="1" applyBorder="1" applyAlignment="1">
      <alignment vertical="center"/>
    </xf>
    <xf numFmtId="0" fontId="3480" fillId="3486" borderId="3434" xfId="0" applyFont="1" applyFill="1" applyBorder="1" applyAlignment="1">
      <alignment vertical="center"/>
    </xf>
    <xf numFmtId="0" fontId="3481" fillId="3487" borderId="3435" xfId="0" applyFont="1" applyFill="1" applyBorder="1" applyAlignment="1">
      <alignment vertical="center"/>
    </xf>
    <xf numFmtId="0" fontId="3482" fillId="3488" borderId="3436" xfId="0" applyFont="1" applyFill="1" applyBorder="1" applyAlignment="1">
      <alignment vertical="center"/>
    </xf>
    <xf numFmtId="0" fontId="3483" fillId="3489" borderId="3437" xfId="0" applyFont="1" applyFill="1" applyBorder="1" applyAlignment="1">
      <alignment vertical="center"/>
    </xf>
    <xf numFmtId="0" fontId="3484" fillId="3490" borderId="3438" xfId="0" applyFont="1" applyFill="1" applyBorder="1" applyAlignment="1">
      <alignment vertical="center"/>
    </xf>
    <xf numFmtId="0" fontId="3485" fillId="3491" borderId="3439" xfId="0" applyFont="1" applyFill="1" applyBorder="1" applyAlignment="1">
      <alignment vertical="center"/>
    </xf>
    <xf numFmtId="0" fontId="3486" fillId="3492" borderId="3440" xfId="0" applyFont="1" applyFill="1" applyBorder="1" applyAlignment="1">
      <alignment vertical="center"/>
    </xf>
    <xf numFmtId="0" fontId="3487" fillId="3493" borderId="3441" xfId="0" applyFont="1" applyFill="1" applyBorder="1" applyAlignment="1">
      <alignment vertical="center"/>
    </xf>
    <xf numFmtId="0" fontId="3488" fillId="3494" borderId="3442" xfId="0" applyFont="1" applyFill="1" applyBorder="1" applyAlignment="1">
      <alignment vertical="center"/>
    </xf>
    <xf numFmtId="0" fontId="3489" fillId="3495" borderId="3443" xfId="0" applyFont="1" applyFill="1" applyBorder="1" applyAlignment="1">
      <alignment vertical="center"/>
    </xf>
    <xf numFmtId="0" fontId="3490" fillId="3496" borderId="3444" xfId="0" applyFont="1" applyFill="1" applyBorder="1" applyAlignment="1">
      <alignment vertical="center"/>
    </xf>
    <xf numFmtId="0" fontId="3491" fillId="3497" borderId="3445" xfId="0" applyFont="1" applyFill="1" applyBorder="1" applyAlignment="1">
      <alignment vertical="center"/>
    </xf>
    <xf numFmtId="0" fontId="3492" fillId="3498" borderId="3446" xfId="0" applyFont="1" applyFill="1" applyBorder="1" applyAlignment="1">
      <alignment vertical="center"/>
    </xf>
    <xf numFmtId="0" fontId="3493" fillId="3499" borderId="3447" xfId="0" applyFont="1" applyFill="1" applyBorder="1" applyAlignment="1">
      <alignment vertical="center"/>
    </xf>
    <xf numFmtId="0" fontId="3494" fillId="3500" borderId="3448" xfId="0" applyFont="1" applyFill="1" applyBorder="1" applyAlignment="1">
      <alignment vertical="center"/>
    </xf>
    <xf numFmtId="0" fontId="3495" fillId="3501" borderId="3449" xfId="0" applyFont="1" applyFill="1" applyBorder="1" applyAlignment="1">
      <alignment vertical="center"/>
    </xf>
    <xf numFmtId="0" fontId="3496" fillId="3502" borderId="3450" xfId="0" applyFont="1" applyFill="1" applyBorder="1" applyAlignment="1">
      <alignment vertical="center"/>
    </xf>
    <xf numFmtId="0" fontId="3497" fillId="3503" borderId="3451" xfId="0" applyFont="1" applyFill="1" applyBorder="1" applyAlignment="1">
      <alignment vertical="center"/>
    </xf>
    <xf numFmtId="0" fontId="3498" fillId="3504" borderId="3452" xfId="0" applyFont="1" applyFill="1" applyBorder="1" applyAlignment="1">
      <alignment vertical="center"/>
    </xf>
    <xf numFmtId="0" fontId="3499" fillId="3505" borderId="3453" xfId="0" applyFont="1" applyFill="1" applyBorder="1" applyAlignment="1">
      <alignment vertical="center"/>
    </xf>
    <xf numFmtId="0" fontId="3500" fillId="3506" borderId="3454" xfId="0" applyFont="1" applyFill="1" applyBorder="1" applyAlignment="1">
      <alignment vertical="center"/>
    </xf>
    <xf numFmtId="0" fontId="3501" fillId="3507" borderId="3455" xfId="0" applyFont="1" applyFill="1" applyBorder="1" applyAlignment="1">
      <alignment vertical="center"/>
    </xf>
    <xf numFmtId="0" fontId="3502" fillId="3508" borderId="3456" xfId="0" applyFont="1" applyFill="1" applyBorder="1" applyAlignment="1">
      <alignment vertical="center"/>
    </xf>
    <xf numFmtId="0" fontId="3503" fillId="3509" borderId="3457" xfId="0" applyFont="1" applyFill="1" applyBorder="1" applyAlignment="1">
      <alignment vertical="center"/>
    </xf>
    <xf numFmtId="0" fontId="3504" fillId="3510" borderId="3458" xfId="0" applyFont="1" applyFill="1" applyBorder="1" applyAlignment="1">
      <alignment vertical="center"/>
    </xf>
    <xf numFmtId="0" fontId="3505" fillId="3511" borderId="3459" xfId="0" applyFont="1" applyFill="1" applyBorder="1" applyAlignment="1">
      <alignment vertical="center"/>
    </xf>
    <xf numFmtId="0" fontId="3506" fillId="3512" borderId="3460" xfId="0" applyFont="1" applyFill="1" applyBorder="1" applyAlignment="1">
      <alignment vertical="center"/>
    </xf>
    <xf numFmtId="0" fontId="3507" fillId="3513" borderId="3461" xfId="0" applyFont="1" applyFill="1" applyBorder="1" applyAlignment="1">
      <alignment vertical="center"/>
    </xf>
    <xf numFmtId="0" fontId="3508" fillId="3514" borderId="3462" xfId="0" applyFont="1" applyFill="1" applyBorder="1" applyAlignment="1">
      <alignment vertical="center"/>
    </xf>
    <xf numFmtId="0" fontId="3509" fillId="3515" borderId="3463" xfId="0" applyFont="1" applyFill="1" applyBorder="1" applyAlignment="1">
      <alignment vertical="center"/>
    </xf>
    <xf numFmtId="0" fontId="3510" fillId="3516" borderId="3464" xfId="0" applyFont="1" applyFill="1" applyBorder="1" applyAlignment="1">
      <alignment vertical="center"/>
    </xf>
    <xf numFmtId="0" fontId="3511" fillId="3517" borderId="3465" xfId="0" applyFont="1" applyFill="1" applyBorder="1" applyAlignment="1">
      <alignment vertical="center"/>
    </xf>
    <xf numFmtId="0" fontId="3512" fillId="3518" borderId="3466" xfId="0" applyFont="1" applyFill="1" applyBorder="1" applyAlignment="1">
      <alignment vertical="center"/>
    </xf>
    <xf numFmtId="0" fontId="3513" fillId="3519" borderId="3467" xfId="0" applyFont="1" applyFill="1" applyBorder="1" applyAlignment="1">
      <alignment vertical="center"/>
    </xf>
    <xf numFmtId="0" fontId="3514" fillId="3520" borderId="3468" xfId="0" applyFont="1" applyFill="1" applyBorder="1" applyAlignment="1">
      <alignment vertical="center"/>
    </xf>
    <xf numFmtId="0" fontId="3515" fillId="3521" borderId="3469" xfId="0" applyFont="1" applyFill="1" applyBorder="1" applyAlignment="1">
      <alignment vertical="center"/>
    </xf>
    <xf numFmtId="0" fontId="3516" fillId="3522" borderId="3470" xfId="0" applyFont="1" applyFill="1" applyBorder="1" applyAlignment="1">
      <alignment vertical="center"/>
    </xf>
    <xf numFmtId="0" fontId="3517" fillId="3523" borderId="3471" xfId="0" applyFont="1" applyFill="1" applyBorder="1" applyAlignment="1">
      <alignment vertical="center"/>
    </xf>
    <xf numFmtId="0" fontId="3518" fillId="3524" borderId="3472" xfId="0" applyFont="1" applyFill="1" applyBorder="1" applyAlignment="1">
      <alignment vertical="center"/>
    </xf>
    <xf numFmtId="0" fontId="3519" fillId="3525" borderId="3473" xfId="0" applyFont="1" applyFill="1" applyBorder="1" applyAlignment="1">
      <alignment vertical="center"/>
    </xf>
    <xf numFmtId="0" fontId="3520" fillId="3526" borderId="3474" xfId="0" applyFont="1" applyFill="1" applyBorder="1" applyAlignment="1">
      <alignment vertical="center"/>
    </xf>
    <xf numFmtId="0" fontId="3521" fillId="3527" borderId="3475" xfId="0" applyFont="1" applyFill="1" applyBorder="1" applyAlignment="1">
      <alignment vertical="center"/>
    </xf>
    <xf numFmtId="0" fontId="3522" fillId="3528" borderId="3476" xfId="0" applyFont="1" applyFill="1" applyBorder="1" applyAlignment="1">
      <alignment vertical="center"/>
    </xf>
    <xf numFmtId="0" fontId="3523" fillId="3529" borderId="3477" xfId="0" applyFont="1" applyFill="1" applyBorder="1" applyAlignment="1">
      <alignment vertical="center"/>
    </xf>
    <xf numFmtId="0" fontId="3524" fillId="3530" borderId="3478" xfId="0" applyFont="1" applyFill="1" applyBorder="1" applyAlignment="1">
      <alignment vertical="center"/>
    </xf>
    <xf numFmtId="0" fontId="3525" fillId="3531" borderId="3479" xfId="0" applyFont="1" applyFill="1" applyBorder="1" applyAlignment="1">
      <alignment vertical="center"/>
    </xf>
    <xf numFmtId="0" fontId="3526" fillId="3532" borderId="3480" xfId="0" applyFont="1" applyFill="1" applyBorder="1" applyAlignment="1">
      <alignment vertical="center"/>
    </xf>
    <xf numFmtId="0" fontId="3527" fillId="3533" borderId="3481" xfId="0" applyFont="1" applyFill="1" applyBorder="1" applyAlignment="1">
      <alignment vertical="center"/>
    </xf>
    <xf numFmtId="0" fontId="3528" fillId="3534" borderId="3482" xfId="0" applyFont="1" applyFill="1" applyBorder="1" applyAlignment="1">
      <alignment vertical="center"/>
    </xf>
    <xf numFmtId="0" fontId="3529" fillId="3535" borderId="3483" xfId="0" applyFont="1" applyFill="1" applyBorder="1" applyAlignment="1">
      <alignment vertical="center"/>
    </xf>
    <xf numFmtId="0" fontId="3530" fillId="3536" borderId="3484" xfId="0" applyFont="1" applyFill="1" applyBorder="1" applyAlignment="1">
      <alignment vertical="center"/>
    </xf>
    <xf numFmtId="0" fontId="3531" fillId="3537" borderId="3485" xfId="0" applyFont="1" applyFill="1" applyBorder="1" applyAlignment="1">
      <alignment vertical="center"/>
    </xf>
    <xf numFmtId="0" fontId="3532" fillId="3538" borderId="3486" xfId="0" applyFont="1" applyFill="1" applyBorder="1" applyAlignment="1">
      <alignment vertical="center"/>
    </xf>
    <xf numFmtId="0" fontId="3533" fillId="3539" borderId="3487" xfId="0" applyFont="1" applyFill="1" applyBorder="1" applyAlignment="1">
      <alignment vertical="center"/>
    </xf>
    <xf numFmtId="0" fontId="3534" fillId="3540" borderId="3488" xfId="0" applyFont="1" applyFill="1" applyBorder="1" applyAlignment="1">
      <alignment vertical="center"/>
    </xf>
    <xf numFmtId="0" fontId="3535" fillId="3541" borderId="3489" xfId="0" applyFont="1" applyFill="1" applyBorder="1" applyAlignment="1">
      <alignment vertical="center"/>
    </xf>
    <xf numFmtId="0" fontId="3536" fillId="3542" borderId="3490" xfId="0" applyFont="1" applyFill="1" applyBorder="1" applyAlignment="1">
      <alignment vertical="center"/>
    </xf>
    <xf numFmtId="0" fontId="3537" fillId="3543" borderId="3491" xfId="0" applyFont="1" applyFill="1" applyBorder="1" applyAlignment="1">
      <alignment vertical="center"/>
    </xf>
    <xf numFmtId="0" fontId="3538" fillId="3544" borderId="3492" xfId="0" applyFont="1" applyFill="1" applyBorder="1" applyAlignment="1">
      <alignment vertical="center"/>
    </xf>
    <xf numFmtId="0" fontId="3539" fillId="3545" borderId="3493" xfId="0" applyFont="1" applyFill="1" applyBorder="1" applyAlignment="1">
      <alignment vertical="center"/>
    </xf>
    <xf numFmtId="0" fontId="2920" fillId="2920" borderId="2864" xfId="0" applyFont="1" applyFill="1" applyBorder="1" applyAlignment="1">
      <alignment horizontal="center" vertical="center"/>
    </xf>
    <xf numFmtId="0" fontId="2921" fillId="2921" borderId="2865" xfId="0" applyFont="1" applyFill="1" applyBorder="1" applyAlignment="1">
      <alignment horizontal="center" vertical="center"/>
    </xf>
    <xf numFmtId="0" fontId="2922" fillId="2922" borderId="2866" xfId="0" applyFont="1" applyFill="1" applyBorder="1" applyAlignment="1">
      <alignment horizontal="center" vertical="center"/>
    </xf>
    <xf numFmtId="0" fontId="2923" fillId="2923" borderId="2867" xfId="0" applyFont="1" applyFill="1" applyBorder="1" applyAlignment="1">
      <alignment horizontal="center" vertical="center"/>
    </xf>
    <xf numFmtId="0" fontId="2924" fillId="2924" borderId="2868" xfId="0" applyFont="1" applyFill="1" applyBorder="1" applyAlignment="1">
      <alignment horizontal="center" vertical="center"/>
    </xf>
    <xf numFmtId="0" fontId="2925" fillId="2925" borderId="2869" xfId="0" applyFont="1" applyFill="1" applyBorder="1" applyAlignment="1">
      <alignment horizontal="center" vertical="center"/>
    </xf>
    <xf numFmtId="0" fontId="2926" fillId="2926" borderId="2870" xfId="0" applyFont="1" applyFill="1" applyBorder="1" applyAlignment="1">
      <alignment horizontal="center" vertical="center"/>
    </xf>
    <xf numFmtId="0" fontId="2927" fillId="2927" borderId="2871" xfId="0" applyFont="1" applyFill="1" applyBorder="1" applyAlignment="1">
      <alignment horizontal="center" vertical="center"/>
    </xf>
    <xf numFmtId="0" fontId="2928" fillId="2928" borderId="2872" xfId="0" applyFont="1" applyFill="1" applyBorder="1" applyAlignment="1">
      <alignment horizontal="center" vertical="center"/>
    </xf>
    <xf numFmtId="0" fontId="2643" fillId="2643" borderId="2587" xfId="0" applyFont="1" applyFill="1" applyBorder="1" applyAlignment="1">
      <alignment horizontal="center" vertical="center"/>
    </xf>
    <xf numFmtId="0" fontId="2909" fillId="2909" borderId="2853" xfId="0" applyFont="1" applyFill="1" applyBorder="1" applyAlignment="1">
      <alignment horizontal="center" vertical="center"/>
    </xf>
    <xf numFmtId="0" fontId="2910" fillId="2910" borderId="2854" xfId="0" applyFont="1" applyFill="1" applyBorder="1"/>
    <xf numFmtId="0" fontId="560" fillId="557" borderId="553" xfId="0" applyFont="1" applyFill="1" applyBorder="1" applyAlignment="1">
      <alignment vertical="center"/>
    </xf>
    <xf numFmtId="0" fontId="603" fillId="601" borderId="595" xfId="0" applyFont="1" applyFill="1" applyBorder="1"/>
    <xf numFmtId="0" fontId="604" fillId="602" borderId="596" xfId="0" applyFont="1" applyFill="1" applyBorder="1"/>
    <xf numFmtId="0" fontId="605" fillId="603" borderId="597" xfId="0" applyFont="1" applyFill="1" applyBorder="1"/>
    <xf numFmtId="0" fontId="606" fillId="604" borderId="598" xfId="0" applyFont="1" applyFill="1" applyBorder="1"/>
    <xf numFmtId="0" fontId="607" fillId="605" borderId="599" xfId="0" applyFont="1" applyFill="1" applyBorder="1"/>
    <xf numFmtId="0" fontId="608" fillId="606" borderId="600" xfId="0" applyFont="1" applyFill="1" applyBorder="1"/>
    <xf numFmtId="0" fontId="609" fillId="607" borderId="601" xfId="0" applyFont="1" applyFill="1" applyBorder="1"/>
    <xf numFmtId="0" fontId="610" fillId="608" borderId="602" xfId="0" applyFont="1" applyFill="1" applyBorder="1"/>
    <xf numFmtId="0" fontId="611" fillId="609" borderId="603" xfId="0" applyFont="1" applyFill="1" applyBorder="1"/>
    <xf numFmtId="0" fontId="208" fillId="205" borderId="202" xfId="0" applyFont="1" applyFill="1" applyBorder="1" applyAlignment="1">
      <alignment horizontal="center" vertical="center"/>
    </xf>
    <xf numFmtId="0" fontId="399" fillId="396" borderId="392" xfId="0" applyFont="1" applyFill="1" applyBorder="1"/>
    <xf numFmtId="0" fontId="400" fillId="397" borderId="393" xfId="0" applyFont="1" applyFill="1" applyBorder="1"/>
    <xf numFmtId="0" fontId="401" fillId="398" borderId="394" xfId="0" applyFont="1" applyFill="1" applyBorder="1"/>
    <xf numFmtId="0" fontId="402" fillId="399" borderId="395" xfId="0" applyFont="1" applyFill="1" applyBorder="1"/>
    <xf numFmtId="0" fontId="403" fillId="400" borderId="396" xfId="0" applyFont="1" applyFill="1" applyBorder="1"/>
    <xf numFmtId="0" fontId="404" fillId="401" borderId="397" xfId="0" applyFont="1" applyFill="1" applyBorder="1"/>
    <xf numFmtId="0" fontId="405" fillId="402" borderId="398" xfId="0" applyFont="1" applyFill="1" applyBorder="1"/>
    <xf numFmtId="0" fontId="406" fillId="403" borderId="399" xfId="0" applyFont="1" applyFill="1" applyBorder="1"/>
    <xf numFmtId="0" fontId="407" fillId="404" borderId="400" xfId="0" applyFont="1" applyFill="1" applyBorder="1"/>
    <xf numFmtId="0" fontId="209" fillId="206" borderId="203" xfId="0" applyFont="1" applyFill="1" applyBorder="1" applyAlignment="1">
      <alignment vertical="center"/>
    </xf>
    <xf numFmtId="0" fontId="418" fillId="415" borderId="411" xfId="0" applyFont="1" applyFill="1" applyBorder="1"/>
    <xf numFmtId="0" fontId="419" fillId="416" borderId="412" xfId="0" applyFont="1" applyFill="1" applyBorder="1"/>
    <xf numFmtId="0" fontId="420" fillId="417" borderId="413" xfId="0" applyFont="1" applyFill="1" applyBorder="1"/>
    <xf numFmtId="0" fontId="221" fillId="218" borderId="215" xfId="0" applyFont="1" applyFill="1" applyBorder="1" applyAlignment="1">
      <alignment horizontal="center" vertical="center"/>
    </xf>
    <xf numFmtId="0" fontId="421" fillId="418" borderId="414" xfId="0" applyFont="1" applyFill="1" applyBorder="1"/>
    <xf numFmtId="0" fontId="422" fillId="419" borderId="415" xfId="0" applyFont="1" applyFill="1" applyBorder="1"/>
    <xf numFmtId="0" fontId="423" fillId="420" borderId="416" xfId="0" applyFont="1" applyFill="1" applyBorder="1"/>
    <xf numFmtId="0" fontId="424" fillId="421" borderId="417" xfId="0" applyFont="1" applyFill="1" applyBorder="1"/>
    <xf numFmtId="0" fontId="425" fillId="422" borderId="418" xfId="0" applyFont="1" applyFill="1" applyBorder="1"/>
    <xf numFmtId="0" fontId="220" fillId="217" borderId="214" xfId="0" applyFont="1" applyFill="1" applyBorder="1" applyAlignment="1">
      <alignment horizontal="center" vertical="center"/>
    </xf>
    <xf numFmtId="0" fontId="428" fillId="425" borderId="421" xfId="0" applyFont="1" applyFill="1" applyBorder="1"/>
    <xf numFmtId="0" fontId="429" fillId="426" borderId="422" xfId="0" applyFont="1" applyFill="1" applyBorder="1"/>
    <xf numFmtId="0" fontId="430" fillId="427" borderId="423" xfId="0" applyFont="1" applyFill="1" applyBorder="1"/>
    <xf numFmtId="0" fontId="431" fillId="428" borderId="424" xfId="0" applyFont="1" applyFill="1" applyBorder="1"/>
    <xf numFmtId="0" fontId="435" fillId="432" borderId="428" xfId="0" applyFont="1" applyFill="1" applyBorder="1"/>
    <xf numFmtId="0" fontId="436" fillId="433" borderId="429" xfId="0" applyFont="1" applyFill="1" applyBorder="1"/>
    <xf numFmtId="0" fontId="437" fillId="434" borderId="430" xfId="0" applyFont="1" applyFill="1" applyBorder="1"/>
    <xf numFmtId="0" fontId="438" fillId="435" borderId="431" xfId="0" applyFont="1" applyFill="1" applyBorder="1"/>
    <xf numFmtId="0" fontId="439" fillId="436" borderId="432" xfId="0" applyFont="1" applyFill="1" applyBorder="1"/>
    <xf numFmtId="0" fontId="443" fillId="440" borderId="436" xfId="0" applyFont="1" applyFill="1" applyBorder="1"/>
    <xf numFmtId="0" fontId="444" fillId="441" borderId="437" xfId="0" applyFont="1" applyFill="1" applyBorder="1"/>
    <xf numFmtId="0" fontId="445" fillId="442" borderId="438" xfId="0" applyFont="1" applyFill="1" applyBorder="1"/>
    <xf numFmtId="0" fontId="446" fillId="443" borderId="439" xfId="0" applyFont="1" applyFill="1" applyBorder="1"/>
    <xf numFmtId="0" fontId="447" fillId="444" borderId="440" xfId="0" applyFont="1" applyFill="1" applyBorder="1"/>
    <xf numFmtId="0" fontId="451" fillId="448" borderId="444" xfId="0" applyFont="1" applyFill="1" applyBorder="1"/>
    <xf numFmtId="0" fontId="452" fillId="449" borderId="445" xfId="0" applyFont="1" applyFill="1" applyBorder="1"/>
    <xf numFmtId="0" fontId="453" fillId="450" borderId="446" xfId="0" applyFont="1" applyFill="1" applyBorder="1"/>
    <xf numFmtId="0" fontId="454" fillId="451" borderId="447" xfId="0" applyFont="1" applyFill="1" applyBorder="1"/>
    <xf numFmtId="0" fontId="455" fillId="452" borderId="448" xfId="0" applyFont="1" applyFill="1" applyBorder="1"/>
    <xf numFmtId="0" fontId="459" fillId="456" borderId="452" xfId="0" applyFont="1" applyFill="1" applyBorder="1"/>
    <xf numFmtId="0" fontId="460" fillId="457" borderId="453" xfId="0" applyFont="1" applyFill="1" applyBorder="1"/>
    <xf numFmtId="0" fontId="461" fillId="458" borderId="454" xfId="0" applyFont="1" applyFill="1" applyBorder="1"/>
    <xf numFmtId="0" fontId="462" fillId="459" borderId="455" xfId="0" applyFont="1" applyFill="1" applyBorder="1"/>
    <xf numFmtId="0" fontId="463" fillId="460" borderId="456" xfId="0" applyFont="1" applyFill="1" applyBorder="1"/>
    <xf numFmtId="0" fontId="222" fillId="219" borderId="216" xfId="0" applyFont="1" applyFill="1" applyBorder="1" applyAlignment="1">
      <alignment vertical="center"/>
    </xf>
    <xf numFmtId="0" fontId="475" fillId="472" borderId="468" xfId="0" applyFont="1" applyFill="1" applyBorder="1"/>
    <xf numFmtId="0" fontId="476" fillId="473" borderId="469" xfId="0" applyFont="1" applyFill="1" applyBorder="1"/>
    <xf numFmtId="0" fontId="477" fillId="474" borderId="470" xfId="0" applyFont="1" applyFill="1" applyBorder="1"/>
    <xf numFmtId="0" fontId="478" fillId="475" borderId="471" xfId="0" applyFont="1" applyFill="1" applyBorder="1"/>
    <xf numFmtId="0" fontId="479" fillId="476" borderId="472" xfId="0" applyFont="1" applyFill="1" applyBorder="1"/>
    <xf numFmtId="0" fontId="480" fillId="477" borderId="473" xfId="0" applyFont="1" applyFill="1" applyBorder="1"/>
    <xf numFmtId="0" fontId="481" fillId="478" borderId="474" xfId="0" applyFont="1" applyFill="1" applyBorder="1"/>
    <xf numFmtId="0" fontId="482" fillId="479" borderId="475" xfId="0" applyFont="1" applyFill="1" applyBorder="1"/>
    <xf numFmtId="0" fontId="483" fillId="480" borderId="476" xfId="0" applyFont="1" applyFill="1" applyBorder="1"/>
    <xf numFmtId="0" fontId="287" fillId="284" borderId="281" xfId="0" applyFont="1" applyFill="1" applyBorder="1" applyAlignment="1">
      <alignment vertical="center"/>
    </xf>
    <xf numFmtId="0" fontId="510" fillId="507" borderId="503" xfId="0" applyFont="1" applyFill="1" applyBorder="1"/>
    <xf numFmtId="0" fontId="511" fillId="508" borderId="504" xfId="0" applyFont="1" applyFill="1" applyBorder="1"/>
    <xf numFmtId="0" fontId="512" fillId="509" borderId="505" xfId="0" applyFont="1" applyFill="1" applyBorder="1"/>
    <xf numFmtId="0" fontId="513" fillId="510" borderId="506" xfId="0" applyFont="1" applyFill="1" applyBorder="1"/>
    <xf numFmtId="0" fontId="514" fillId="511" borderId="507" xfId="0" applyFont="1" applyFill="1" applyBorder="1"/>
    <xf numFmtId="0" fontId="515" fillId="512" borderId="508" xfId="0" applyFont="1" applyFill="1" applyBorder="1"/>
    <xf numFmtId="0" fontId="516" fillId="513" borderId="509" xfId="0" applyFont="1" applyFill="1" applyBorder="1"/>
    <xf numFmtId="0" fontId="517" fillId="514" borderId="510" xfId="0" applyFont="1" applyFill="1" applyBorder="1"/>
    <xf numFmtId="0" fontId="518" fillId="515" borderId="511" xfId="0" applyFont="1" applyFill="1" applyBorder="1"/>
    <xf numFmtId="0" fontId="368" fillId="365" borderId="647" xfId="0" applyFont="1" applyFill="1" applyBorder="1" applyAlignment="1">
      <alignment horizontal="center" vertical="center"/>
    </xf>
    <xf numFmtId="0" fontId="223" fillId="661" borderId="2973" xfId="0" applyFont="1" applyFill="1" applyBorder="1" applyAlignment="1">
      <alignment horizontal="center" vertical="center"/>
    </xf>
    <xf numFmtId="0" fontId="223" fillId="661" borderId="2974" xfId="0" applyFont="1" applyFill="1" applyBorder="1" applyAlignment="1">
      <alignment horizontal="center" vertical="center"/>
    </xf>
    <xf numFmtId="0" fontId="654" fillId="653" borderId="647" xfId="0" applyFont="1" applyFill="1" applyBorder="1" applyAlignment="1">
      <alignment horizontal="center" vertical="center"/>
    </xf>
    <xf numFmtId="0" fontId="656" fillId="655" borderId="2586" xfId="0" applyFont="1" applyFill="1" applyBorder="1" applyAlignment="1">
      <alignment horizontal="center" vertical="center"/>
    </xf>
    <xf numFmtId="0" fontId="661" fillId="660" borderId="2586" xfId="0" applyFont="1" applyFill="1" applyBorder="1" applyAlignment="1">
      <alignment horizontal="center" vertical="center"/>
    </xf>
    <xf numFmtId="0" fontId="660" fillId="659" borderId="2586" xfId="0" applyFont="1" applyFill="1" applyBorder="1" applyAlignment="1">
      <alignment horizontal="center" vertical="center"/>
    </xf>
    <xf numFmtId="0" fontId="659" fillId="658" borderId="2586" xfId="0" applyFont="1" applyFill="1" applyBorder="1" applyAlignment="1">
      <alignment horizontal="center" vertical="center"/>
    </xf>
    <xf numFmtId="0" fontId="658" fillId="657" borderId="2586" xfId="0" applyFont="1" applyFill="1" applyBorder="1" applyAlignment="1">
      <alignment horizontal="center" vertical="center"/>
    </xf>
    <xf numFmtId="0" fontId="657" fillId="656" borderId="2586" xfId="0" applyFont="1" applyFill="1" applyBorder="1" applyAlignment="1">
      <alignment horizontal="center" vertical="center"/>
    </xf>
    <xf numFmtId="0" fontId="655" fillId="654" borderId="2586" xfId="0" applyFont="1" applyFill="1" applyBorder="1" applyAlignment="1">
      <alignment horizontal="center" vertical="center"/>
    </xf>
    <xf numFmtId="0" fontId="223" fillId="655" borderId="2586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3028" fillId="3028" borderId="2976" xfId="0" applyFont="1" applyFill="1" applyBorder="1" applyAlignment="1">
      <alignment horizontal="center" vertical="center"/>
    </xf>
    <xf numFmtId="0" fontId="3029" fillId="3029" borderId="2977" xfId="0" applyFont="1" applyFill="1" applyBorder="1"/>
    <xf numFmtId="0" fontId="3030" fillId="3030" borderId="2978" xfId="0" applyFont="1" applyFill="1" applyBorder="1"/>
    <xf numFmtId="0" fontId="3031" fillId="3031" borderId="2979" xfId="0" applyFont="1" applyFill="1" applyBorder="1"/>
    <xf numFmtId="0" fontId="3032" fillId="3032" borderId="2980" xfId="0" applyFont="1" applyFill="1" applyBorder="1"/>
    <xf numFmtId="0" fontId="3033" fillId="3033" borderId="2981" xfId="0" applyFont="1" applyFill="1" applyBorder="1"/>
    <xf numFmtId="0" fontId="3034" fillId="3034" borderId="2982" xfId="0" applyFont="1" applyFill="1" applyBorder="1"/>
    <xf numFmtId="0" fontId="3035" fillId="3035" borderId="2983" xfId="0" applyFont="1" applyFill="1" applyBorder="1"/>
    <xf numFmtId="0" fontId="3039" fillId="3039" borderId="2987" xfId="0" applyFont="1" applyFill="1" applyBorder="1" applyAlignment="1">
      <alignment horizontal="center" vertical="center"/>
    </xf>
    <xf numFmtId="0" fontId="3040" fillId="3040" borderId="2988" xfId="0" applyFont="1" applyFill="1" applyBorder="1"/>
    <xf numFmtId="0" fontId="3041" fillId="3041" borderId="2989" xfId="0" applyFont="1" applyFill="1" applyBorder="1"/>
    <xf numFmtId="0" fontId="3042" fillId="3042" borderId="2990" xfId="0" applyFont="1" applyFill="1" applyBorder="1"/>
    <xf numFmtId="0" fontId="3043" fillId="3043" borderId="2991" xfId="0" applyFont="1" applyFill="1" applyBorder="1"/>
    <xf numFmtId="0" fontId="3044" fillId="3044" borderId="2992" xfId="0" applyFont="1" applyFill="1" applyBorder="1"/>
    <xf numFmtId="4" fontId="3199" fillId="3199" borderId="3147" xfId="0" applyNumberFormat="1" applyFont="1" applyFill="1" applyBorder="1" applyAlignment="1">
      <alignment horizontal="center" vertical="center"/>
    </xf>
    <xf numFmtId="164" fontId="3200" fillId="3200" borderId="3148" xfId="0" applyNumberFormat="1" applyFont="1" applyFill="1" applyBorder="1"/>
    <xf numFmtId="10" fontId="3201" fillId="3201" borderId="3149" xfId="0" applyNumberFormat="1" applyFont="1" applyFill="1" applyBorder="1"/>
    <xf numFmtId="0" fontId="3202" fillId="3202" borderId="3150" xfId="0" applyFont="1" applyFill="1" applyBorder="1"/>
    <xf numFmtId="0" fontId="3203" fillId="3203" borderId="3151" xfId="0" applyFont="1" applyFill="1" applyBorder="1"/>
    <xf numFmtId="0" fontId="3204" fillId="3204" borderId="3152" xfId="0" applyFont="1" applyFill="1" applyBorder="1"/>
    <xf numFmtId="0" fontId="3404" fillId="3410" borderId="3358" xfId="0" applyFont="1" applyFill="1" applyBorder="1" applyAlignment="1">
      <alignment horizontal="center"/>
    </xf>
    <xf numFmtId="0" fontId="3405" fillId="3411" borderId="3359" xfId="0" applyFont="1" applyFill="1" applyBorder="1" applyAlignment="1">
      <alignment horizontal="center"/>
    </xf>
    <xf numFmtId="0" fontId="3406" fillId="3412" borderId="3360" xfId="0" applyFont="1" applyFill="1" applyBorder="1" applyAlignment="1">
      <alignment horizontal="center"/>
    </xf>
    <xf numFmtId="0" fontId="3407" fillId="3413" borderId="3361" xfId="0" applyFont="1" applyFill="1" applyBorder="1" applyAlignment="1">
      <alignment horizontal="center"/>
    </xf>
    <xf numFmtId="0" fontId="2109" fillId="2109" borderId="2052" xfId="0" applyFont="1" applyFill="1" applyBorder="1" applyAlignment="1">
      <alignment horizontal="center" vertical="center"/>
    </xf>
    <xf numFmtId="0" fontId="2110" fillId="2110" borderId="2053" xfId="0" applyFont="1" applyFill="1" applyBorder="1"/>
    <xf numFmtId="0" fontId="2111" fillId="2111" borderId="2054" xfId="0" applyFont="1" applyFill="1" applyBorder="1"/>
  </cellXfs>
  <cellStyles count="2">
    <cellStyle name="Normal" xfId="0" builtinId="0"/>
    <cellStyle name="Normal 2" xfId="1" xr:uid="{BCCA1864-8AB9-44B7-BD98-57B365AB0C60}"/>
  </cellStyles>
  <dxfs count="13">
    <dxf>
      <fill>
        <patternFill patternType="solid">
          <bgColor rgb="FFF4CCCC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Peticiones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Dashboard_Ejecutivo!$D$4</c:f>
              <c:strCache>
                <c:ptCount val="1"/>
                <c:pt idx="0">
                  <c:v>Litros Solicitados</c:v>
                </c:pt>
              </c:strCache>
            </c:strRef>
          </c:tx>
          <c:invertIfNegative val="0"/>
          <c:cat>
            <c:strRef>
              <c:f>Dashboard_Ejecutivo!$B$5:$B$16</c:f>
              <c:strCache>
                <c:ptCount val="12"/>
                <c:pt idx="0">
                  <c:v>2026-06-07</c:v>
                </c:pt>
                <c:pt idx="1">
                  <c:v>2026-06-07</c:v>
                </c:pt>
                <c:pt idx="2">
                  <c:v>2026-06-08</c:v>
                </c:pt>
                <c:pt idx="3">
                  <c:v>2026-06-08</c:v>
                </c:pt>
                <c:pt idx="4">
                  <c:v>2026-06-09</c:v>
                </c:pt>
                <c:pt idx="5">
                  <c:v>2026-06-09</c:v>
                </c:pt>
                <c:pt idx="6">
                  <c:v>2026-06-09</c:v>
                </c:pt>
                <c:pt idx="7">
                  <c:v>2026-06-10</c:v>
                </c:pt>
                <c:pt idx="8">
                  <c:v>2026-06-11</c:v>
                </c:pt>
                <c:pt idx="9">
                  <c:v>2026-06-11</c:v>
                </c:pt>
                <c:pt idx="10">
                  <c:v>2026-06-12</c:v>
                </c:pt>
                <c:pt idx="11">
                  <c:v>2026-06-12</c:v>
                </c:pt>
              </c:strCache>
            </c:strRef>
          </c:cat>
          <c:val>
            <c:numRef>
              <c:f>Dashboard_Ejecutivo!$D$5:$D$16</c:f>
              <c:numCache>
                <c:formatCode>General</c:formatCode>
                <c:ptCount val="12"/>
                <c:pt idx="0">
                  <c:v>160</c:v>
                </c:pt>
                <c:pt idx="1">
                  <c:v>640</c:v>
                </c:pt>
                <c:pt idx="2">
                  <c:v>100</c:v>
                </c:pt>
                <c:pt idx="3">
                  <c:v>990</c:v>
                </c:pt>
                <c:pt idx="4">
                  <c:v>100</c:v>
                </c:pt>
                <c:pt idx="5">
                  <c:v>790</c:v>
                </c:pt>
                <c:pt idx="6">
                  <c:v>210</c:v>
                </c:pt>
                <c:pt idx="7">
                  <c:v>320</c:v>
                </c:pt>
                <c:pt idx="8">
                  <c:v>70</c:v>
                </c:pt>
                <c:pt idx="9">
                  <c:v>460</c:v>
                </c:pt>
                <c:pt idx="10">
                  <c:v>620</c:v>
                </c:pt>
                <c:pt idx="11">
                  <c:v>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05-4955-817E-309108568BD8}"/>
            </c:ext>
          </c:extLst>
        </c:ser>
        <c:ser>
          <c:idx val="1"/>
          <c:order val="1"/>
          <c:tx>
            <c:strRef>
              <c:f>Dashboard_Ejecutivo!$E$4</c:f>
              <c:strCache>
                <c:ptCount val="1"/>
                <c:pt idx="0">
                  <c:v>Costo Estimado ($)</c:v>
                </c:pt>
              </c:strCache>
            </c:strRef>
          </c:tx>
          <c:invertIfNegative val="0"/>
          <c:cat>
            <c:strRef>
              <c:f>Dashboard_Ejecutivo!$B$5:$B$16</c:f>
              <c:strCache>
                <c:ptCount val="12"/>
                <c:pt idx="0">
                  <c:v>2026-06-07</c:v>
                </c:pt>
                <c:pt idx="1">
                  <c:v>2026-06-07</c:v>
                </c:pt>
                <c:pt idx="2">
                  <c:v>2026-06-08</c:v>
                </c:pt>
                <c:pt idx="3">
                  <c:v>2026-06-08</c:v>
                </c:pt>
                <c:pt idx="4">
                  <c:v>2026-06-09</c:v>
                </c:pt>
                <c:pt idx="5">
                  <c:v>2026-06-09</c:v>
                </c:pt>
                <c:pt idx="6">
                  <c:v>2026-06-09</c:v>
                </c:pt>
                <c:pt idx="7">
                  <c:v>2026-06-10</c:v>
                </c:pt>
                <c:pt idx="8">
                  <c:v>2026-06-11</c:v>
                </c:pt>
                <c:pt idx="9">
                  <c:v>2026-06-11</c:v>
                </c:pt>
                <c:pt idx="10">
                  <c:v>2026-06-12</c:v>
                </c:pt>
                <c:pt idx="11">
                  <c:v>2026-06-12</c:v>
                </c:pt>
              </c:strCache>
            </c:strRef>
          </c:cat>
          <c:val>
            <c:numRef>
              <c:f>Dashboard_Ejecutivo!$E$5:$E$16</c:f>
              <c:numCache>
                <c:formatCode>"$"#,##0.00</c:formatCode>
                <c:ptCount val="12"/>
                <c:pt idx="0">
                  <c:v>4528</c:v>
                </c:pt>
                <c:pt idx="1">
                  <c:v>18112</c:v>
                </c:pt>
                <c:pt idx="2">
                  <c:v>2830</c:v>
                </c:pt>
                <c:pt idx="3">
                  <c:v>28017</c:v>
                </c:pt>
                <c:pt idx="4">
                  <c:v>2830</c:v>
                </c:pt>
                <c:pt idx="5">
                  <c:v>22357</c:v>
                </c:pt>
                <c:pt idx="6">
                  <c:v>5943</c:v>
                </c:pt>
                <c:pt idx="7">
                  <c:v>9056</c:v>
                </c:pt>
                <c:pt idx="8">
                  <c:v>1981</c:v>
                </c:pt>
                <c:pt idx="9">
                  <c:v>13018</c:v>
                </c:pt>
                <c:pt idx="10">
                  <c:v>17546</c:v>
                </c:pt>
                <c:pt idx="11">
                  <c:v>15282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05-4955-817E-309108568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Cantidad / Costo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Salidas Marimba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Dashboard_Ejecutivo!$I$4</c:f>
              <c:strCache>
                <c:ptCount val="1"/>
                <c:pt idx="0">
                  <c:v>Salida (L)</c:v>
                </c:pt>
              </c:strCache>
            </c:strRef>
          </c:tx>
          <c:invertIfNegative val="0"/>
          <c:cat>
            <c:strRef>
              <c:f>Dashboard_Ejecutivo!$G$5:$G$12</c:f>
              <c:strCache>
                <c:ptCount val="8"/>
                <c:pt idx="0">
                  <c:v>2026-06-08</c:v>
                </c:pt>
                <c:pt idx="1">
                  <c:v>2026-06-08</c:v>
                </c:pt>
                <c:pt idx="2">
                  <c:v>2026-06-08</c:v>
                </c:pt>
                <c:pt idx="3">
                  <c:v>2026-06-09</c:v>
                </c:pt>
                <c:pt idx="4">
                  <c:v>2026-06-10</c:v>
                </c:pt>
                <c:pt idx="5">
                  <c:v>2026-06-11</c:v>
                </c:pt>
                <c:pt idx="6">
                  <c:v>2026-06-12</c:v>
                </c:pt>
                <c:pt idx="7">
                  <c:v>2026-06-12</c:v>
                </c:pt>
              </c:strCache>
            </c:strRef>
          </c:cat>
          <c:val>
            <c:numRef>
              <c:f>Dashboard_Ejecutivo!$I$5:$I$12</c:f>
              <c:numCache>
                <c:formatCode>General</c:formatCode>
                <c:ptCount val="8"/>
                <c:pt idx="0">
                  <c:v>455</c:v>
                </c:pt>
                <c:pt idx="1">
                  <c:v>97</c:v>
                </c:pt>
                <c:pt idx="2">
                  <c:v>369</c:v>
                </c:pt>
                <c:pt idx="3">
                  <c:v>736</c:v>
                </c:pt>
                <c:pt idx="4">
                  <c:v>300</c:v>
                </c:pt>
                <c:pt idx="5">
                  <c:v>256</c:v>
                </c:pt>
                <c:pt idx="6">
                  <c:v>502</c:v>
                </c:pt>
                <c:pt idx="7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9B-490F-91B3-6FB220771F47}"/>
            </c:ext>
          </c:extLst>
        </c:ser>
        <c:ser>
          <c:idx val="1"/>
          <c:order val="1"/>
          <c:tx>
            <c:strRef>
              <c:f>Dashboard_Ejecutivo!$J$4</c:f>
              <c:strCache>
                <c:ptCount val="1"/>
                <c:pt idx="0">
                  <c:v>Costo Surtido ($)</c:v>
                </c:pt>
              </c:strCache>
            </c:strRef>
          </c:tx>
          <c:invertIfNegative val="0"/>
          <c:cat>
            <c:strRef>
              <c:f>Dashboard_Ejecutivo!$G$5:$G$12</c:f>
              <c:strCache>
                <c:ptCount val="8"/>
                <c:pt idx="0">
                  <c:v>2026-06-08</c:v>
                </c:pt>
                <c:pt idx="1">
                  <c:v>2026-06-08</c:v>
                </c:pt>
                <c:pt idx="2">
                  <c:v>2026-06-08</c:v>
                </c:pt>
                <c:pt idx="3">
                  <c:v>2026-06-09</c:v>
                </c:pt>
                <c:pt idx="4">
                  <c:v>2026-06-10</c:v>
                </c:pt>
                <c:pt idx="5">
                  <c:v>2026-06-11</c:v>
                </c:pt>
                <c:pt idx="6">
                  <c:v>2026-06-12</c:v>
                </c:pt>
                <c:pt idx="7">
                  <c:v>2026-06-12</c:v>
                </c:pt>
              </c:strCache>
            </c:strRef>
          </c:cat>
          <c:val>
            <c:numRef>
              <c:f>Dashboard_Ejecutivo!$J$5:$J$12</c:f>
              <c:numCache>
                <c:formatCode>"$"#,##0.00</c:formatCode>
                <c:ptCount val="8"/>
                <c:pt idx="0">
                  <c:v>12876.5</c:v>
                </c:pt>
                <c:pt idx="1">
                  <c:v>2745.1</c:v>
                </c:pt>
                <c:pt idx="2">
                  <c:v>10442.700000000001</c:v>
                </c:pt>
                <c:pt idx="3">
                  <c:v>20828.8</c:v>
                </c:pt>
                <c:pt idx="4">
                  <c:v>8490</c:v>
                </c:pt>
                <c:pt idx="5">
                  <c:v>7244.8</c:v>
                </c:pt>
                <c:pt idx="6">
                  <c:v>14206.6</c:v>
                </c:pt>
                <c:pt idx="7">
                  <c:v>10188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9B-490F-91B3-6FB220771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Cantidad / Costo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Consumo Total Semanal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Dashboard_Ejecutivo!$W$4</c:f>
              <c:strCache>
                <c:ptCount val="1"/>
                <c:pt idx="0">
                  <c:v>Litros Recibidos</c:v>
                </c:pt>
              </c:strCache>
            </c:strRef>
          </c:tx>
          <c:invertIfNegative val="0"/>
          <c:cat>
            <c:strRef>
              <c:f>Dashboard_Ejecutivo!$V$5:$V$9</c:f>
              <c:strCache>
                <c:ptCount val="5"/>
                <c:pt idx="0">
                  <c:v>Bacheo Toluca</c:v>
                </c:pt>
                <c:pt idx="1">
                  <c:v>Chamapa-Lechería</c:v>
                </c:pt>
                <c:pt idx="2">
                  <c:v>Lerma - Tres Marías</c:v>
                </c:pt>
                <c:pt idx="3">
                  <c:v>México-Toluca</c:v>
                </c:pt>
                <c:pt idx="4">
                  <c:v>Planta Asfalto Pegaso</c:v>
                </c:pt>
              </c:strCache>
            </c:strRef>
          </c:cat>
          <c:val>
            <c:numRef>
              <c:f>Dashboard_Ejecutivo!$W$5:$W$9</c:f>
              <c:numCache>
                <c:formatCode>General</c:formatCode>
                <c:ptCount val="5"/>
                <c:pt idx="0">
                  <c:v>200</c:v>
                </c:pt>
                <c:pt idx="1">
                  <c:v>1693</c:v>
                </c:pt>
                <c:pt idx="2">
                  <c:v>872</c:v>
                </c:pt>
                <c:pt idx="3">
                  <c:v>1285</c:v>
                </c:pt>
                <c:pt idx="4">
                  <c:v>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2A-4BC3-82EA-419FC4AF9D62}"/>
            </c:ext>
          </c:extLst>
        </c:ser>
        <c:ser>
          <c:idx val="1"/>
          <c:order val="1"/>
          <c:tx>
            <c:strRef>
              <c:f>Dashboard_Ejecutivo!$X$4</c:f>
              <c:strCache>
                <c:ptCount val="1"/>
                <c:pt idx="0">
                  <c:v>Costo Surtido ($)</c:v>
                </c:pt>
              </c:strCache>
            </c:strRef>
          </c:tx>
          <c:invertIfNegative val="0"/>
          <c:cat>
            <c:strRef>
              <c:f>Dashboard_Ejecutivo!$V$5:$V$9</c:f>
              <c:strCache>
                <c:ptCount val="5"/>
                <c:pt idx="0">
                  <c:v>Bacheo Toluca</c:v>
                </c:pt>
                <c:pt idx="1">
                  <c:v>Chamapa-Lechería</c:v>
                </c:pt>
                <c:pt idx="2">
                  <c:v>Lerma - Tres Marías</c:v>
                </c:pt>
                <c:pt idx="3">
                  <c:v>México-Toluca</c:v>
                </c:pt>
                <c:pt idx="4">
                  <c:v>Planta Asfalto Pegaso</c:v>
                </c:pt>
              </c:strCache>
            </c:strRef>
          </c:cat>
          <c:val>
            <c:numRef>
              <c:f>Dashboard_Ejecutivo!$X$5:$X$9</c:f>
              <c:numCache>
                <c:formatCode>"$"#,##0.00</c:formatCode>
                <c:ptCount val="5"/>
                <c:pt idx="0">
                  <c:v>5660</c:v>
                </c:pt>
                <c:pt idx="1">
                  <c:v>47911.9</c:v>
                </c:pt>
                <c:pt idx="2">
                  <c:v>24677.599999999999</c:v>
                </c:pt>
                <c:pt idx="3">
                  <c:v>36365.5</c:v>
                </c:pt>
                <c:pt idx="4">
                  <c:v>18310.099999999999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2A-4BC3-82EA-419FC4AF9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catAx>
        <c:axId val="500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Obra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Cantidad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Comparativa Costos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Dashboard_Ejecutivo!$C$37</c:f>
              <c:strCache>
                <c:ptCount val="1"/>
                <c:pt idx="0">
                  <c:v>Costo Solicitado ($)</c:v>
                </c:pt>
              </c:strCache>
            </c:strRef>
          </c:tx>
          <c:invertIfNegative val="0"/>
          <c:cat>
            <c:strRef>
              <c:f>Dashboard_Ejecutivo!$B$38:$B$43</c:f>
              <c:strCache>
                <c:ptCount val="6"/>
                <c:pt idx="0">
                  <c:v>2026-06-07</c:v>
                </c:pt>
                <c:pt idx="1">
                  <c:v>2026-06-08</c:v>
                </c:pt>
                <c:pt idx="2">
                  <c:v>2026-06-09</c:v>
                </c:pt>
                <c:pt idx="3">
                  <c:v>2026-06-10</c:v>
                </c:pt>
                <c:pt idx="4">
                  <c:v>2026-06-11</c:v>
                </c:pt>
                <c:pt idx="5">
                  <c:v>2026-06-12</c:v>
                </c:pt>
              </c:strCache>
            </c:strRef>
          </c:cat>
          <c:val>
            <c:numRef>
              <c:f>Dashboard_Ejecutivo!$C$38:$C$43</c:f>
              <c:numCache>
                <c:formatCode>"$"#,##0.00</c:formatCode>
                <c:ptCount val="6"/>
                <c:pt idx="0">
                  <c:v>22640</c:v>
                </c:pt>
                <c:pt idx="1">
                  <c:v>30847</c:v>
                </c:pt>
                <c:pt idx="2">
                  <c:v>31130</c:v>
                </c:pt>
                <c:pt idx="3">
                  <c:v>9056</c:v>
                </c:pt>
                <c:pt idx="4">
                  <c:v>14999</c:v>
                </c:pt>
                <c:pt idx="5">
                  <c:v>32828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4F-4BE7-99F7-2D965B12A74E}"/>
            </c:ext>
          </c:extLst>
        </c:ser>
        <c:ser>
          <c:idx val="1"/>
          <c:order val="1"/>
          <c:tx>
            <c:strRef>
              <c:f>Dashboard_Ejecutivo!$D$37</c:f>
              <c:strCache>
                <c:ptCount val="1"/>
                <c:pt idx="0">
                  <c:v>Costo Surtido ($)</c:v>
                </c:pt>
              </c:strCache>
            </c:strRef>
          </c:tx>
          <c:invertIfNegative val="0"/>
          <c:cat>
            <c:strRef>
              <c:f>Dashboard_Ejecutivo!$B$38:$B$43</c:f>
              <c:strCache>
                <c:ptCount val="6"/>
                <c:pt idx="0">
                  <c:v>2026-06-07</c:v>
                </c:pt>
                <c:pt idx="1">
                  <c:v>2026-06-08</c:v>
                </c:pt>
                <c:pt idx="2">
                  <c:v>2026-06-09</c:v>
                </c:pt>
                <c:pt idx="3">
                  <c:v>2026-06-10</c:v>
                </c:pt>
                <c:pt idx="4">
                  <c:v>2026-06-11</c:v>
                </c:pt>
                <c:pt idx="5">
                  <c:v>2026-06-12</c:v>
                </c:pt>
              </c:strCache>
            </c:strRef>
          </c:cat>
          <c:val>
            <c:numRef>
              <c:f>Dashboard_Ejecutivo!$D$38:$D$43</c:f>
              <c:numCache>
                <c:formatCode>"$"#,##0.00</c:formatCode>
                <c:ptCount val="6"/>
                <c:pt idx="0">
                  <c:v>0</c:v>
                </c:pt>
                <c:pt idx="1">
                  <c:v>42733</c:v>
                </c:pt>
                <c:pt idx="2">
                  <c:v>25922.799999999999</c:v>
                </c:pt>
                <c:pt idx="3">
                  <c:v>11320</c:v>
                </c:pt>
                <c:pt idx="4">
                  <c:v>30818.7</c:v>
                </c:pt>
                <c:pt idx="5">
                  <c:v>26375.599999999999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4F-4BE7-99F7-2D965B12A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40001"/>
        <c:axId val="50040002"/>
      </c:barChart>
      <c:catAx>
        <c:axId val="500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Costo ($)</a:t>
                </a:r>
              </a:p>
            </c:rich>
          </c:tx>
          <c:overlay val="0"/>
        </c:title>
        <c:numFmt formatCode="&quot;$&quot;#,##0.00" sourceLinked="1"/>
        <c:majorTickMark val="out"/>
        <c:minorTickMark val="none"/>
        <c:tickLblPos val="nextTo"/>
        <c:crossAx val="5004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Comparativa Costos por Obra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Dashboard_Ejecutivo!$H$37</c:f>
              <c:strCache>
                <c:ptCount val="1"/>
                <c:pt idx="0">
                  <c:v>Costo Solicitado ($)</c:v>
                </c:pt>
              </c:strCache>
            </c:strRef>
          </c:tx>
          <c:invertIfNegative val="0"/>
          <c:cat>
            <c:strRef>
              <c:f>Dashboard_Ejecutivo!$G$38:$G$42</c:f>
              <c:strCache>
                <c:ptCount val="5"/>
                <c:pt idx="0">
                  <c:v>Bacheo Toluca</c:v>
                </c:pt>
                <c:pt idx="1">
                  <c:v>Chamapa-Lechería</c:v>
                </c:pt>
                <c:pt idx="2">
                  <c:v>Lerma - Tres Marías</c:v>
                </c:pt>
                <c:pt idx="3">
                  <c:v>México-Toluca</c:v>
                </c:pt>
                <c:pt idx="4">
                  <c:v>Planta Asfalto Pegaso</c:v>
                </c:pt>
              </c:strCache>
            </c:strRef>
          </c:cat>
          <c:val>
            <c:numRef>
              <c:f>Dashboard_Ejecutivo!$H$38:$H$42</c:f>
              <c:numCache>
                <c:formatCode>"$"#,##0.00</c:formatCode>
                <c:ptCount val="5"/>
                <c:pt idx="0">
                  <c:v>7641</c:v>
                </c:pt>
                <c:pt idx="1">
                  <c:v>67920</c:v>
                </c:pt>
                <c:pt idx="2">
                  <c:v>23489</c:v>
                </c:pt>
                <c:pt idx="3">
                  <c:v>42450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4B-4881-B489-5D0800D67203}"/>
            </c:ext>
          </c:extLst>
        </c:ser>
        <c:ser>
          <c:idx val="1"/>
          <c:order val="1"/>
          <c:tx>
            <c:strRef>
              <c:f>Dashboard_Ejecutivo!$I$37</c:f>
              <c:strCache>
                <c:ptCount val="1"/>
                <c:pt idx="0">
                  <c:v>Costo Surtido ($)</c:v>
                </c:pt>
              </c:strCache>
            </c:strRef>
          </c:tx>
          <c:invertIfNegative val="0"/>
          <c:cat>
            <c:strRef>
              <c:f>Dashboard_Ejecutivo!$G$38:$G$42</c:f>
              <c:strCache>
                <c:ptCount val="5"/>
                <c:pt idx="0">
                  <c:v>Bacheo Toluca</c:v>
                </c:pt>
                <c:pt idx="1">
                  <c:v>Chamapa-Lechería</c:v>
                </c:pt>
                <c:pt idx="2">
                  <c:v>Lerma - Tres Marías</c:v>
                </c:pt>
                <c:pt idx="3">
                  <c:v>México-Toluca</c:v>
                </c:pt>
                <c:pt idx="4">
                  <c:v>Planta Asfalto Pegaso</c:v>
                </c:pt>
              </c:strCache>
            </c:strRef>
          </c:cat>
          <c:val>
            <c:numRef>
              <c:f>Dashboard_Ejecutivo!$I$38:$I$42</c:f>
              <c:numCache>
                <c:formatCode>"$"#,##0.00</c:formatCode>
                <c:ptCount val="5"/>
                <c:pt idx="0">
                  <c:v>9905</c:v>
                </c:pt>
                <c:pt idx="1">
                  <c:v>47911.9</c:v>
                </c:pt>
                <c:pt idx="2">
                  <c:v>24677.599999999999</c:v>
                </c:pt>
                <c:pt idx="3">
                  <c:v>36365.5</c:v>
                </c:pt>
                <c:pt idx="4">
                  <c:v>18310.099999999999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4B-4881-B489-5D0800D67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50001"/>
        <c:axId val="50050002"/>
      </c:barChart>
      <c:catAx>
        <c:axId val="5005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Obra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50002"/>
        <c:crosses val="autoZero"/>
        <c:auto val="1"/>
        <c:lblAlgn val="ctr"/>
        <c:lblOffset val="100"/>
        <c:noMultiLvlLbl val="0"/>
      </c:catAx>
      <c:valAx>
        <c:axId val="5005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Costo ($)</a:t>
                </a:r>
              </a:p>
            </c:rich>
          </c:tx>
          <c:overlay val="0"/>
        </c:title>
        <c:numFmt formatCode="&quot;$&quot;#,##0.00" sourceLinked="1"/>
        <c:majorTickMark val="out"/>
        <c:minorTickMark val="none"/>
        <c:tickLblPos val="nextTo"/>
        <c:crossAx val="5005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53340</xdr:colOff>
      <xdr:row>17</xdr:row>
      <xdr:rowOff>53340</xdr:rowOff>
    </xdr:from>
    <xdr:to>
      <xdr:col>6</xdr:col>
      <xdr:colOff>220980</xdr:colOff>
      <xdr:row>31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543E3C-B075-4E82-821B-77B2528455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502920</xdr:colOff>
      <xdr:row>15</xdr:row>
      <xdr:rowOff>0</xdr:rowOff>
    </xdr:from>
    <xdr:to>
      <xdr:col>13</xdr:col>
      <xdr:colOff>7620</xdr:colOff>
      <xdr:row>32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2967A1-1FEB-4E6F-B493-B5BA8B2CCD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15</xdr:row>
      <xdr:rowOff>0</xdr:rowOff>
    </xdr:from>
    <xdr:to>
      <xdr:col>26</xdr:col>
      <xdr:colOff>142875</xdr:colOff>
      <xdr:row>32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5663C7-0557-43D8-8AC6-A65FEAB303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594360</xdr:colOff>
      <xdr:row>43</xdr:row>
      <xdr:rowOff>144780</xdr:rowOff>
    </xdr:from>
    <xdr:to>
      <xdr:col>6</xdr:col>
      <xdr:colOff>632460</xdr:colOff>
      <xdr:row>61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95D413E-68BD-4E87-9037-E224A4C675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1074420</xdr:colOff>
      <xdr:row>44</xdr:row>
      <xdr:rowOff>7620</xdr:rowOff>
    </xdr:from>
    <xdr:to>
      <xdr:col>12</xdr:col>
      <xdr:colOff>579120</xdr:colOff>
      <xdr:row>61</xdr:row>
      <xdr:rowOff>102870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CC4B658-F7D8-4FBF-94AF-11F2369E3C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Pegaso" displayName="TablaPegaso" ref="A4:L206">
  <tableColumns count="12">
    <tableColumn id="1" xr3:uid="{00000000-0010-0000-0000-000001000000}" name="Fecha"/>
    <tableColumn id="2" xr3:uid="{00000000-0010-0000-0000-000002000000}" name="Tipo Movimiento"/>
    <tableColumn id="3" xr3:uid="{00000000-0010-0000-0000-000003000000}" name="Origen/Destino"/>
    <tableColumn id="4" xr3:uid="{00000000-0010-0000-0000-000004000000}" name="Obra"/>
    <tableColumn id="12" xr3:uid="{6FC56168-92C9-4A15-92BB-9B6C0E40C899}" name="Equipo"/>
    <tableColumn id="5" xr3:uid="{00000000-0010-0000-0000-000005000000}" name="Economico" dataDxfId="12">
      <calculatedColumnFormula>VLOOKUP(TablaPegaso[[#This Row],[Equipo]],Catalogos!$I$4:$J$34,2,FALSE)</calculatedColumnFormula>
    </tableColumn>
    <tableColumn id="6" xr3:uid="{00000000-0010-0000-0000-000006000000}" name="Entrada (L)"/>
    <tableColumn id="7" xr3:uid="{00000000-0010-0000-0000-000007000000}" name="Salida (L)"/>
    <tableColumn id="8" xr3:uid="{00000000-0010-0000-0000-000008000000}" name="Existencia Teórica"/>
    <tableColumn id="9" xr3:uid="{00000000-0010-0000-0000-000009000000}" name="Costo/L"/>
    <tableColumn id="10" xr3:uid="{00000000-0010-0000-0000-00000A000000}" name="Importe"/>
    <tableColumn id="11" xr3:uid="{00000000-0010-0000-0000-00000B000000}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Marimba" displayName="TablaMarimba" ref="A4:L206">
  <autoFilter ref="A4:L206" xr:uid="{00000000-000C-0000-FFFF-FFFF01000000}"/>
  <tableColumns count="12">
    <tableColumn id="1" xr3:uid="{00000000-0010-0000-0100-000001000000}" name="Fecha"/>
    <tableColumn id="2" xr3:uid="{00000000-0010-0000-0100-000002000000}" name="Movimiento"/>
    <tableColumn id="3" xr3:uid="{00000000-0010-0000-0100-000003000000}" name="Origen/Obra"/>
    <tableColumn id="4" xr3:uid="{00000000-0010-0000-0100-000004000000}" name="Equipo"/>
    <tableColumn id="5" xr3:uid="{00000000-0010-0000-0100-000005000000}" name="Económico" dataDxfId="11">
      <calculatedColumnFormula>VLOOKUP(TablaMarimba[[#This Row],[Equipo]],Catalogos!$I$4:$J$35,2,FALSE)</calculatedColumnFormula>
    </tableColumn>
    <tableColumn id="6" xr3:uid="{00000000-0010-0000-0100-000006000000}" name="Entrada (L)"/>
    <tableColumn id="7" xr3:uid="{00000000-0010-0000-0100-000007000000}" name="Salida (L)" dataDxfId="10"/>
    <tableColumn id="8" xr3:uid="{00000000-0010-0000-0100-000008000000}" name="Existencia Teórica"/>
    <tableColumn id="9" xr3:uid="{00000000-0010-0000-0100-000009000000}" name="Costo/L"/>
    <tableColumn id="10" xr3:uid="{00000000-0010-0000-0100-00000A000000}" name="Importe"/>
    <tableColumn id="11" xr3:uid="{00000000-0010-0000-0100-00000B000000}" name="Firma/Validación"/>
    <tableColumn id="12" xr3:uid="{00000000-0010-0000-0100-00000C000000}" name="Observacion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16062C8-8627-43AE-B5EA-97534A44444C}" name="TablaMarimba6" displayName="TablaMarimba6" ref="A4:P206">
  <autoFilter ref="A4:P206" xr:uid="{00000000-000C-0000-FFFF-FFFF01000000}"/>
  <tableColumns count="16">
    <tableColumn id="1" xr3:uid="{8F93C2D3-59E8-4ED8-AD33-D80C1E2FB336}" name="Fecha"/>
    <tableColumn id="2" xr3:uid="{1FDB07B9-3C82-4BA6-A1D0-7BBCC4F65B10}" name="Movimiento"/>
    <tableColumn id="3" xr3:uid="{BA86575F-7C22-46F4-B075-46F1C8361BD9}" name="Origen/Obra"/>
    <tableColumn id="4" xr3:uid="{2F9F3F05-302E-4E36-B6C3-D33A7313CF7F}" name="Equipo"/>
    <tableColumn id="5" xr3:uid="{80B99EA3-A76A-4413-803B-47316FD99CFD}" name="Económico" dataDxfId="9">
      <calculatedColumnFormula>VLOOKUP(TablaMarimba6[[#This Row],[Equipo]],Catalogos!$I$4:$J$35,2,FALSE)</calculatedColumnFormula>
    </tableColumn>
    <tableColumn id="6" xr3:uid="{F3B80B77-7F7D-4E7F-90FB-32C1FB406B69}" name="Entrada (L)"/>
    <tableColumn id="7" xr3:uid="{6800B0C2-0798-474F-92E3-491283B10A41}" name="Salida (L)" dataDxfId="8"/>
    <tableColumn id="8" xr3:uid="{074D2D2A-CED3-4020-A111-0260F5AF13EE}" name="Existencia Teórica"/>
    <tableColumn id="9" xr3:uid="{F9911E82-721A-423B-A6E5-F73D5EDF7715}" name="Costo/L"/>
    <tableColumn id="10" xr3:uid="{C0E34614-EA93-4B8E-B48C-B52BEB55C2E1}" name="Importe"/>
    <tableColumn id="13" xr3:uid="{C3C21513-70B5-4317-B1A5-2CB6C2635055}" name="Saldo inicial(vales)" dataDxfId="7"/>
    <tableColumn id="14" xr3:uid="{C1AAAA92-ABFF-4A74-A305-4E598996551A}" name="Saldo final(vales)" dataDxfId="6">
      <calculatedColumnFormula>(TablaMarimba6[[#This Row],[Saldo inicial(vales)]]-TablaMarimba6[[#This Row],[Importe]])</calculatedColumnFormula>
    </tableColumn>
    <tableColumn id="15" xr3:uid="{3CEAC10A-B936-4FDF-BE2A-828B1C9CB20B}" name="Ajuste" dataDxfId="5"/>
    <tableColumn id="16" xr3:uid="{07C7E7F6-A3FC-45D2-ADAA-7E7BFD170ED7}" name="Gasolina" dataDxfId="4"/>
    <tableColumn id="11" xr3:uid="{3874C8C0-26B2-46B1-956E-1F33EE7ABE4F}" name="Firma/Validación"/>
    <tableColumn id="12" xr3:uid="{68A50BCC-C51C-495B-BF43-8A8723CAD7BA}" name="Observacion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Obra" displayName="TablaObra" ref="A4:K304">
  <autoFilter ref="A4:K304" xr:uid="{00000000-000C-0000-FFFF-FFFF02000000}">
    <filterColumn colId="0">
      <filters blank="1">
        <dateGroupItem year="2026" month="6" day="15" dateTimeGrouping="day"/>
        <dateGroupItem year="2026" month="6" day="16" dateTimeGrouping="day"/>
        <dateGroupItem year="2026" month="6" day="17" dateTimeGrouping="day"/>
        <dateGroupItem year="2026" month="6" day="18" dateTimeGrouping="day"/>
        <dateGroupItem year="2026" month="6" day="19" dateTimeGrouping="day"/>
      </filters>
    </filterColumn>
    <filterColumn colId="1">
      <filters>
        <filter val="Lerma - Tres Marías"/>
      </filters>
    </filterColumn>
  </autoFilter>
  <tableColumns count="11">
    <tableColumn id="1" xr3:uid="{00000000-0010-0000-0200-000001000000}" name="Fecha"/>
    <tableColumn id="2" xr3:uid="{00000000-0010-0000-0200-000002000000}" name="Obra"/>
    <tableColumn id="3" xr3:uid="{00000000-0010-0000-0200-000003000000}" name="Fuente"/>
    <tableColumn id="4" xr3:uid="{00000000-0010-0000-0200-000004000000}" name="Equipo"/>
    <tableColumn id="5" xr3:uid="{00000000-0010-0000-0200-000005000000}" name="Económico" dataDxfId="3">
      <calculatedColumnFormula>VLOOKUP(TablaObra[[#This Row],[Equipo]],Catalogos!$I$4:$J$46,2,FALSE)</calculatedColumnFormula>
    </tableColumn>
    <tableColumn id="6" xr3:uid="{00000000-0010-0000-0200-000006000000}" name="Litros Recibidos"/>
    <tableColumn id="7" xr3:uid="{00000000-0010-0000-0200-000007000000}" name="Costo/L"/>
    <tableColumn id="8" xr3:uid="{00000000-0010-0000-0200-000008000000}" name="Importe"/>
    <tableColumn id="9" xr3:uid="{00000000-0010-0000-0200-000009000000}" name="Actividad Ejecutada"/>
    <tableColumn id="10" xr3:uid="{00000000-0010-0000-0200-00000A000000}" name="Incidencia"/>
    <tableColumn id="11" xr3:uid="{00000000-0010-0000-0200-00000B000000}" name="Observacion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51E1A0-46C0-4363-819E-C11C2C696F1C}" name="TablaObra5" displayName="TablaObra5" ref="A4:K306">
  <autoFilter ref="A4:K306" xr:uid="{9851E1A0-46C0-4363-819E-C11C2C696F1C}"/>
  <tableColumns count="11">
    <tableColumn id="1" xr3:uid="{1461E643-B1E3-492E-BC5A-066B8171677D}" name="Fecha de Solicitud"/>
    <tableColumn id="2" xr3:uid="{E50BD36F-ABD4-438F-AA45-39F57D395FF0}" name="Obra"/>
    <tableColumn id="3" xr3:uid="{53E110DB-361B-4AEE-AD5B-CE674074FD06}" name="Fecha de Trabajo"/>
    <tableColumn id="4" xr3:uid="{27E90FDA-03DE-4CAD-A83C-4B98937C8772}" name="Equipo"/>
    <tableColumn id="5" xr3:uid="{BB8BB4E0-3E58-479F-9990-B9C53949B459}" name="Económico" dataDxfId="2">
      <calculatedColumnFormula>VLOOKUP(TablaObra5[[#This Row],[Equipo]],Catalogos!$I$4:$J$64,2,FALSE)</calculatedColumnFormula>
    </tableColumn>
    <tableColumn id="6" xr3:uid="{A8C23F3C-BA7E-4A96-AF9D-0B9C2D8E2ED0}" name="Litros Solicitados"/>
    <tableColumn id="7" xr3:uid="{028C8286-16D5-4B91-A81F-1C92ED643D5D}" name="Costo/L"/>
    <tableColumn id="8" xr3:uid="{6B42E0B4-BE5B-4B8C-9683-6446D1D5811E}" name="Importe">
      <calculatedColumnFormula>IFERROR(F5*G5,0)</calculatedColumnFormula>
    </tableColumn>
    <tableColumn id="9" xr3:uid="{ED06D6D7-0C20-41DA-9A35-599A98082C50}" name="Solicitante" dataDxfId="1">
      <calculatedColumnFormula>VLOOKUP(TablaObra5[[#This Row],[Obra]],Catalogos!$B$3:$C$10,2,FALSE)</calculatedColumnFormula>
    </tableColumn>
    <tableColumn id="10" xr3:uid="{3356B847-A103-4C3D-AA1D-A6F252B567C6}" name="Incidencia"/>
    <tableColumn id="11" xr3:uid="{24ECEB33-E884-4825-9717-D5F9957DA85D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sheetViews>
    <sheetView topLeftCell="A62" zoomScale="79" workbookViewId="0">
      <selection activeCell="E33" sqref="E33"/>
    </sheetView>
  </sheetViews>
  <sheetFormatPr baseColWidth="10" defaultRowHeight="13.8"/>
  <cols>
    <col min="1" max="1" width="18" customWidth="1"/>
    <col min="2" max="2" width="25" bestFit="1" customWidth="1"/>
    <col min="3" max="3" width="15" customWidth="1"/>
    <col min="4" max="4" width="16.5" bestFit="1" customWidth="1"/>
    <col min="5" max="5" width="25.3984375" bestFit="1" customWidth="1"/>
    <col min="6" max="6" width="15" bestFit="1" customWidth="1"/>
    <col min="7" max="7" width="18.09765625" bestFit="1" customWidth="1"/>
    <col min="8" max="8" width="17.296875" bestFit="1" customWidth="1"/>
    <col min="9" max="9" width="15" bestFit="1" customWidth="1"/>
    <col min="10" max="12" width="12" customWidth="1"/>
    <col min="13" max="13" width="15" customWidth="1"/>
    <col min="17" max="17" width="22.69921875" bestFit="1" customWidth="1"/>
    <col min="18" max="18" width="13.3984375" bestFit="1" customWidth="1"/>
    <col min="19" max="19" width="11.19921875" customWidth="1"/>
    <col min="31" max="31" width="20.8984375" bestFit="1" customWidth="1"/>
    <col min="32" max="32" width="22.796875" bestFit="1" customWidth="1"/>
  </cols>
  <sheetData>
    <row r="1" spans="1:10" ht="28.05" customHeight="1">
      <c r="A1" t="s" s="3460">
        <v>181</v>
      </c>
      <c r="B1" s="3461"/>
      <c r="C1" s="3462"/>
      <c r="D1" s="3463"/>
      <c r="E1" s="3464"/>
      <c r="F1" s="3465"/>
      <c r="G1" s="3466"/>
      <c r="H1" s="3467"/>
      <c r="I1" s="3468"/>
      <c r="J1" s="3469"/>
    </row>
    <row r="2" spans="1:10" ht="16.8">
      <c r="A2" s="400"/>
      <c r="B2" s="401"/>
      <c r="C2" s="402"/>
      <c r="D2" s="403"/>
      <c r="E2" s="404"/>
      <c r="F2" s="405"/>
      <c r="G2" s="406"/>
      <c r="H2" s="407"/>
      <c r="I2" s="408"/>
      <c r="J2" s="409"/>
    </row>
    <row r="3" spans="1:10" ht="16.05" customHeight="1">
      <c r="A3" t="s" s="3470">
        <v>182</v>
      </c>
      <c r="B3" s="3471"/>
      <c r="C3" s="3472"/>
      <c r="D3" s="3473"/>
      <c r="E3" t="s" s="3474">
        <v>232</v>
      </c>
      <c r="F3" s="3475"/>
      <c r="G3" s="3476"/>
      <c r="H3" s="3477"/>
      <c r="I3" s="3478"/>
      <c r="J3" s="3479"/>
    </row>
    <row r="4" spans="1:10" ht="16.8">
      <c r="A4" s="410"/>
      <c r="B4" t="s" s="216">
        <v>183</v>
      </c>
      <c r="C4" t="s" s="221">
        <v>3</v>
      </c>
      <c r="D4" s="411"/>
      <c r="E4" s="3480">
        <f>IF(I28=0, "🟢 TODO COINCIDE (0 L)", "🔴 DISCREPANCIA: " &amp; I28 &amp; " L")</f>
      </c>
      <c r="F4" s="3481"/>
      <c r="G4" s="3482"/>
      <c r="H4" s="3483"/>
      <c r="I4" s="3484"/>
      <c r="J4" s="412"/>
    </row>
    <row r="5" spans="1:10" ht="16.8">
      <c r="A5" s="413"/>
      <c r="B5" t="s" s="217">
        <v>184</v>
      </c>
      <c r="C5" s="222">
        <v>46188</v>
      </c>
      <c r="D5" s="414"/>
      <c r="E5" s="3485"/>
      <c r="F5" s="3486"/>
      <c r="G5" s="3487"/>
      <c r="H5" s="3488"/>
      <c r="I5" s="3489"/>
      <c r="J5" s="415"/>
    </row>
    <row r="6" spans="1:10" ht="16.8">
      <c r="A6" s="416"/>
      <c r="B6" t="s" s="218">
        <v>233</v>
      </c>
      <c r="C6" s="223">
        <v>46188</v>
      </c>
      <c r="D6" s="417"/>
      <c r="E6" s="3490"/>
      <c r="F6" s="3491"/>
      <c r="G6" s="3492"/>
      <c r="H6" s="3493"/>
      <c r="I6" s="3494"/>
      <c r="J6" s="418"/>
    </row>
    <row r="7" spans="1:10" ht="16.8">
      <c r="A7" s="419"/>
      <c r="B7" t="s" s="219">
        <v>185</v>
      </c>
      <c r="C7" s="224">
        <v>28.3</v>
      </c>
      <c r="D7" s="420"/>
      <c r="E7" s="3495"/>
      <c r="F7" s="3496"/>
      <c r="G7" s="3497"/>
      <c r="H7" s="3498"/>
      <c r="I7" s="3499"/>
      <c r="J7" s="421"/>
    </row>
    <row r="8" spans="1:10" ht="16.8">
      <c r="A8" s="422"/>
      <c r="B8" t="s" s="220">
        <v>234</v>
      </c>
      <c r="C8" t="s" s="225">
        <v>245</v>
      </c>
      <c r="D8" s="423"/>
      <c r="E8" s="3500"/>
      <c r="F8" s="3501"/>
      <c r="G8" s="3502"/>
      <c r="H8" s="3503"/>
      <c r="I8" s="3504"/>
      <c r="J8" s="424"/>
    </row>
    <row r="9" spans="1:10" ht="16.8">
      <c r="A9" s="425"/>
      <c r="B9" s="426"/>
      <c r="C9" s="427"/>
      <c r="D9" s="428"/>
      <c r="E9" s="429"/>
      <c r="F9" s="430"/>
      <c r="G9" s="431"/>
      <c r="H9" s="432"/>
      <c r="I9" s="433"/>
      <c r="J9" s="434"/>
    </row>
    <row r="10" spans="1:10" ht="16.05" customHeight="1">
      <c r="A10" t="s" s="3505">
        <v>186</v>
      </c>
      <c r="B10" s="3506"/>
      <c r="C10" s="3507"/>
      <c r="D10" s="3508"/>
      <c r="E10" s="3509"/>
      <c r="F10" s="3510"/>
      <c r="G10" s="3511"/>
      <c r="H10" s="3512"/>
      <c r="I10" s="3513"/>
      <c r="J10" s="3514"/>
    </row>
    <row r="11" spans="1:10" ht="19.2" customHeight="1">
      <c r="A11" t="s" s="226">
        <v>187</v>
      </c>
      <c r="B11" t="s" s="227">
        <v>12</v>
      </c>
      <c r="C11" t="s" s="228">
        <v>188</v>
      </c>
      <c r="D11" t="s" s="229">
        <v>189</v>
      </c>
      <c r="E11" t="s" s="230">
        <v>190</v>
      </c>
      <c r="F11" t="s" s="231">
        <v>191</v>
      </c>
      <c r="G11" t="s" s="232">
        <v>192</v>
      </c>
      <c r="H11" t="s" s="233">
        <v>193</v>
      </c>
      <c r="I11" s="435"/>
      <c r="J11" s="436"/>
    </row>
    <row r="12" spans="1:10" ht="16.05" customHeight="1">
      <c r="A12" t="s" s="234">
        <v>194</v>
      </c>
      <c r="B12" s="235">
        <f>C$5</f>
      </c>
      <c r="C12" s="236">
        <f>IF(C$4="Todas", SUMIFS(Solicitudes!F:F, Solicitudes!C:C, B12), SUMIFS(Solicitudes!F:F, Solicitudes!B:B, C$4, Solicitudes!C:C, B12))</f>
      </c>
      <c r="D12" s="237">
        <f>IF(C$4="Jalisco", SUMIFS(Captura_Jalisco!G:G, Captura_Jalisco!A:A, B12, Captura_Jalisco!B:B, "Salida"), IF(C$4="Todas", SUMIFS(Captura_Obra!F:F, Captura_Obra!A:A, B12) + SUMIFS(Captura_Jalisco!G:G, Captura_Jalisco!A:A, B12, Captura_Jalisco!B:B, "Salida"), SUMIFS(Captura_Obra!F:F, Captura_Obra!B:B, C$4, Captura_Obra!A:A, B12)))</f>
      </c>
      <c r="E12" s="238">
        <f t="shared" ref="E12:E17" si="0">D12-C12</f>
      </c>
      <c r="F12" s="239">
        <f t="shared" ref="F12:F17" si="1">C12*C$7</f>
      </c>
      <c r="G12" s="240">
        <f t="shared" ref="G12:G17" si="2">D12*C$7</f>
      </c>
      <c r="H12" s="241">
        <f t="shared" ref="H12:H17" si="3">G12-F12</f>
      </c>
      <c r="I12" s="437"/>
      <c r="J12" s="438"/>
    </row>
    <row r="13" spans="1:10" ht="16.05" customHeight="1">
      <c r="A13" t="s" s="242">
        <v>195</v>
      </c>
      <c r="B13" s="243">
        <f>B12+1</f>
      </c>
      <c r="C13" s="244">
        <f>IF(C$4="Todas", SUMIFS(Solicitudes!F:F, Solicitudes!C:C, B13), SUMIFS(Solicitudes!F:F, Solicitudes!B:B, C$4, Solicitudes!C:C, B13))</f>
      </c>
      <c r="D13" s="245">
        <f>IF(C$4="Jalisco", SUMIFS(Captura_Jalisco!G:G, Captura_Jalisco!A:A, B13, Captura_Jalisco!B:B, "Salida"), IF(C$4="Todas", SUMIFS(Captura_Obra!F:F, Captura_Obra!A:A, B13) + SUMIFS(Captura_Jalisco!G:G, Captura_Jalisco!A:A, B13, Captura_Jalisco!B:B, "Salida"), SUMIFS(Captura_Obra!F:F, Captura_Obra!B:B, C$4, Captura_Obra!A:A, B13)))</f>
      </c>
      <c r="E13" s="246">
        <f t="shared" si="0"/>
      </c>
      <c r="F13" s="247">
        <f t="shared" si="1"/>
      </c>
      <c r="G13" s="248">
        <f t="shared" si="2"/>
      </c>
      <c r="H13" s="249">
        <f t="shared" si="3"/>
      </c>
      <c r="I13" s="439"/>
      <c r="J13" s="440"/>
    </row>
    <row r="14" spans="1:10" ht="16.05" customHeight="1">
      <c r="A14" t="s" s="250">
        <v>196</v>
      </c>
      <c r="B14" s="251">
        <f>B13+1</f>
      </c>
      <c r="C14" s="252">
        <f>IF(C$4="Todas", SUMIFS(Solicitudes!F:F, Solicitudes!C:C, B14), SUMIFS(Solicitudes!F:F, Solicitudes!B:B, C$4, Solicitudes!C:C, B14))</f>
      </c>
      <c r="D14" s="253">
        <f>IF(C$4="Jalisco", SUMIFS(Captura_Jalisco!G:G, Captura_Jalisco!A:A, B14, Captura_Jalisco!B:B, "Salida"), IF(C$4="Todas", SUMIFS(Captura_Obra!F:F, Captura_Obra!A:A, B14) + SUMIFS(Captura_Jalisco!G:G, Captura_Jalisco!A:A, B14, Captura_Jalisco!B:B, "Salida"), SUMIFS(Captura_Obra!F:F, Captura_Obra!B:B, C$4, Captura_Obra!A:A, B14)))</f>
      </c>
      <c r="E14" s="254">
        <f t="shared" si="0"/>
      </c>
      <c r="F14" s="255">
        <f t="shared" si="1"/>
      </c>
      <c r="G14" s="256">
        <f t="shared" si="2"/>
      </c>
      <c r="H14" s="257">
        <f t="shared" si="3"/>
      </c>
      <c r="I14" s="441"/>
      <c r="J14" s="442"/>
    </row>
    <row r="15" spans="1:10" ht="16.05" customHeight="1">
      <c r="A15" t="s" s="258">
        <v>197</v>
      </c>
      <c r="B15" s="259">
        <f>B14+1</f>
      </c>
      <c r="C15" s="260">
        <f>IF(C$4="Todas", SUMIFS(Solicitudes!F:F, Solicitudes!C:C, B15), SUMIFS(Solicitudes!F:F, Solicitudes!B:B, C$4, Solicitudes!C:C, B15))</f>
      </c>
      <c r="D15" s="261">
        <f>IF(C$4="Jalisco", SUMIFS(Captura_Jalisco!G:G, Captura_Jalisco!A:A, B15, Captura_Jalisco!B:B, "Salida"), IF(C$4="Todas", SUMIFS(Captura_Obra!F:F, Captura_Obra!A:A, B15) + SUMIFS(Captura_Jalisco!G:G, Captura_Jalisco!A:A, B15, Captura_Jalisco!B:B, "Salida"), SUMIFS(Captura_Obra!F:F, Captura_Obra!B:B, C$4, Captura_Obra!A:A, B15)))</f>
      </c>
      <c r="E15" s="262">
        <f t="shared" si="0"/>
      </c>
      <c r="F15" s="263">
        <f t="shared" si="1"/>
      </c>
      <c r="G15" s="264">
        <f t="shared" si="2"/>
      </c>
      <c r="H15" s="265">
        <f t="shared" si="3"/>
      </c>
      <c r="I15" s="443"/>
      <c r="J15" s="444"/>
    </row>
    <row r="16" spans="1:10" ht="16.05" customHeight="1">
      <c r="A16" t="s" s="266">
        <v>198</v>
      </c>
      <c r="B16" s="267">
        <f>B15+1</f>
      </c>
      <c r="C16" s="268">
        <f>IF(C$4="Todas", SUMIFS(Solicitudes!F:F, Solicitudes!C:C, B16), SUMIFS(Solicitudes!F:F, Solicitudes!B:B, C$4, Solicitudes!C:C, B16))</f>
      </c>
      <c r="D16" s="269">
        <f>IF(C$4="Jalisco", SUMIFS(Captura_Jalisco!G:G, Captura_Jalisco!A:A, B16, Captura_Jalisco!B:B, "Salida"), IF(C$4="Todas", SUMIFS(Captura_Obra!F:F, Captura_Obra!A:A, B16) + SUMIFS(Captura_Jalisco!G:G, Captura_Jalisco!A:A, B16, Captura_Jalisco!B:B, "Salida"), SUMIFS(Captura_Obra!F:F, Captura_Obra!B:B, C$4, Captura_Obra!A:A, B16)))</f>
      </c>
      <c r="E16" s="270">
        <f t="shared" si="0"/>
      </c>
      <c r="F16" s="271">
        <f t="shared" si="1"/>
      </c>
      <c r="G16" s="272">
        <f t="shared" si="2"/>
      </c>
      <c r="H16" s="273">
        <f t="shared" si="3"/>
      </c>
      <c r="I16" s="445"/>
      <c r="J16" s="446"/>
    </row>
    <row r="17" spans="1:32" ht="16.05" customHeight="1">
      <c r="A17" t="s" s="274">
        <v>199</v>
      </c>
      <c r="B17" s="275">
        <f>B16+1</f>
      </c>
      <c r="C17" s="276">
        <f>IF(C$4="Todas", SUMIFS(Solicitudes!F:F, Solicitudes!C:C, B17), SUMIFS(Solicitudes!F:F, Solicitudes!B:B, C$4, Solicitudes!C:C, B17))</f>
      </c>
      <c r="D17" s="277">
        <f>IF(C$4="Jalisco", SUMIFS(Captura_Jalisco!G:G, Captura_Jalisco!A:A, B17, Captura_Jalisco!B:B, "Salida"), IF(C$4="Todas", SUMIFS(Captura_Obra!F:F, Captura_Obra!A:A, B17) + SUMIFS(Captura_Jalisco!G:G, Captura_Jalisco!A:A, B17, Captura_Jalisco!B:B, "Salida"), SUMIFS(Captura_Obra!F:F, Captura_Obra!B:B, C$4, Captura_Obra!A:A, B17)))</f>
      </c>
      <c r="E17" s="278">
        <f t="shared" si="0"/>
      </c>
      <c r="F17" s="279">
        <f t="shared" si="1"/>
      </c>
      <c r="G17" s="280">
        <f t="shared" si="2"/>
      </c>
      <c r="H17" s="281">
        <f t="shared" si="3"/>
      </c>
      <c r="I17" s="447"/>
      <c r="J17" s="448"/>
    </row>
    <row r="18" spans="1:32" ht="17.55" customHeight="1">
      <c r="A18" t="s" s="282">
        <v>200</v>
      </c>
      <c r="B18" s="283"/>
      <c r="C18" s="284">
        <f t="shared" ref="C18:H18" si="4">SUM(C12:C17)</f>
      </c>
      <c r="D18" s="285">
        <f t="shared" si="4"/>
      </c>
      <c r="E18" s="286">
        <f t="shared" si="4"/>
      </c>
      <c r="F18" s="287">
        <f t="shared" si="4"/>
      </c>
      <c r="G18" s="288">
        <f t="shared" si="4"/>
      </c>
      <c r="H18" s="289">
        <f t="shared" si="4"/>
      </c>
      <c r="I18" s="449"/>
      <c r="J18" s="450"/>
    </row>
    <row r="19" spans="1:32" ht="16.8">
      <c r="A19" s="451"/>
      <c r="B19" s="452"/>
      <c r="C19" s="453"/>
      <c r="D19" s="454"/>
      <c r="E19" s="455"/>
      <c r="F19" s="456"/>
      <c r="G19" s="457"/>
      <c r="H19" s="458"/>
      <c r="I19" s="459"/>
      <c r="J19" s="460"/>
    </row>
    <row r="20" spans="1:32" ht="16.05" customHeight="1">
      <c r="A20" t="s" s="3515">
        <v>201</v>
      </c>
      <c r="B20" s="3516"/>
      <c r="C20" s="3517"/>
      <c r="D20" s="3518"/>
      <c r="E20" s="3519"/>
      <c r="F20" s="3520"/>
      <c r="G20" s="3521"/>
      <c r="H20" s="3522"/>
      <c r="I20" s="3523"/>
      <c r="J20" s="3524"/>
    </row>
    <row r="21" spans="1:32" ht="19.2" customHeight="1">
      <c r="A21" t="s" s="290">
        <v>187</v>
      </c>
      <c r="B21" t="s" s="291">
        <v>12</v>
      </c>
      <c r="C21" t="s" s="292">
        <v>202</v>
      </c>
      <c r="D21" t="s" s="293">
        <v>203</v>
      </c>
      <c r="E21" t="s" s="294">
        <v>204</v>
      </c>
      <c r="F21" t="s" s="295">
        <v>205</v>
      </c>
      <c r="G21" t="s" s="296">
        <v>206</v>
      </c>
      <c r="H21" t="s" s="297">
        <v>207</v>
      </c>
      <c r="I21" t="s" s="298">
        <v>208</v>
      </c>
      <c r="J21" t="s" s="299">
        <v>235</v>
      </c>
    </row>
    <row r="22" spans="1:32" ht="16.05" customHeight="1">
      <c r="A22" t="s" s="300">
        <v>194</v>
      </c>
      <c r="B22" s="301">
        <f t="shared" ref="B22:B27" si="5">B12</f>
      </c>
      <c r="C22" s="302">
        <f>IF(C$4="Todas", SUMIFS(Captura_Obra!F:F, Captura_Obra!A:A, B22, Captura_Obra!C:C, "Marimba M-01"), SUMIFS(Captura_Obra!F:F, Captura_Obra!B:B, C$4, Captura_Obra!A:A, B22, Captura_Obra!C:C, "Marimba M-01"))</f>
      </c>
      <c r="D22" s="303">
        <f>IF(C$4="Todas", SUMIFS(Captura_Marimba_M01!G:G, Captura_Marimba_M01!A:A, B22, Captura_Marimba_M01!B:B, "Salida"), SUMIFS(Captura_Marimba_M01!G:G, Captura_Marimba_M01!C:C, C$4, Captura_Marimba_M01!A:A, B22, Captura_Marimba_M01!B:B, "Salida"))</f>
      </c>
      <c r="E22" s="304">
        <f t="shared" ref="E22:E27" si="6">C22-D22</f>
      </c>
      <c r="F22" s="305">
        <f>IF(C$4="Todas", SUMIFS(Captura_Obra!F:F, Captura_Obra!A:A, B22, Captura_Obra!C:C, "Pegaso Directo"), SUMIFS(Captura_Obra!F:F, Captura_Obra!B:B, C$4, Captura_Obra!A:A, B22, Captura_Obra!C:C, "Pegaso Directo"))</f>
      </c>
      <c r="G22" s="306">
        <f>IF(C$4="Todas", SUMIFS(Captura_Pegaso!H:H, Captura_Pegaso!A:A, B22, Captura_Pegaso!B:B, "Salida"), SUMIFS(Captura_Pegaso!H:H, Captura_Pegaso!D:D, C$4, Captura_Pegaso!A:A, B22, Captura_Pegaso!B:B, "Salida"))</f>
      </c>
      <c r="H22" s="307">
        <f t="shared" ref="H22:H27" si="7">F22-G22</f>
      </c>
      <c r="I22" s="308">
        <f t="shared" ref="I22:I27" si="8">E22+H22</f>
      </c>
      <c r="J22" s="309"/>
    </row>
    <row r="23" spans="1:32" ht="16.05" customHeight="1">
      <c r="A23" t="s" s="310">
        <v>195</v>
      </c>
      <c r="B23" s="311">
        <f t="shared" si="5"/>
      </c>
      <c r="C23" s="312">
        <f>IF(C$4="Todas", SUMIFS(Captura_Obra!F:F, Captura_Obra!A:A, B23, Captura_Obra!C:C, "Marimba M-01"), SUMIFS(Captura_Obra!F:F, Captura_Obra!B:B, C$4, Captura_Obra!A:A, B23, Captura_Obra!C:C, "Marimba M-01"))</f>
      </c>
      <c r="D23" s="313">
        <f>IF(C$4="Todas", SUMIFS(Captura_Marimba_M01!G:G, Captura_Marimba_M01!A:A, B23, Captura_Marimba_M01!B:B, "Salida"), SUMIFS(Captura_Marimba_M01!G:G, Captura_Marimba_M01!C:C, C$4, Captura_Marimba_M01!A:A, B23, Captura_Marimba_M01!B:B, "Salida"))</f>
      </c>
      <c r="E23" s="314">
        <f t="shared" si="6"/>
      </c>
      <c r="F23" s="315">
        <f>IF(C$4="Todas", SUMIFS(Captura_Obra!F:F, Captura_Obra!A:A, B23, Captura_Obra!C:C, "Pegaso Directo"), SUMIFS(Captura_Obra!F:F, Captura_Obra!B:B, C$4, Captura_Obra!A:A, B23, Captura_Obra!C:C, "Pegaso Directo"))</f>
      </c>
      <c r="G23" s="316">
        <f>IF(C$4="Todas", SUMIFS(Captura_Pegaso!H:H, Captura_Pegaso!A:A, B23, Captura_Pegaso!B:B, "Salida"), SUMIFS(Captura_Pegaso!H:H, Captura_Pegaso!D:D, C$4, Captura_Pegaso!A:A, B23, Captura_Pegaso!B:B, "Salida"))</f>
      </c>
      <c r="H23" s="317">
        <f t="shared" si="7"/>
      </c>
      <c r="I23" s="318">
        <f t="shared" si="8"/>
      </c>
      <c r="J23" s="319"/>
    </row>
    <row r="24" spans="1:32" ht="16.05" customHeight="1">
      <c r="A24" t="s" s="320">
        <v>196</v>
      </c>
      <c r="B24" s="321">
        <f t="shared" si="5"/>
      </c>
      <c r="C24" s="322">
        <f>IF(C$4="Todas", SUMIFS(Captura_Obra!F:F, Captura_Obra!A:A, B24, Captura_Obra!C:C, "Marimba M-01"), SUMIFS(Captura_Obra!F:F, Captura_Obra!B:B, C$4, Captura_Obra!A:A, B24, Captura_Obra!C:C, "Marimba M-01"))</f>
      </c>
      <c r="D24" s="323">
        <f>IF(C$4="Todas", SUMIFS(Captura_Marimba_M01!G:G, Captura_Marimba_M01!A:A, B24, Captura_Marimba_M01!B:B, "Salida"), SUMIFS(Captura_Marimba_M01!G:G, Captura_Marimba_M01!C:C, C$4, Captura_Marimba_M01!A:A, B24, Captura_Marimba_M01!B:B, "Salida"))</f>
      </c>
      <c r="E24" s="324">
        <f t="shared" si="6"/>
      </c>
      <c r="F24" s="325">
        <f>IF(C$4="Todas", SUMIFS(Captura_Obra!F:F, Captura_Obra!A:A, B24, Captura_Obra!C:C, "Pegaso Directo"), SUMIFS(Captura_Obra!F:F, Captura_Obra!B:B, C$4, Captura_Obra!A:A, B24, Captura_Obra!C:C, "Pegaso Directo"))</f>
      </c>
      <c r="G24" s="326">
        <f>IF(C$4="Todas", SUMIFS(Captura_Pegaso!H:H, Captura_Pegaso!A:A, B24, Captura_Pegaso!B:B, "Salida"), SUMIFS(Captura_Pegaso!H:H, Captura_Pegaso!D:D, C$4, Captura_Pegaso!A:A, B24, Captura_Pegaso!B:B, "Salida"))</f>
      </c>
      <c r="H24" s="327">
        <f t="shared" si="7"/>
      </c>
      <c r="I24" s="328">
        <f t="shared" si="8"/>
      </c>
      <c r="J24" s="329"/>
    </row>
    <row r="25" spans="1:32" ht="16.05" customHeight="1">
      <c r="A25" t="s" s="330">
        <v>197</v>
      </c>
      <c r="B25" s="331">
        <f t="shared" si="5"/>
      </c>
      <c r="C25" s="332">
        <f>IF(C$4="Todas", SUMIFS(Captura_Obra!F:F, Captura_Obra!A:A, B25, Captura_Obra!C:C, "Marimba M-01"), SUMIFS(Captura_Obra!F:F, Captura_Obra!B:B, C$4, Captura_Obra!A:A, B25, Captura_Obra!C:C, "Marimba M-01"))</f>
      </c>
      <c r="D25" s="333">
        <f>IF(C$4="Todas", SUMIFS(Captura_Marimba_M01!G:G, Captura_Marimba_M01!A:A, B25, Captura_Marimba_M01!B:B, "Salida"), SUMIFS(Captura_Marimba_M01!G:G, Captura_Marimba_M01!C:C, C$4, Captura_Marimba_M01!A:A, B25, Captura_Marimba_M01!B:B, "Salida"))</f>
      </c>
      <c r="E25" s="334">
        <f t="shared" si="6"/>
      </c>
      <c r="F25" s="335">
        <f>IF(C$4="Todas", SUMIFS(Captura_Obra!F:F, Captura_Obra!A:A, B25, Captura_Obra!C:C, "Pegaso Directo"), SUMIFS(Captura_Obra!F:F, Captura_Obra!B:B, C$4, Captura_Obra!A:A, B25, Captura_Obra!C:C, "Pegaso Directo"))</f>
      </c>
      <c r="G25" s="336">
        <f>IF(C$4="Todas", SUMIFS(Captura_Pegaso!H:H, Captura_Pegaso!A:A, B25, Captura_Pegaso!B:B, "Salida"), SUMIFS(Captura_Pegaso!H:H, Captura_Pegaso!D:D, C$4, Captura_Pegaso!A:A, B25, Captura_Pegaso!B:B, "Salida"))</f>
      </c>
      <c r="H25" s="337">
        <f t="shared" si="7"/>
      </c>
      <c r="I25" s="338">
        <f t="shared" si="8"/>
      </c>
      <c r="J25" s="339"/>
    </row>
    <row r="26" spans="1:32" ht="16.05" customHeight="1">
      <c r="A26" t="s" s="340">
        <v>198</v>
      </c>
      <c r="B26" s="341">
        <f t="shared" si="5"/>
      </c>
      <c r="C26" s="342">
        <f>IF(C$4="Todas", SUMIFS(Captura_Obra!F:F, Captura_Obra!A:A, B26, Captura_Obra!C:C, "Marimba M-01"), SUMIFS(Captura_Obra!F:F, Captura_Obra!B:B, C$4, Captura_Obra!A:A, B26, Captura_Obra!C:C, "Marimba M-01"))</f>
      </c>
      <c r="D26" s="343">
        <f>IF(C$4="Todas", SUMIFS(Captura_Marimba_M01!G:G, Captura_Marimba_M01!A:A, B26, Captura_Marimba_M01!B:B, "Salida"), SUMIFS(Captura_Marimba_M01!G:G, Captura_Marimba_M01!C:C, C$4, Captura_Marimba_M01!A:A, B26, Captura_Marimba_M01!B:B, "Salida"))</f>
      </c>
      <c r="E26" s="344">
        <f t="shared" si="6"/>
      </c>
      <c r="F26" s="345">
        <f>IF(C$4="Todas", SUMIFS(Captura_Obra!F:F, Captura_Obra!A:A, B26, Captura_Obra!C:C, "Pegaso Directo"), SUMIFS(Captura_Obra!F:F, Captura_Obra!B:B, C$4, Captura_Obra!A:A, B26, Captura_Obra!C:C, "Pegaso Directo"))</f>
      </c>
      <c r="G26" s="346">
        <f>IF(C$4="Todas", SUMIFS(Captura_Pegaso!H:H, Captura_Pegaso!A:A, B26, Captura_Pegaso!B:B, "Salida"), SUMIFS(Captura_Pegaso!H:H, Captura_Pegaso!D:D, C$4, Captura_Pegaso!A:A, B26, Captura_Pegaso!B:B, "Salida"))</f>
      </c>
      <c r="H26" s="347">
        <f t="shared" si="7"/>
      </c>
      <c r="I26" s="348">
        <f t="shared" si="8"/>
      </c>
      <c r="J26" s="349"/>
    </row>
    <row r="27" spans="1:32" ht="16.05" customHeight="1">
      <c r="A27" t="s" s="350">
        <v>199</v>
      </c>
      <c r="B27" s="351">
        <f t="shared" si="5"/>
      </c>
      <c r="C27" s="352">
        <f>IF(C$4="Todas", SUMIFS(Captura_Obra!F:F, Captura_Obra!A:A, B27, Captura_Obra!C:C, "Marimba M-01"), SUMIFS(Captura_Obra!F:F, Captura_Obra!B:B, C$4, Captura_Obra!A:A, B27, Captura_Obra!C:C, "Marimba M-01"))</f>
      </c>
      <c r="D27" s="353">
        <f>IF(C$4="Todas", SUMIFS(Captura_Marimba_M01!G:G, Captura_Marimba_M01!A:A, B27, Captura_Marimba_M01!B:B, "Salida"), SUMIFS(Captura_Marimba_M01!G:G, Captura_Marimba_M01!C:C, C$4, Captura_Marimba_M01!A:A, B27, Captura_Marimba_M01!B:B, "Salida"))</f>
      </c>
      <c r="E27" s="354">
        <f t="shared" si="6"/>
      </c>
      <c r="F27" s="355">
        <f>IF(C$4="Todas", SUMIFS(Captura_Obra!F:F, Captura_Obra!A:A, B27, Captura_Obra!C:C, "Pegaso Directo"), SUMIFS(Captura_Obra!F:F, Captura_Obra!B:B, C$4, Captura_Obra!A:A, B27, Captura_Obra!C:C, "Pegaso Directo"))</f>
      </c>
      <c r="G27" s="356">
        <f>IF(C$4="Todas", SUMIFS(Captura_Pegaso!H:H, Captura_Pegaso!A:A, B27, Captura_Pegaso!B:B, "Salida"), SUMIFS(Captura_Pegaso!H:H, Captura_Pegaso!D:D, C$4, Captura_Pegaso!A:A, B27, Captura_Pegaso!B:B, "Salida"))</f>
      </c>
      <c r="H27" s="357">
        <f t="shared" si="7"/>
      </c>
      <c r="I27" s="358">
        <f t="shared" si="8"/>
      </c>
      <c r="J27" s="359"/>
    </row>
    <row r="28" spans="1:32" ht="17.55" customHeight="1">
      <c r="A28" t="s" s="360">
        <v>236</v>
      </c>
      <c r="B28" s="361"/>
      <c r="C28" s="362">
        <f t="shared" ref="C28:I28" si="9">SUM(C22:C27)</f>
      </c>
      <c r="D28" s="363">
        <f t="shared" si="9"/>
      </c>
      <c r="E28" s="364">
        <f t="shared" si="9"/>
      </c>
      <c r="F28" s="365">
        <f t="shared" si="9"/>
      </c>
      <c r="G28" s="366">
        <f t="shared" si="9"/>
      </c>
      <c r="H28" s="367">
        <f t="shared" si="9"/>
      </c>
      <c r="I28" s="368">
        <f t="shared" si="9"/>
      </c>
      <c r="J28" s="369"/>
    </row>
    <row r="29" spans="1:32" ht="16.8">
      <c r="A29" s="461"/>
      <c r="B29" s="462"/>
      <c r="C29" s="463"/>
      <c r="D29" s="464"/>
      <c r="E29" s="465"/>
      <c r="F29" s="466"/>
      <c r="G29" s="467"/>
      <c r="H29" s="468"/>
      <c r="I29" s="469"/>
      <c r="J29" s="470"/>
    </row>
    <row r="30" spans="1:32" ht="16.8">
      <c r="A30" s="471"/>
      <c r="B30" s="472"/>
      <c r="C30" s="473"/>
      <c r="D30" s="474"/>
      <c r="E30" s="475"/>
      <c r="F30" s="476"/>
      <c r="G30" s="477"/>
      <c r="H30" s="478"/>
      <c r="I30" s="479"/>
      <c r="J30" s="480"/>
      <c r="Q30" s="3528">
        <f>"SOLICITUDES DE DISEL DIARIAS Y SEMANALES POR OBRA (SEMANA " &amp; YEAR(C5) &amp; "-" &amp; TEXT(MONTH(C5),"00") &amp; "-" &amp; TEXT(DAY(C5),"00") &amp; ")"</f>
      </c>
      <c r="R30" s="3528"/>
      <c r="S30" s="3528"/>
      <c r="T30" s="3528"/>
      <c r="U30" s="3528"/>
      <c r="V30" s="3528"/>
      <c r="W30" s="3528"/>
      <c r="X30" s="3528"/>
      <c r="Y30" s="3528"/>
      <c r="Z30" s="3528"/>
      <c r="AA30" s="3528"/>
      <c r="AB30" s="3528"/>
      <c r="AC30" s="3528"/>
      <c r="AD30" s="3528"/>
      <c r="AE30" s="3528"/>
      <c r="AF30" s="3528"/>
    </row>
    <row r="31" spans="1:32" ht="24" customHeight="1">
      <c r="A31" t="s" s="3525">
        <v>237</v>
      </c>
      <c r="B31" s="3525"/>
      <c r="C31" s="3525"/>
      <c r="D31" s="593"/>
      <c r="Q31" t="s" s="3535">
        <v>0</v>
      </c>
      <c r="R31" t="s" s="3536">
        <v>136</v>
      </c>
      <c r="S31" t="s" s="3529">
        <v>194</v>
      </c>
      <c r="T31" s="3529"/>
      <c r="U31" t="s" s="3534">
        <v>195</v>
      </c>
      <c r="V31" s="3534"/>
      <c r="W31" t="s" s="3533">
        <v>196</v>
      </c>
      <c r="X31" s="3533"/>
      <c r="Y31" t="s" s="3532">
        <v>197</v>
      </c>
      <c r="Z31" s="3532"/>
      <c r="AA31" t="s" s="3531">
        <v>198</v>
      </c>
      <c r="AB31" s="3531"/>
      <c r="AC31" t="s" s="3530">
        <v>199</v>
      </c>
      <c r="AD31" s="3530"/>
      <c r="AE31" t="s" s="3526">
        <v>437</v>
      </c>
      <c r="AF31" t="s" s="3526">
        <v>438</v>
      </c>
    </row>
    <row r="32" spans="1:32" ht="22.05" customHeight="1">
      <c r="A32" t="s" s="370">
        <v>0</v>
      </c>
      <c r="B32" t="s" s="371">
        <v>229</v>
      </c>
      <c r="C32" t="s" s="372">
        <v>230</v>
      </c>
      <c r="D32" s="481"/>
      <c r="Q32" s="3535"/>
      <c r="R32" s="3536"/>
      <c r="S32" t="s" s="2942">
        <v>435</v>
      </c>
      <c r="T32" t="s" s="2942">
        <v>436</v>
      </c>
      <c r="U32" t="s" s="2942">
        <v>435</v>
      </c>
      <c r="V32" t="s" s="2942">
        <v>436</v>
      </c>
      <c r="W32" t="s" s="2942">
        <v>435</v>
      </c>
      <c r="X32" t="s" s="2942">
        <v>436</v>
      </c>
      <c r="Y32" t="s" s="2942">
        <v>435</v>
      </c>
      <c r="Z32" t="s" s="2942">
        <v>436</v>
      </c>
      <c r="AA32" t="s" s="2942">
        <v>435</v>
      </c>
      <c r="AB32" t="s" s="2942">
        <v>436</v>
      </c>
      <c r="AC32" t="s" s="2942">
        <v>435</v>
      </c>
      <c r="AD32" t="s" s="2942">
        <v>436</v>
      </c>
      <c r="AE32" s="3527"/>
      <c r="AF32" s="3527"/>
    </row>
    <row r="33" spans="1:32" ht="19.95" customHeight="1">
      <c r="A33" t="s" s="373">
        <v>2</v>
      </c>
      <c r="B33" s="374">
        <f>IF(C$8="Acumulado Histórico", SUMIFS(Captura_Obra!F:F, Captura_Obra!B:B, A33), IF(C$8="Rango de Fechas", SUMIFS(Captura_Obra!F:F, Captura_Obra!B:B, A33, Captura_Obra!A:A, "&gt;="&amp;C$5, Captura_Obra!A:A, "&lt;="&amp;(C$6+5)), SUMIFS(Captura_Obra!F:F, Captura_Obra!B:B, A33, Captura_Obra!A:A, "&gt;="&amp;C$5, Captura_Obra!A:A, "&lt;="&amp;(C$5+5))))</f>
      </c>
      <c r="C33" s="375">
        <f t="shared" ref="C33:C40" si="10">B33*C$7</f>
      </c>
      <c r="D33" s="482"/>
      <c r="P33" t="s">
        <v>439</v>
      </c>
      <c r="Q33" s="587">
        <f>A33</f>
      </c>
      <c r="R33" s="2902">
        <f>VLOOKUP(Q33,Catalogos!$B$4:$C$18,2,FALSE)</f>
      </c>
      <c r="S33" s="2905">
        <f>SUMIFS(Solicitudes!$F:$F, Solicitudes!$B:$B, $Q33, Solicitudes!$C:$C, $B$12)</f>
      </c>
      <c r="T33" s="2904">
        <v>550</v>
      </c>
      <c r="U33" s="2906">
        <f>SUMIFS(Solicitudes!$F:$F, Solicitudes!$B:$B, $Q33, Solicitudes!$C:$C, $B$13)</f>
      </c>
      <c r="V33" s="2904">
        <v>550</v>
      </c>
      <c r="W33" s="2907">
        <f>SUMIFS(Solicitudes!$F:$F, Solicitudes!$B:$B, $Q33, Solicitudes!$C:$C, $B$14)</f>
      </c>
      <c r="X33" s="2904">
        <v>550</v>
      </c>
      <c r="Y33" s="2908">
        <f>SUMIFS(Solicitudes!$F:$F, Solicitudes!$B:$B, $Q33, Solicitudes!$C:$C, $B$15)</f>
      </c>
      <c r="Z33" s="2904">
        <v>550</v>
      </c>
      <c r="AA33" s="2909">
        <f>SUMIFS(Solicitudes!$F:$F, Solicitudes!$B:$B, $Q33, Solicitudes!$C:$C, $B$16)</f>
      </c>
      <c r="AB33" s="2904">
        <v>550</v>
      </c>
      <c r="AC33" s="2910">
        <f>SUMIFS(Solicitudes!$F:$F, Solicitudes!$B:$B, $Q33, Solicitudes!$C:$C, $B$17)</f>
      </c>
      <c r="AD33" s="2911">
        <v>0</v>
      </c>
      <c r="AE33" s="2912">
        <f>SUM(S33,U33,W33,Y33,AA33,AC33,)</f>
      </c>
      <c r="AF33" s="2912">
        <f>SUM(T33,V33,X33,Z33,AB33,AD33)</f>
      </c>
    </row>
    <row r="34" spans="1:32" ht="19.95" customHeight="1">
      <c r="A34" t="s" s="376">
        <v>3</v>
      </c>
      <c r="B34" s="377">
        <f>IF(C$8="Acumulado Histórico", SUMIFS(Captura_Obra!F:F, Captura_Obra!B:B, A34), IF(C$8="Rango de Fechas", SUMIFS(Captura_Obra!F:F, Captura_Obra!B:B, A34, Captura_Obra!A:A, "&gt;="&amp;C$5, Captura_Obra!A:A, "&lt;="&amp;(C$6+5)), SUMIFS(Captura_Obra!F:F, Captura_Obra!B:B, A34, Captura_Obra!A:A, "&gt;="&amp;C$5, Captura_Obra!A:A, "&lt;="&amp;(C$5+5))))</f>
      </c>
      <c r="C34" s="378">
        <f t="shared" si="10"/>
      </c>
      <c r="D34" s="483"/>
      <c r="P34" t="s">
        <v>440</v>
      </c>
      <c r="Q34" s="588">
        <f>A34</f>
      </c>
      <c r="R34" s="2902">
        <f>VLOOKUP(Q34,Catalogos!$B$4:$C$18,2,FALSE)</f>
      </c>
      <c r="S34" s="2913">
        <f>SUMIFS(Solicitudes!$F:$F, Solicitudes!$B:$B, $Q34, Solicitudes!$C:$C, $B$12)</f>
      </c>
      <c r="T34" s="2904">
        <v>400</v>
      </c>
      <c r="U34" s="2914">
        <f>SUMIFS(Solicitudes!$F:$F, Solicitudes!$B:$B, $Q34, Solicitudes!$C:$C, $B$13)</f>
      </c>
      <c r="V34" s="2904">
        <v>400</v>
      </c>
      <c r="W34" s="2915">
        <f>SUMIFS(Solicitudes!$F:$F, Solicitudes!$B:$B, $Q34, Solicitudes!$C:$C, $B$14)</f>
      </c>
      <c r="X34" s="2904">
        <v>400</v>
      </c>
      <c r="Y34" s="2916">
        <f>SUMIFS(Solicitudes!$F:$F, Solicitudes!$B:$B, $Q34, Solicitudes!$C:$C, $B$15)</f>
      </c>
      <c r="Z34" s="2904">
        <v>400</v>
      </c>
      <c r="AA34" s="2917">
        <f>SUMIFS(Solicitudes!$F:$F, Solicitudes!$B:$B, $Q34, Solicitudes!$C:$C, $B$16)</f>
      </c>
      <c r="AB34" s="2904">
        <v>400</v>
      </c>
      <c r="AC34" s="2918">
        <f>SUMIFS(Solicitudes!$F:$F, Solicitudes!$B:$B, $Q34, Solicitudes!$C:$C, $B$17)</f>
      </c>
      <c r="AD34" s="2919">
        <f>SUMIFS(Solicitudes!$F:$F, Solicitudes!$B:$B, $Q34, Solicitudes!$C:$C, ($B$17+1))</f>
      </c>
      <c r="AE34" s="2912">
        <f t="shared" ref="AE34:AE37" si="11">SUM(S34,U34,W34,Y34,AA34,AC34,)</f>
      </c>
      <c r="AF34" s="2912">
        <f t="shared" ref="AF34:AF38" si="12">SUM(T34,V34,X34,Z34,AB34,AD34)</f>
      </c>
    </row>
    <row r="35" spans="1:32" ht="19.95" customHeight="1">
      <c r="A35" t="s" s="379">
        <v>4</v>
      </c>
      <c r="B35" s="380">
        <f>IF(C$8="Acumulado Histórico", SUMIFS(Captura_Obra!F:F, Captura_Obra!B:B, A35), IF(C$8="Rango de Fechas", SUMIFS(Captura_Obra!F:F, Captura_Obra!B:B, A35, Captura_Obra!A:A, "&gt;="&amp;C$5, Captura_Obra!A:A, "&lt;="&amp;(C$6+5)), SUMIFS(Captura_Obra!F:F, Captura_Obra!B:B, A35, Captura_Obra!A:A, "&gt;="&amp;C$5, Captura_Obra!A:A, "&lt;="&amp;(C$5+5))))</f>
      </c>
      <c r="C35" s="381">
        <f t="shared" si="10"/>
      </c>
      <c r="D35" s="484"/>
      <c r="P35" t="s">
        <v>440</v>
      </c>
      <c r="Q35" s="589">
        <f>A36</f>
      </c>
      <c r="R35" s="2902">
        <f>VLOOKUP(Q35,Catalogos!$B$4:$C$18,2,FALSE)</f>
      </c>
      <c r="S35" s="2920">
        <f>SUMIFS(Solicitudes!$F:$F, Solicitudes!$B:$B, $Q35, Solicitudes!$C:$C, $B$12)</f>
      </c>
      <c r="T35" s="2904">
        <v>100</v>
      </c>
      <c r="U35" s="2921">
        <f>SUMIFS(Solicitudes!$F:$F, Solicitudes!$B:$B, $Q35, Solicitudes!$C:$C, $B$13)</f>
      </c>
      <c r="V35" s="2904">
        <v>100</v>
      </c>
      <c r="W35" s="2922">
        <f>SUMIFS(Solicitudes!$F:$F, Solicitudes!$B:$B, $Q35, Solicitudes!$C:$C, $B$14)</f>
      </c>
      <c r="X35" s="2904">
        <v>100</v>
      </c>
      <c r="Y35" s="2923">
        <f>SUMIFS(Solicitudes!$F:$F, Solicitudes!$B:$B, $Q35, Solicitudes!$C:$C, $B$15)</f>
      </c>
      <c r="Z35" s="2904">
        <v>100</v>
      </c>
      <c r="AA35" s="2924">
        <f>SUMIFS(Solicitudes!$F:$F, Solicitudes!$B:$B, $Q35, Solicitudes!$C:$C, $B$16)</f>
      </c>
      <c r="AB35" s="2904">
        <v>100</v>
      </c>
      <c r="AC35" s="2925">
        <f>SUMIFS(Solicitudes!$F:$F, Solicitudes!$B:$B, $Q35, Solicitudes!$C:$C, $B$17)</f>
      </c>
      <c r="AD35" s="2926">
        <f>SUMIFS(Solicitudes!$F:$F, Solicitudes!$B:$B, $Q35, Solicitudes!$C:$C, ($B$17+1))</f>
      </c>
      <c r="AE35" s="2912">
        <f t="shared" si="11"/>
      </c>
      <c r="AF35" s="2912">
        <f t="shared" si="12"/>
      </c>
    </row>
    <row r="36" spans="1:32" ht="19.95" customHeight="1">
      <c r="A36" t="s" s="382">
        <v>142</v>
      </c>
      <c r="B36" s="383">
        <f>IF(C$8="Acumulado Histórico", SUMIFS(Captura_Obra!F:F, Captura_Obra!B:B, A36), IF(C$8="Rango de Fechas", SUMIFS(Captura_Obra!F:F, Captura_Obra!B:B, A36, Captura_Obra!A:A, "&gt;="&amp;C$5, Captura_Obra!A:A, "&lt;="&amp;(C$6+5)), SUMIFS(Captura_Obra!F:F, Captura_Obra!B:B, A36, Captura_Obra!A:A, "&gt;="&amp;C$5, Captura_Obra!A:A, "&lt;="&amp;(C$5+5))))</f>
      </c>
      <c r="C36" s="384">
        <f t="shared" si="10"/>
      </c>
      <c r="D36" s="485"/>
      <c r="P36" t="s">
        <v>440</v>
      </c>
      <c r="Q36" s="590">
        <f>A37</f>
      </c>
      <c r="R36" s="2902">
        <f>VLOOKUP(Q36,Catalogos!$B$4:$C$18,2,FALSE)</f>
      </c>
      <c r="S36" s="2927">
        <f>SUMIFS(Solicitudes!$F:$F, Solicitudes!$B:$B, $Q36, Solicitudes!$C:$C, $B$12)</f>
      </c>
      <c r="T36" s="2904">
        <v>0</v>
      </c>
      <c r="U36" s="2928">
        <f>SUMIFS(Solicitudes!$F:$F, Solicitudes!$B:$B, $Q36, Solicitudes!$C:$C, $B$13)</f>
      </c>
      <c r="V36" s="2904">
        <v>300</v>
      </c>
      <c r="W36" s="2929">
        <f>SUMIFS(Solicitudes!$F:$F, Solicitudes!$B:$B, $Q36, Solicitudes!$C:$C, $B$14)</f>
      </c>
      <c r="X36" s="2904">
        <v>1000</v>
      </c>
      <c r="Y36" s="2930">
        <f>SUMIFS(Solicitudes!$F:$F, Solicitudes!$B:$B, $Q36, Solicitudes!$C:$C, $B$15)</f>
      </c>
      <c r="Z36" s="2904">
        <v>300</v>
      </c>
      <c r="AA36" s="2931">
        <f>SUMIFS(Solicitudes!$F:$F, Solicitudes!$B:$B, $Q36, Solicitudes!$C:$C, $B$16)</f>
      </c>
      <c r="AB36" s="2904">
        <v>0</v>
      </c>
      <c r="AC36" s="2932">
        <f>SUMIFS(Solicitudes!$F:$F, Solicitudes!$B:$B, $Q36, Solicitudes!$C:$C, $B$17)</f>
      </c>
      <c r="AD36" s="2933">
        <f>SUMIFS(Solicitudes!$F:$F, Solicitudes!$B:$B, $Q36, Solicitudes!$C:$C, ($B$17+1))</f>
      </c>
      <c r="AE36" s="2912">
        <f t="shared" si="11"/>
      </c>
      <c r="AF36" s="2912">
        <f t="shared" si="12"/>
      </c>
    </row>
    <row r="37" spans="1:32" ht="19.95" customHeight="1">
      <c r="A37" t="s" s="385">
        <v>146</v>
      </c>
      <c r="B37" s="386">
        <f>IF(C$8="Acumulado Histórico", SUMIFS(Captura_Obra!F:F, Captura_Obra!B:B, A37), IF(C$8="Rango de Fechas", SUMIFS(Captura_Obra!F:F, Captura_Obra!B:B, A37, Captura_Obra!A:A, "&gt;="&amp;C$5, Captura_Obra!A:A, "&lt;="&amp;(C$6+5)), SUMIFS(Captura_Obra!F:F, Captura_Obra!B:B, A37, Captura_Obra!A:A, "&gt;="&amp;C$5, Captura_Obra!A:A, "&lt;="&amp;(C$5+5))))</f>
      </c>
      <c r="C37" s="387">
        <f t="shared" si="10"/>
      </c>
      <c r="D37" s="486"/>
      <c r="P37" t="s">
        <v>441</v>
      </c>
      <c r="Q37" s="591">
        <f>A38</f>
      </c>
      <c r="R37" s="2902">
        <f>VLOOKUP(Q37,Catalogos!$B$4:$C$18,2,FALSE)</f>
      </c>
      <c r="S37" s="2934">
        <f>SUMIFS(Solicitudes!$F:$F, Solicitudes!$B:$B, $Q37, Solicitudes!$C:$C, $B$12)</f>
      </c>
      <c r="T37" s="2904">
        <v>500</v>
      </c>
      <c r="U37" s="2935">
        <f>SUMIFS(Solicitudes!$F:$F, Solicitudes!$B:$B, $Q37, Solicitudes!$C:$C, $B$13)</f>
      </c>
      <c r="V37" s="2904">
        <v>500</v>
      </c>
      <c r="W37" s="2936">
        <f>SUMIFS(Solicitudes!$F:$F, Solicitudes!$B:$B, $Q37, Solicitudes!$C:$C, $B$14)</f>
      </c>
      <c r="X37" s="2904">
        <v>500</v>
      </c>
      <c r="Y37" s="2937">
        <f>SUMIFS(Solicitudes!$F:$F, Solicitudes!$B:$B, $Q37, Solicitudes!$C:$C, $B$15)</f>
      </c>
      <c r="Z37" s="2904">
        <v>500</v>
      </c>
      <c r="AA37" s="2938">
        <f>SUMIFS(Solicitudes!$F:$F, Solicitudes!$B:$B, $Q37, Solicitudes!$C:$C, $B$16)</f>
      </c>
      <c r="AB37" s="2904">
        <v>500</v>
      </c>
      <c r="AC37" s="2939">
        <f>SUMIFS(Solicitudes!$F:$F, Solicitudes!$B:$B, $Q37, Solicitudes!$C:$C, $B$17)</f>
      </c>
      <c r="AD37" s="2940">
        <f>SUMIFS(Solicitudes!$F:$F, Solicitudes!$B:$B, $Q37, Solicitudes!$C:$C, ($B$17+1))</f>
      </c>
      <c r="AE37" s="2912">
        <f t="shared" si="11"/>
      </c>
      <c r="AF37" s="2912">
        <f t="shared" si="12"/>
      </c>
    </row>
    <row r="38" spans="1:32" ht="19.95" customHeight="1">
      <c r="A38" t="s" s="388">
        <v>155</v>
      </c>
      <c r="B38" s="389">
        <f>IF(C$8="Acumulado Histórico", SUMIFS(Captura_Obra!F:F, Captura_Obra!B:B, A38), IF(C$8="Rango de Fechas", SUMIFS(Captura_Obra!F:F, Captura_Obra!B:B, A38, Captura_Obra!A:A, "&gt;="&amp;C$5, Captura_Obra!A:A, "&lt;="&amp;(C$6+5)), SUMIFS(Captura_Obra!F:F, Captura_Obra!B:B, A38, Captura_Obra!A:A, "&gt;="&amp;C$5, Captura_Obra!A:A, "&lt;="&amp;(C$5+5))))</f>
      </c>
      <c r="C38" s="390">
        <f t="shared" si="10"/>
      </c>
      <c r="D38" s="487"/>
      <c r="Q38" s="592">
        <f>A41</f>
      </c>
      <c r="R38" s="2903"/>
      <c r="S38" s="2903">
        <f>SUM(S33:S37)</f>
      </c>
      <c r="T38" s="2903">
        <f>SUM(T33:T37)</f>
      </c>
      <c r="U38" s="2941">
        <f t="shared" ref="U38" si="13">SUM(U33:U37)</f>
      </c>
      <c r="V38" s="2941">
        <f t="shared" ref="V38:AE38" si="14">SUM(V33:V37)</f>
      </c>
      <c r="W38" s="2941">
        <f t="shared" si="14"/>
      </c>
      <c r="X38" s="2941">
        <f t="shared" si="14"/>
      </c>
      <c r="Y38" s="2941">
        <f t="shared" si="14"/>
      </c>
      <c r="Z38" s="2941">
        <f t="shared" si="14"/>
      </c>
      <c r="AA38" s="2941">
        <f t="shared" si="14"/>
      </c>
      <c r="AB38" s="2941">
        <f t="shared" si="14"/>
      </c>
      <c r="AC38" s="2941">
        <f t="shared" si="14"/>
      </c>
      <c r="AD38" s="2941">
        <f t="shared" si="14"/>
      </c>
      <c r="AE38" s="2941">
        <f t="shared" si="14"/>
      </c>
      <c r="AF38" s="2941">
        <f t="shared" si="12"/>
      </c>
    </row>
    <row r="39" spans="1:32" ht="19.95" customHeight="1">
      <c r="A39" t="s" s="391">
        <v>214</v>
      </c>
      <c r="B39" s="392">
        <f>IF(C$8="Acumulado Histórico", SUMIFS(Captura_Obra!F:F, Captura_Obra!B:B, A39), IF(C$8="Rango de Fechas", SUMIFS(Captura_Obra!F:F, Captura_Obra!B:B, A39, Captura_Obra!A:A, "&gt;="&amp;C$5, Captura_Obra!A:A, "&lt;="&amp;(C$6+5)), SUMIFS(Captura_Obra!F:F, Captura_Obra!B:B, A39, Captura_Obra!A:A, "&gt;="&amp;C$5, Captura_Obra!A:A, "&lt;="&amp;(C$5+5))))</f>
      </c>
      <c r="C39" s="393">
        <f t="shared" si="10"/>
      </c>
      <c r="D39" s="488"/>
      <c r="AF39" s="2943"/>
    </row>
    <row r="40" spans="1:32" ht="19.95" customHeight="1">
      <c r="A40" t="s" s="394">
        <v>222</v>
      </c>
      <c r="B40" s="395">
        <f>IF(C$8="Acumulado Histórico", SUMIFS(Captura_Jalisco!G:G, Captura_Jalisco!B:B, "Salida"), IF(C$8="Rango de Fechas", SUMIFS(Captura_Jalisco!G:G, Captura_Jalisco!B:B, "Salida", Captura_Jalisco!A:A, "&gt;="&amp;C$5, Captura_Jalisco!A:A, "&lt;="&amp;(C$6+5)), SUMIFS(Captura_Jalisco!G:G, Captura_Jalisco!B:B, "Salida", Captura_Jalisco!A:A, "&gt;="&amp;C$5, Captura_Jalisco!A:A, "&lt;="&amp;(C$5+5))))</f>
      </c>
      <c r="C40" s="396">
        <f t="shared" si="10"/>
      </c>
      <c r="D40" s="489"/>
    </row>
    <row r="41" spans="1:32" ht="22.05" customHeight="1">
      <c r="A41" t="s" s="397">
        <v>231</v>
      </c>
      <c r="B41" s="398">
        <f>SUM(B33:B40)</f>
      </c>
      <c r="C41" s="399">
        <f>SUM(C33:C40)</f>
      </c>
      <c r="D41" s="490"/>
    </row>
    <row r="42" spans="1:32" ht="16.8">
      <c r="A42" s="491"/>
      <c r="B42" s="492"/>
      <c r="C42" s="493"/>
      <c r="D42" s="494"/>
      <c r="E42" s="495"/>
      <c r="F42" s="496"/>
      <c r="G42" s="497"/>
      <c r="H42" s="498"/>
      <c r="I42" s="499"/>
      <c r="J42" s="500"/>
    </row>
    <row r="43" spans="1:32" ht="19.95" customHeight="1">
      <c r="A43" t="s" s="3450">
        <v>238</v>
      </c>
      <c r="B43" s="3451"/>
      <c r="C43" s="3452"/>
      <c r="D43" s="3453"/>
      <c r="E43" s="3454"/>
      <c r="F43" s="3455"/>
      <c r="G43" s="3456"/>
      <c r="H43" s="3457"/>
      <c r="I43" s="3458"/>
      <c r="J43" s="3459"/>
    </row>
    <row r="44" spans="1:32" ht="16.8">
      <c r="A44" s="541"/>
      <c r="B44" t="s" s="501">
        <v>239</v>
      </c>
      <c r="C44" t="s" s="502">
        <v>211</v>
      </c>
      <c r="D44" s="542"/>
      <c r="E44" s="543"/>
      <c r="F44" s="544"/>
      <c r="G44" s="545"/>
      <c r="H44" s="546"/>
      <c r="I44" s="547"/>
      <c r="J44" s="548"/>
    </row>
    <row r="45" spans="1:32" ht="16.8">
      <c r="A45" s="549"/>
      <c r="B45" t="s" s="503">
        <v>185</v>
      </c>
      <c r="C45" s="504">
        <v>27</v>
      </c>
      <c r="D45" s="550"/>
      <c r="E45" s="551"/>
      <c r="F45" s="552"/>
      <c r="G45" s="553"/>
      <c r="H45" s="554"/>
      <c r="I45" s="555"/>
      <c r="J45" s="556"/>
    </row>
    <row r="46" spans="1:32" ht="16.8">
      <c r="A46" s="557"/>
      <c r="B46" s="558"/>
      <c r="C46" s="559"/>
      <c r="D46" s="560"/>
      <c r="E46" s="561"/>
      <c r="F46" s="562"/>
      <c r="G46" s="563"/>
      <c r="H46" s="564"/>
      <c r="I46" s="565"/>
      <c r="J46" s="566"/>
    </row>
    <row r="47" spans="1:32" ht="24" customHeight="1">
      <c r="A47" t="s" s="505">
        <v>240</v>
      </c>
      <c r="B47" t="s" s="506">
        <v>250</v>
      </c>
      <c r="C47" t="s" s="507">
        <v>241</v>
      </c>
      <c r="D47" t="s" s="508">
        <v>242</v>
      </c>
      <c r="E47" t="s" s="509">
        <v>243</v>
      </c>
      <c r="F47" t="s" s="510">
        <v>249</v>
      </c>
      <c r="G47" t="s" s="511">
        <v>251</v>
      </c>
      <c r="H47" t="s" s="583">
        <v>252</v>
      </c>
      <c r="I47" t="s" s="584">
        <v>253</v>
      </c>
      <c r="J47" s="567"/>
    </row>
    <row r="48" spans="1:32" ht="19.95" customHeight="1">
      <c r="A48" s="512">
        <v>46167</v>
      </c>
      <c r="B48" s="573">
        <f>IF(OR(C$44="Jalisco", C$44="Todas"), Captura_Jalisco!K5, "")</f>
      </c>
      <c r="C48" s="513">
        <f>IF(C$44="Jalisco", SUMIFS(Captura_Jalisco!G:G, Captura_Jalisco!B:B, "Salida", Captura_Jalisco!A:A, "&gt;="&amp;A48, Captura_Jalisco!A:A, "&lt;="&amp;(A48+5)), IF(C$44="Todas", SUMIFS(Captura_Obra!F:F, Captura_Obra!A:A, "&gt;="&amp;A48, Captura_Obra!A:A, "&lt;="&amp;(A48+5)) + SUMIFS(Captura_Jalisco!G:G, Captura_Jalisco!B:B, "Salida", Captura_Jalisco!A:A, "&gt;="&amp;A48, Captura_Jalisco!A:A, "&lt;="&amp;(A48+5)), SUMIFS(Captura_Obra!F:F, Captura_Obra!B:B, C$44, Captura_Obra!A:A, "&gt;="&amp;A48, Captura_Obra!A:A, "&lt;="&amp;(A48+5))))</f>
      </c>
      <c r="D48" s="514">
        <f>C$45</f>
      </c>
      <c r="E48" s="515">
        <f>C48*D48</f>
      </c>
      <c r="F48" s="516">
        <f>IF(OR(C$44="Jalisco", C$44="Todas"), SUMIFS(Captura_Jalisco!$N$5:$N$250, Captura_Jalisco!$A$5:$A$250, "&gt;="&amp;A48, Captura_Jalisco!$A$5:$A$250, "&lt;="&amp;(A48+5)), 0)</f>
      </c>
      <c r="G48" s="574">
        <f>IF(OR(C$44="Jalisco", C$44="Todas"), B48-E48-F48, "")</f>
      </c>
      <c r="H48" s="517">
        <f>IF(OR(C$44="Jalisco", C$44="Todas"), SUMIFS(Captura_Jalisco!$M$5:$M$250, Captura_Jalisco!$A$5:$A$250, "&gt;="&amp;A48, Captura_Jalisco!$A$5:$A$250, "&lt;="&amp;(A48+5)), 0)</f>
      </c>
      <c r="I48" s="585">
        <f>C48</f>
      </c>
      <c r="J48" s="568"/>
    </row>
    <row r="49" spans="1:12" ht="19.95" customHeight="1">
      <c r="A49" s="518">
        <v>46174</v>
      </c>
      <c r="B49" s="575">
        <f>IF(OR(C$44="Jalisco", C$44="Todas"), G48+H48, "")</f>
      </c>
      <c r="C49" s="519">
        <f>IF(C$44="Jalisco", SUMIFS(Captura_Jalisco!G:G, Captura_Jalisco!B:B, "Salida", Captura_Jalisco!A:A, "&gt;="&amp;A49, Captura_Jalisco!A:A, "&lt;="&amp;(A49+5)), IF(C$44="Todas", SUMIFS(Captura_Obra!F:F, Captura_Obra!A:A, "&gt;="&amp;A49, Captura_Obra!A:A, "&lt;="&amp;(A49+5)) + SUMIFS(Captura_Jalisco!G:G, Captura_Jalisco!B:B, "Salida", Captura_Jalisco!A:A, "&gt;="&amp;A49, Captura_Jalisco!A:A, "&lt;="&amp;(A49+5)), SUMIFS(Captura_Obra!F:F, Captura_Obra!B:B, C$44, Captura_Obra!A:A, "&gt;="&amp;A49, Captura_Obra!A:A, "&lt;="&amp;(A49+5))))</f>
      </c>
      <c r="D49" s="520">
        <f>C$45</f>
      </c>
      <c r="E49" s="521">
        <f>C49*D49</f>
      </c>
      <c r="F49" s="522">
        <f>IF(OR(C$44="Jalisco", C$44="Todas"), SUMIFS(Captura_Jalisco!$N$5:$N$250, Captura_Jalisco!$A$5:$A$250, "&gt;="&amp;A49, Captura_Jalisco!$A$5:$A$250, "&lt;="&amp;(A49+5)), 0)</f>
      </c>
      <c r="G49" s="576">
        <f>IF(OR(C$44="Jalisco", C$44="Todas"), B49-E49-F49, "")</f>
      </c>
      <c r="H49" s="523">
        <f>IF(OR(C$44="Jalisco", C$44="Todas"), SUMIFS(Captura_Jalisco!$M$5:$M$250, Captura_Jalisco!$A$5:$A$250, "&gt;="&amp;A49, Captura_Jalisco!$A$5:$A$250, "&lt;="&amp;(A49+5)), 0)</f>
      </c>
      <c r="I49" s="586">
        <f>I48+C49</f>
      </c>
      <c r="J49" s="569"/>
    </row>
    <row r="50" spans="1:12" ht="19.95" customHeight="1">
      <c r="A50" s="524">
        <v>46181</v>
      </c>
      <c r="B50" s="577">
        <f>IF(OR(C$44="Jalisco", C$44="Todas"), G49+H49, "")</f>
      </c>
      <c r="C50" s="525">
        <f>IF(C$44="Jalisco", SUMIFS(Captura_Jalisco!G:G, Captura_Jalisco!B:B, "Salida", Captura_Jalisco!A:A, "&gt;="&amp;A50, Captura_Jalisco!A:A, "&lt;="&amp;(A50+5)), IF(C$44="Todas", SUMIFS(Captura_Obra!F:F, Captura_Obra!A:A, "&gt;="&amp;A50, Captura_Obra!A:A, "&lt;="&amp;(A50+5)) + SUMIFS(Captura_Jalisco!G:G, Captura_Jalisco!B:B, "Salida", Captura_Jalisco!A:A, "&gt;="&amp;A50, Captura_Jalisco!A:A, "&lt;="&amp;(A50+5)), SUMIFS(Captura_Obra!F:F, Captura_Obra!B:B, C$44, Captura_Obra!A:A, "&gt;="&amp;A50, Captura_Obra!A:A, "&lt;="&amp;(A50+5))))</f>
      </c>
      <c r="D50" s="526">
        <f>C$45</f>
      </c>
      <c r="E50" s="527">
        <f>C50*D50</f>
      </c>
      <c r="F50" s="528">
        <f>IF(OR(C$44="Jalisco", C$44="Todas"), SUMIFS(Captura_Jalisco!$N$5:$N$250, Captura_Jalisco!$A$5:$A$250, "&gt;="&amp;A50, Captura_Jalisco!$A$5:$A$250, "&lt;="&amp;(A50+5)), 0)</f>
      </c>
      <c r="G50" s="578">
        <f>IF(OR(C$44="Jalisco", C$44="Todas"), B50-E50-F50, "")</f>
      </c>
      <c r="H50" s="529">
        <f>IF(OR(C$44="Jalisco", C$44="Todas"), SUMIFS(Captura_Jalisco!$M$5:$M$250, Captura_Jalisco!$A$5:$A$250, "&gt;="&amp;A50, Captura_Jalisco!$A$5:$A$250, "&lt;="&amp;(A50+5)), 0)</f>
      </c>
      <c r="I50" s="586">
        <f t="shared" ref="I50:I51" si="15">I49+C50</f>
      </c>
      <c r="J50" s="570"/>
    </row>
    <row r="51" spans="1:12" ht="19.95" customHeight="1">
      <c r="A51" s="524">
        <v>46188</v>
      </c>
      <c r="B51" s="579">
        <f>IF(OR(C$44="Jalisco", C$44="Todas"), G50+H50, "")</f>
      </c>
      <c r="C51" s="530">
        <f>IF(C$44="Jalisco", SUMIFS(Captura_Jalisco!G:G, Captura_Jalisco!B:B, "Salida", Captura_Jalisco!A:A, "&gt;="&amp;DATE(2026,6,15), Captura_Jalisco!A:A, "&lt;="&amp;DATE(2026,6,18)), IF(C$44="Todas", SUMIFS(Captura_Obra!F:F, Captura_Obra!A:A, "&gt;="&amp;DATE(2026,6,15), Captura_Obra!A:A, "&lt;="&amp;DATE(2026,6,18)) + SUMIFS(Captura_Jalisco!G:G, Captura_Jalisco!B:B, "Salida", Captura_Jalisco!A:A, "&gt;="&amp;DATE(2026,6,15), Captura_Jalisco!A:A, "&lt;="&amp;DATE(2026,6,18)), SUMIFS(Captura_Obra!F:F, Captura_Obra!B:B, C$44, Captura_Obra!A:A, "&gt;="&amp;DATE(2026,6,15), Captura_Obra!A:A, "&lt;="&amp;DATE(2026,6,18))))</f>
      </c>
      <c r="D51" s="531">
        <f>C$45</f>
      </c>
      <c r="E51" s="532">
        <f>C51*D51</f>
      </c>
      <c r="F51" s="533">
        <f>IF(OR(C$44="Jalisco", C$44="Todas"), SUMIFS(Captura_Jalisco!$N$5:$N$250, Captura_Jalisco!$A$5:$A$250, "&gt;="&amp;DATE(2026,6,15), Captura_Jalisco!$A$5:$A$250, "&lt;="&amp;DATE(2026,6,18)), 0)</f>
      </c>
      <c r="G51" s="580">
        <f>IF(OR(C$44="Jalisco", C$44="Todas"), B51-E51-F51, "")</f>
      </c>
      <c r="H51" s="534">
        <f>IF(OR(C$44="Jalisco", C$44="Todas"), SUMIFS(Captura_Jalisco!$M$5:$M$250, Captura_Jalisco!$A$5:$A$250, "&gt;="&amp;DATE(2026,6,15), Captura_Jalisco!$A$5:$A$250, "&lt;="&amp;DATE(2026,6,18)), 0)</f>
      </c>
      <c r="I51" s="586">
        <f t="shared" si="15"/>
      </c>
      <c r="J51" s="571"/>
    </row>
    <row r="52" spans="1:12" ht="22.05" customHeight="1">
      <c r="A52" t="s" s="535">
        <v>244</v>
      </c>
      <c r="B52" s="581">
        <f>IF(OR(C$44="Jalisco", C$44="Todas"), B48, "")</f>
      </c>
      <c r="C52" s="536">
        <f>SUM(C48:C51)</f>
      </c>
      <c r="D52" s="537"/>
      <c r="E52" s="538">
        <f>SUM(E48:E51)</f>
      </c>
      <c r="F52" s="539">
        <f>SUM(F48:F51)</f>
      </c>
      <c r="G52" s="582">
        <f>IF(OR(C$44="Jalisco", C$44="Todas"), G51, "")</f>
      </c>
      <c r="H52" s="540">
        <f>SUM(H48:H51)</f>
      </c>
      <c r="I52" s="540">
        <f>I51</f>
      </c>
      <c r="J52" s="572"/>
    </row>
    <row r="54" spans="1:12" ht="24" customHeight="1">
      <c r="B54" t="s" s="3438">
        <v>431</v>
      </c>
      <c r="C54" s="3439"/>
      <c r="D54" s="3440"/>
      <c r="E54" s="3441"/>
      <c r="F54" s="3442"/>
      <c r="G54" s="3443"/>
      <c r="H54" s="3444"/>
      <c r="I54" s="3445"/>
      <c r="J54" s="3446"/>
      <c r="K54" s="3447"/>
      <c r="L54" s="2529"/>
    </row>
    <row r="55" spans="1:12" ht="25.95" customHeight="1">
      <c r="B55" t="s" s="2803">
        <v>432</v>
      </c>
      <c r="C55" s="2804">
        <v>46195</v>
      </c>
      <c r="D55" t="s" s="2837">
        <v>434</v>
      </c>
      <c r="E55" s="2838">
        <v>28</v>
      </c>
      <c r="F55" s="2805"/>
      <c r="G55" s="2806"/>
      <c r="H55" s="2807"/>
      <c r="I55" s="2808"/>
      <c r="J55" s="2809"/>
      <c r="K55" s="2530"/>
      <c r="L55" s="2531"/>
    </row>
    <row r="56" spans="1:12" ht="19.95" customHeight="1">
      <c r="B56" t="s" s="2810">
        <v>0</v>
      </c>
      <c r="C56" t="s" s="2811">
        <v>188</v>
      </c>
      <c r="D56" t="s" s="2812">
        <v>427</v>
      </c>
      <c r="E56" t="s" s="2813">
        <v>428</v>
      </c>
      <c r="F56" t="s" s="2814">
        <v>191</v>
      </c>
      <c r="G56" t="s" s="2815">
        <v>429</v>
      </c>
      <c r="H56" t="s" s="2816">
        <v>430</v>
      </c>
      <c r="I56" s="2817"/>
      <c r="J56" s="2818"/>
      <c r="K56" s="2532"/>
      <c r="L56" s="2533"/>
    </row>
    <row r="57" spans="1:12" ht="19.95" customHeight="1">
      <c r="B57" s="2839">
        <f>IF(ROWS($57:57)&lt;=MAX(Catalogos!$N$4:$N$11), IFERROR(INDEX(Catalogos!$B$4:$B$11, MATCH(ROWS($57:57), Catalogos!$N$4:$N$11, 0)), ""), IF(ROWS($57:57)=MAX(Catalogos!$N$4:$N$11)+1, "TOTAL GENERAL", ""))</f>
      </c>
      <c r="C57" s="2840">
        <f>IF(ROWS($57:57)&lt;=MAX(Catalogos!$N$4:$N$11), SUMIFS(Solicitudes!$F:$F, Solicitudes!$B:$B, $B57, Solicitudes!$C:$C, "&gt;=" &amp; $C$55, Solicitudes!$C:$C, "&lt;=" &amp; ($C$55+6)), IF(ROWS($57:57)=MAX(Catalogos!$N$4:$N$11)+1, SUMIFS(Solicitudes!$F:$F, Solicitudes!$C:$C, "&gt;=" &amp; $C$55, Solicitudes!$C:$C, "&lt;=" &amp; ($C$55+6)), ""))</f>
      </c>
      <c r="D57" s="2841">
        <f>IF(ROWS($57:57)&lt;=MAX(Catalogos!$N$4:$N$11), IF($B57="Jalisco", SUMIFS(Captura_Jalisco!$G:$G, Captura_Jalisco!$A:$A, "&gt;=" &amp; $C$55, Captura_Jalisco!$A:$A, "&lt;=" &amp; ($C$55+6), Captura_Jalisco!$B:$B, "Salida"), SUMIFS(Captura_Obra!$F:$F, Captura_Obra!$B:$B, $B57, Captura_Obra!$A:$A, "&gt;=" &amp; $C$55, Captura_Obra!$A:$A, "&lt;=" &amp; ($C$55+6))), IF(ROWS($57:57)=MAX(Catalogos!$N$4:$N$11)+1, SUMIFS(Captura_Obra!$F:$F, Captura_Obra!$A:$A, "&gt;=" &amp; $C$55, Captura_Obra!$A:$A, "&lt;=" &amp; ($C$55+6)) + SUMIFS(Captura_Jalisco!$G:$G, Captura_Jalisco!$A:$A, "&gt;=" &amp; $C$55, Captura_Jalisco!$A:$A, "&lt;=" &amp; ($C$55+6), Captura_Jalisco!$B:$B, "Salida"), ""))</f>
      </c>
      <c r="E57" s="2842">
        <f>IF(ROWS($57:57)&lt;=MAX(Catalogos!$N$4:$N$11)+1, C57 - D57, "")</f>
      </c>
      <c r="F57" s="2843">
        <f>IF(ROWS($57:57)&lt;=MAX(Catalogos!$N$4:$N$11)+1, C57 * $E$55, "")</f>
      </c>
      <c r="G57" s="2844">
        <f>IF(ROWS($57:57)&lt;=MAX(Catalogos!$N$4:$N$11)+1, D57 * $E$55, "")</f>
      </c>
      <c r="H57" s="2845">
        <f>IF(ROWS($57:57)&lt;=MAX(Catalogos!$N$4:$N$11)+1, F57 - G57, "")</f>
      </c>
      <c r="I57" s="2819"/>
      <c r="J57" s="2820"/>
      <c r="K57" s="2534"/>
      <c r="L57" s="2535"/>
    </row>
    <row r="58" spans="1:12" ht="19.95" customHeight="1">
      <c r="B58" s="2846">
        <f>IF(ROWS($57:58)&lt;=MAX(Catalogos!$N$4:$N$11), IFERROR(INDEX(Catalogos!$B$4:$B$11, MATCH(ROWS($57:58), Catalogos!$N$4:$N$11, 0)), ""), IF(ROWS($57:58)=MAX(Catalogos!$N$4:$N$11)+1, "TOTAL GENERAL", ""))</f>
      </c>
      <c r="C58" s="2847">
        <f>IF(ROWS($57:58)&lt;=MAX(Catalogos!$N$4:$N$11), SUMIFS(Solicitudes!$F:$F, Solicitudes!$B:$B, $B58, Solicitudes!$C:$C, "&gt;=" &amp; $C$55, Solicitudes!$C:$C, "&lt;=" &amp; ($C$55+6)), IF(ROWS($57:58)=MAX(Catalogos!$N$4:$N$11)+1, SUMIFS(Solicitudes!$F:$F, Solicitudes!$C:$C, "&gt;=" &amp; $C$55, Solicitudes!$C:$C, "&lt;=" &amp; ($C$55+6)), ""))</f>
      </c>
      <c r="D58" s="2848">
        <f>IF(ROWS($57:58)&lt;=MAX(Catalogos!$N$4:$N$11), IF($B58="Jalisco", SUMIFS(Captura_Jalisco!$G:$G, Captura_Jalisco!$A:$A, "&gt;=" &amp; $C$55, Captura_Jalisco!$A:$A, "&lt;=" &amp; ($C$55+6), Captura_Jalisco!$B:$B, "Salida"), SUMIFS(Captura_Obra!$F:$F, Captura_Obra!$B:$B, $B58, Captura_Obra!$A:$A, "&gt;=" &amp; $C$55, Captura_Obra!$A:$A, "&lt;=" &amp; ($C$55+6))), IF(ROWS($57:58)=MAX(Catalogos!$N$4:$N$11)+1, SUMIFS(Captura_Obra!$F:$F, Captura_Obra!$A:$A, "&gt;=" &amp; $C$55, Captura_Obra!$A:$A, "&lt;=" &amp; ($C$55+6)) + SUMIFS(Captura_Jalisco!$G:$G, Captura_Jalisco!$A:$A, "&gt;=" &amp; $C$55, Captura_Jalisco!$A:$A, "&lt;=" &amp; ($C$55+6), Captura_Jalisco!$B:$B, "Salida"), ""))</f>
      </c>
      <c r="E58" s="2849">
        <f>IF(ROWS($57:58)&lt;=MAX(Catalogos!$N$4:$N$11)+1, C58 - D58, "")</f>
      </c>
      <c r="F58" s="2850">
        <f>IF(ROWS($57:58)&lt;=MAX(Catalogos!$N$4:$N$11)+1, C58 * $E$55, "")</f>
      </c>
      <c r="G58" s="2851">
        <f>IF(ROWS($57:58)&lt;=MAX(Catalogos!$N$4:$N$11)+1, D58 * $E$55, "")</f>
      </c>
      <c r="H58" s="2852">
        <f>IF(ROWS($57:58)&lt;=MAX(Catalogos!$N$4:$N$11)+1, F58 - G58, "")</f>
      </c>
      <c r="I58" s="2821"/>
      <c r="J58" s="2822"/>
      <c r="K58" s="2536"/>
      <c r="L58" s="2537"/>
    </row>
    <row r="59" spans="1:12" ht="19.95" customHeight="1">
      <c r="B59" s="2853">
        <f>IF(ROWS($57:59)&lt;=MAX(Catalogos!$N$4:$N$11), IFERROR(INDEX(Catalogos!$B$4:$B$11, MATCH(ROWS($57:59), Catalogos!$N$4:$N$11, 0)), ""), IF(ROWS($57:59)=MAX(Catalogos!$N$4:$N$11)+1, "TOTAL GENERAL", ""))</f>
      </c>
      <c r="C59" s="2854">
        <f>IF(ROWS($57:59)&lt;=MAX(Catalogos!$N$4:$N$11), SUMIFS(Solicitudes!$F:$F, Solicitudes!$B:$B, $B59, Solicitudes!$C:$C, "&gt;=" &amp; $C$55, Solicitudes!$C:$C, "&lt;=" &amp; ($C$55+6)), IF(ROWS($57:59)=MAX(Catalogos!$N$4:$N$11)+1, SUMIFS(Solicitudes!$F:$F, Solicitudes!$C:$C, "&gt;=" &amp; $C$55, Solicitudes!$C:$C, "&lt;=" &amp; ($C$55+6)), ""))</f>
      </c>
      <c r="D59" s="2855">
        <f>IF(ROWS($57:59)&lt;=MAX(Catalogos!$N$4:$N$11), IF($B59="Jalisco", SUMIFS(Captura_Jalisco!$G:$G, Captura_Jalisco!$A:$A, "&gt;=" &amp; $C$55, Captura_Jalisco!$A:$A, "&lt;=" &amp; ($C$55+6), Captura_Jalisco!$B:$B, "Salida"), SUMIFS(Captura_Obra!$F:$F, Captura_Obra!$B:$B, $B59, Captura_Obra!$A:$A, "&gt;=" &amp; $C$55, Captura_Obra!$A:$A, "&lt;=" &amp; ($C$55+6))), IF(ROWS($57:59)=MAX(Catalogos!$N$4:$N$11)+1, SUMIFS(Captura_Obra!$F:$F, Captura_Obra!$A:$A, "&gt;=" &amp; $C$55, Captura_Obra!$A:$A, "&lt;=" &amp; ($C$55+6)) + SUMIFS(Captura_Jalisco!$G:$G, Captura_Jalisco!$A:$A, "&gt;=" &amp; $C$55, Captura_Jalisco!$A:$A, "&lt;=" &amp; ($C$55+6), Captura_Jalisco!$B:$B, "Salida"), ""))</f>
      </c>
      <c r="E59" s="2856">
        <f>IF(ROWS($57:59)&lt;=MAX(Catalogos!$N$4:$N$11)+1, C59 - D59, "")</f>
      </c>
      <c r="F59" s="2857">
        <f>IF(ROWS($57:59)&lt;=MAX(Catalogos!$N$4:$N$11)+1, C59 * $E$55, "")</f>
      </c>
      <c r="G59" s="2858">
        <f>IF(ROWS($57:59)&lt;=MAX(Catalogos!$N$4:$N$11)+1, D59 * $E$55, "")</f>
      </c>
      <c r="H59" s="2859">
        <f>IF(ROWS($57:59)&lt;=MAX(Catalogos!$N$4:$N$11)+1, F59 - G59, "")</f>
      </c>
      <c r="I59" s="2823"/>
      <c r="J59" s="2824"/>
      <c r="K59" s="2538"/>
      <c r="L59" s="2539"/>
    </row>
    <row r="60" spans="1:12" ht="19.95" customHeight="1">
      <c r="B60" s="2860">
        <f>IF(ROWS($57:60)&lt;=MAX(Catalogos!$N$4:$N$11), IFERROR(INDEX(Catalogos!$B$4:$B$11, MATCH(ROWS($57:60), Catalogos!$N$4:$N$11, 0)), ""), IF(ROWS($57:60)=MAX(Catalogos!$N$4:$N$11)+1, "TOTAL GENERAL", ""))</f>
      </c>
      <c r="C60" s="2861">
        <f>IF(ROWS($57:60)&lt;=MAX(Catalogos!$N$4:$N$11), SUMIFS(Solicitudes!$F:$F, Solicitudes!$B:$B, $B60, Solicitudes!$C:$C, "&gt;=" &amp; $C$55, Solicitudes!$C:$C, "&lt;=" &amp; ($C$55+6)), IF(ROWS($57:60)=MAX(Catalogos!$N$4:$N$11)+1, SUMIFS(Solicitudes!$F:$F, Solicitudes!$C:$C, "&gt;=" &amp; $C$55, Solicitudes!$C:$C, "&lt;=" &amp; ($C$55+6)), ""))</f>
      </c>
      <c r="D60" s="2862">
        <f>IF(ROWS($57:60)&lt;=MAX(Catalogos!$N$4:$N$11), IF($B60="Jalisco", SUMIFS(Captura_Jalisco!$G:$G, Captura_Jalisco!$A:$A, "&gt;=" &amp; $C$55, Captura_Jalisco!$A:$A, "&lt;=" &amp; ($C$55+6), Captura_Jalisco!$B:$B, "Salida"), SUMIFS(Captura_Obra!$F:$F, Captura_Obra!$B:$B, $B60, Captura_Obra!$A:$A, "&gt;=" &amp; $C$55, Captura_Obra!$A:$A, "&lt;=" &amp; ($C$55+6))), IF(ROWS($57:60)=MAX(Catalogos!$N$4:$N$11)+1, SUMIFS(Captura_Obra!$F:$F, Captura_Obra!$A:$A, "&gt;=" &amp; $C$55, Captura_Obra!$A:$A, "&lt;=" &amp; ($C$55+6)) + SUMIFS(Captura_Jalisco!$G:$G, Captura_Jalisco!$A:$A, "&gt;=" &amp; $C$55, Captura_Jalisco!$A:$A, "&lt;=" &amp; ($C$55+6), Captura_Jalisco!$B:$B, "Salida"), ""))</f>
      </c>
      <c r="E60" s="2863">
        <f>IF(ROWS($57:60)&lt;=MAX(Catalogos!$N$4:$N$11)+1, C60 - D60, "")</f>
      </c>
      <c r="F60" s="2864">
        <f>IF(ROWS($57:60)&lt;=MAX(Catalogos!$N$4:$N$11)+1, C60 * $E$55, "")</f>
      </c>
      <c r="G60" s="2865">
        <f>IF(ROWS($57:60)&lt;=MAX(Catalogos!$N$4:$N$11)+1, D60 * $E$55, "")</f>
      </c>
      <c r="H60" s="2866">
        <f>IF(ROWS($57:60)&lt;=MAX(Catalogos!$N$4:$N$11)+1, F60 - G60, "")</f>
      </c>
      <c r="I60" s="2825"/>
      <c r="J60" s="2826"/>
      <c r="K60" s="2540"/>
      <c r="L60" s="2541"/>
    </row>
    <row r="61" spans="1:12" ht="19.95" customHeight="1">
      <c r="B61" s="2867">
        <f>IF(ROWS($57:61)&lt;=MAX(Catalogos!$N$4:$N$11), IFERROR(INDEX(Catalogos!$B$4:$B$11, MATCH(ROWS($57:61), Catalogos!$N$4:$N$11, 0)), ""), IF(ROWS($57:61)=MAX(Catalogos!$N$4:$N$11)+1, "TOTAL GENERAL", ""))</f>
      </c>
      <c r="C61" s="2868">
        <f>IF(ROWS($57:61)&lt;=MAX(Catalogos!$N$4:$N$11), SUMIFS(Solicitudes!$F:$F, Solicitudes!$B:$B, $B61, Solicitudes!$C:$C, "&gt;=" &amp; $C$55, Solicitudes!$C:$C, "&lt;=" &amp; ($C$55+6)), IF(ROWS($57:61)=MAX(Catalogos!$N$4:$N$11)+1, SUMIFS(Solicitudes!$F:$F, Solicitudes!$C:$C, "&gt;=" &amp; $C$55, Solicitudes!$C:$C, "&lt;=" &amp; ($C$55+6)), ""))</f>
      </c>
      <c r="D61" s="2869">
        <f>IF(ROWS($57:61)&lt;=MAX(Catalogos!$N$4:$N$11), IF($B61="Jalisco", SUMIFS(Captura_Jalisco!$G:$G, Captura_Jalisco!$A:$A, "&gt;=" &amp; $C$55, Captura_Jalisco!$A:$A, "&lt;=" &amp; ($C$55+6), Captura_Jalisco!$B:$B, "Salida"), SUMIFS(Captura_Obra!$F:$F, Captura_Obra!$B:$B, $B61, Captura_Obra!$A:$A, "&gt;=" &amp; $C$55, Captura_Obra!$A:$A, "&lt;=" &amp; ($C$55+6))), IF(ROWS($57:61)=MAX(Catalogos!$N$4:$N$11)+1, SUMIFS(Captura_Obra!$F:$F, Captura_Obra!$A:$A, "&gt;=" &amp; $C$55, Captura_Obra!$A:$A, "&lt;=" &amp; ($C$55+6)) + SUMIFS(Captura_Jalisco!$G:$G, Captura_Jalisco!$A:$A, "&gt;=" &amp; $C$55, Captura_Jalisco!$A:$A, "&lt;=" &amp; ($C$55+6), Captura_Jalisco!$B:$B, "Salida"), ""))</f>
      </c>
      <c r="E61" s="2870">
        <f>IF(ROWS($57:61)&lt;=MAX(Catalogos!$N$4:$N$11)+1, C61 - D61, "")</f>
      </c>
      <c r="F61" s="2871">
        <f>IF(ROWS($57:61)&lt;=MAX(Catalogos!$N$4:$N$11)+1, C61 * $E$55, "")</f>
      </c>
      <c r="G61" s="2872">
        <f>IF(ROWS($57:61)&lt;=MAX(Catalogos!$N$4:$N$11)+1, D61 * $E$55, "")</f>
      </c>
      <c r="H61" s="2873">
        <f>IF(ROWS($57:61)&lt;=MAX(Catalogos!$N$4:$N$11)+1, F61 - G61, "")</f>
      </c>
      <c r="I61" s="2827"/>
      <c r="J61" s="2828"/>
      <c r="K61" s="2542"/>
      <c r="L61" s="2543"/>
    </row>
    <row r="62" spans="1:12" ht="19.95" customHeight="1">
      <c r="B62" s="2874">
        <f>IF(ROWS($57:62)&lt;=MAX(Catalogos!$N$4:$N$11), IFERROR(INDEX(Catalogos!$B$4:$B$11, MATCH(ROWS($57:62), Catalogos!$N$4:$N$11, 0)), ""), IF(ROWS($57:62)=MAX(Catalogos!$N$4:$N$11)+1, "TOTAL GENERAL", ""))</f>
      </c>
      <c r="C62" s="2875">
        <f>IF(ROWS($57:62)&lt;=MAX(Catalogos!$N$4:$N$11), SUMIFS(Solicitudes!$F:$F, Solicitudes!$B:$B, $B62, Solicitudes!$C:$C, "&gt;=" &amp; $C$55, Solicitudes!$C:$C, "&lt;=" &amp; ($C$55+6)), IF(ROWS($57:62)=MAX(Catalogos!$N$4:$N$11)+1, SUMIFS(Solicitudes!$F:$F, Solicitudes!$C:$C, "&gt;=" &amp; $C$55, Solicitudes!$C:$C, "&lt;=" &amp; ($C$55+6)), ""))</f>
      </c>
      <c r="D62" s="2876">
        <f>IF(ROWS($57:62)&lt;=MAX(Catalogos!$N$4:$N$11), IF($B62="Jalisco", SUMIFS(Captura_Jalisco!$G:$G, Captura_Jalisco!$A:$A, "&gt;=" &amp; $C$55, Captura_Jalisco!$A:$A, "&lt;=" &amp; ($C$55+6), Captura_Jalisco!$B:$B, "Salida"), SUMIFS(Captura_Obra!$F:$F, Captura_Obra!$B:$B, $B62, Captura_Obra!$A:$A, "&gt;=" &amp; $C$55, Captura_Obra!$A:$A, "&lt;=" &amp; ($C$55+6))), IF(ROWS($57:62)=MAX(Catalogos!$N$4:$N$11)+1, SUMIFS(Captura_Obra!$F:$F, Captura_Obra!$A:$A, "&gt;=" &amp; $C$55, Captura_Obra!$A:$A, "&lt;=" &amp; ($C$55+6)) + SUMIFS(Captura_Jalisco!$G:$G, Captura_Jalisco!$A:$A, "&gt;=" &amp; $C$55, Captura_Jalisco!$A:$A, "&lt;=" &amp; ($C$55+6), Captura_Jalisco!$B:$B, "Salida"), ""))</f>
      </c>
      <c r="E62" s="2877">
        <f>IF(ROWS($57:62)&lt;=MAX(Catalogos!$N$4:$N$11)+1, C62 - D62, "")</f>
      </c>
      <c r="F62" s="2878">
        <f>IF(ROWS($57:62)&lt;=MAX(Catalogos!$N$4:$N$11)+1, C62 * $E$55, "")</f>
      </c>
      <c r="G62" s="2879">
        <f>IF(ROWS($57:62)&lt;=MAX(Catalogos!$N$4:$N$11)+1, D62 * $E$55, "")</f>
      </c>
      <c r="H62" s="2880">
        <f>IF(ROWS($57:62)&lt;=MAX(Catalogos!$N$4:$N$11)+1, F62 - G62, "")</f>
      </c>
      <c r="I62" s="2829"/>
      <c r="J62" s="2830"/>
      <c r="K62" s="2544"/>
      <c r="L62" s="2545"/>
    </row>
    <row r="63" spans="1:12" ht="19.95" customHeight="1">
      <c r="B63" s="2881">
        <f>IF(ROWS($57:63)&lt;=MAX(Catalogos!$N$4:$N$11), IFERROR(INDEX(Catalogos!$B$4:$B$11, MATCH(ROWS($57:63), Catalogos!$N$4:$N$11, 0)), ""), IF(ROWS($57:63)=MAX(Catalogos!$N$4:$N$11)+1, "TOTAL GENERAL", ""))</f>
      </c>
      <c r="C63" s="2882">
        <f>IF(ROWS($57:63)&lt;=MAX(Catalogos!$N$4:$N$11), SUMIFS(Solicitudes!$F:$F, Solicitudes!$B:$B, $B63, Solicitudes!$C:$C, "&gt;=" &amp; $C$55, Solicitudes!$C:$C, "&lt;=" &amp; ($C$55+6)), IF(ROWS($57:63)=MAX(Catalogos!$N$4:$N$11)+1, SUMIFS(Solicitudes!$F:$F, Solicitudes!$C:$C, "&gt;=" &amp; $C$55, Solicitudes!$C:$C, "&lt;=" &amp; ($C$55+6)), ""))</f>
      </c>
      <c r="D63" s="2883">
        <f>IF(ROWS($57:63)&lt;=MAX(Catalogos!$N$4:$N$11), IF($B63="Jalisco", SUMIFS(Captura_Jalisco!$G:$G, Captura_Jalisco!$A:$A, "&gt;=" &amp; $C$55, Captura_Jalisco!$A:$A, "&lt;=" &amp; ($C$55+6), Captura_Jalisco!$B:$B, "Salida"), SUMIFS(Captura_Obra!$F:$F, Captura_Obra!$B:$B, $B63, Captura_Obra!$A:$A, "&gt;=" &amp; $C$55, Captura_Obra!$A:$A, "&lt;=" &amp; ($C$55+6))), IF(ROWS($57:63)=MAX(Catalogos!$N$4:$N$11)+1, SUMIFS(Captura_Obra!$F:$F, Captura_Obra!$A:$A, "&gt;=" &amp; $C$55, Captura_Obra!$A:$A, "&lt;=" &amp; ($C$55+6)) + SUMIFS(Captura_Jalisco!$G:$G, Captura_Jalisco!$A:$A, "&gt;=" &amp; $C$55, Captura_Jalisco!$A:$A, "&lt;=" &amp; ($C$55+6), Captura_Jalisco!$B:$B, "Salida"), ""))</f>
      </c>
      <c r="E63" s="2884">
        <f>IF(ROWS($57:63)&lt;=MAX(Catalogos!$N$4:$N$11)+1, C63 - D63, "")</f>
      </c>
      <c r="F63" s="2885">
        <f>IF(ROWS($57:63)&lt;=MAX(Catalogos!$N$4:$N$11)+1, C63 * $E$55, "")</f>
      </c>
      <c r="G63" s="2886">
        <f>IF(ROWS($57:63)&lt;=MAX(Catalogos!$N$4:$N$11)+1, D63 * $E$55, "")</f>
      </c>
      <c r="H63" s="2887">
        <f>IF(ROWS($57:63)&lt;=MAX(Catalogos!$N$4:$N$11)+1, F63 - G63, "")</f>
      </c>
      <c r="I63" s="2831"/>
      <c r="J63" s="2832"/>
      <c r="K63" s="2546"/>
      <c r="L63" s="2547"/>
    </row>
    <row r="64" spans="1:12" ht="19.95" customHeight="1">
      <c r="B64" s="2888">
        <f>IF(ROWS($57:64)&lt;=MAX(Catalogos!$N$4:$N$11), IFERROR(INDEX(Catalogos!$B$4:$B$11, MATCH(ROWS($57:64), Catalogos!$N$4:$N$11, 0)), ""), IF(ROWS($57:64)=MAX(Catalogos!$N$4:$N$11)+1, "TOTAL GENERAL", ""))</f>
      </c>
      <c r="C64" s="2889">
        <f>IF(ROWS($57:64)&lt;=MAX(Catalogos!$N$4:$N$11), SUMIFS(Solicitudes!$F:$F, Solicitudes!$B:$B, $B64, Solicitudes!$C:$C, "&gt;=" &amp; $C$55, Solicitudes!$C:$C, "&lt;=" &amp; ($C$55+6)), IF(ROWS($57:64)=MAX(Catalogos!$N$4:$N$11)+1, SUMIFS(Solicitudes!$F:$F, Solicitudes!$C:$C, "&gt;=" &amp; $C$55, Solicitudes!$C:$C, "&lt;=" &amp; ($C$55+6)), ""))</f>
      </c>
      <c r="D64" s="2890">
        <f>IF(ROWS($57:64)&lt;=MAX(Catalogos!$N$4:$N$11), IF($B64="Jalisco", SUMIFS(Captura_Jalisco!$G:$G, Captura_Jalisco!$A:$A, "&gt;=" &amp; $C$55, Captura_Jalisco!$A:$A, "&lt;=" &amp; ($C$55+6), Captura_Jalisco!$B:$B, "Salida"), SUMIFS(Captura_Obra!$F:$F, Captura_Obra!$B:$B, $B64, Captura_Obra!$A:$A, "&gt;=" &amp; $C$55, Captura_Obra!$A:$A, "&lt;=" &amp; ($C$55+6))), IF(ROWS($57:64)=MAX(Catalogos!$N$4:$N$11)+1, SUMIFS(Captura_Obra!$F:$F, Captura_Obra!$A:$A, "&gt;=" &amp; $C$55, Captura_Obra!$A:$A, "&lt;=" &amp; ($C$55+6)) + SUMIFS(Captura_Jalisco!$G:$G, Captura_Jalisco!$A:$A, "&gt;=" &amp; $C$55, Captura_Jalisco!$A:$A, "&lt;=" &amp; ($C$55+6), Captura_Jalisco!$B:$B, "Salida"), ""))</f>
      </c>
      <c r="E64" s="2891">
        <f>IF(ROWS($57:64)&lt;=MAX(Catalogos!$N$4:$N$11)+1, C64 - D64, "")</f>
      </c>
      <c r="F64" s="2892">
        <f>IF(ROWS($57:64)&lt;=MAX(Catalogos!$N$4:$N$11)+1, C64 * $E$55, "")</f>
      </c>
      <c r="G64" s="2893">
        <f>IF(ROWS($57:64)&lt;=MAX(Catalogos!$N$4:$N$11)+1, D64 * $E$55, "")</f>
      </c>
      <c r="H64" s="2894">
        <f>IF(ROWS($57:64)&lt;=MAX(Catalogos!$N$4:$N$11)+1, F64 - G64, "")</f>
      </c>
      <c r="I64" s="2833"/>
      <c r="J64" s="2834"/>
      <c r="K64" s="2548"/>
      <c r="L64" s="2549"/>
    </row>
    <row r="65" spans="2:12" ht="19.95" customHeight="1">
      <c r="B65" s="2895">
        <f>IF(ROWS($57:65)&lt;=MAX(Catalogos!$N$4:$N$11), IFERROR(INDEX(Catalogos!$B$4:$B$11, MATCH(ROWS($57:65), Catalogos!$N$4:$N$11, 0)), ""), IF(ROWS($57:65)=MAX(Catalogos!$N$4:$N$11)+1, "TOTAL GENERAL", ""))</f>
      </c>
      <c r="C65" s="2896">
        <f>IF(ROWS($57:65)&lt;=MAX(Catalogos!$N$4:$N$11), SUMIFS(Solicitudes!$F:$F, Solicitudes!$B:$B, $B65, Solicitudes!$C:$C, "&gt;=" &amp; $C$55, Solicitudes!$C:$C, "&lt;=" &amp; ($C$55+6)), IF(ROWS($57:65)=MAX(Catalogos!$N$4:$N$11)+1, SUMIFS(Solicitudes!$F:$F, Solicitudes!$C:$C, "&gt;=" &amp; $C$55, Solicitudes!$C:$C, "&lt;=" &amp; ($C$55+6)), ""))</f>
      </c>
      <c r="D65" s="2897">
        <f>IF(ROWS($57:65)&lt;=MAX(Catalogos!$N$4:$N$11), IF($B65="Jalisco", SUMIFS(Captura_Jalisco!$G:$G, Captura_Jalisco!$A:$A, "&gt;=" &amp; $C$55, Captura_Jalisco!$A:$A, "&lt;=" &amp; ($C$55+6), Captura_Jalisco!$B:$B, "Salida"), SUMIFS(Captura_Obra!$F:$F, Captura_Obra!$B:$B, $B65, Captura_Obra!$A:$A, "&gt;=" &amp; $C$55, Captura_Obra!$A:$A, "&lt;=" &amp; ($C$55+6))), IF(ROWS($57:65)=MAX(Catalogos!$N$4:$N$11)+1, SUMIFS(Captura_Obra!$F:$F, Captura_Obra!$A:$A, "&gt;=" &amp; $C$55, Captura_Obra!$A:$A, "&lt;=" &amp; ($C$55+6)) + SUMIFS(Captura_Jalisco!$G:$G, Captura_Jalisco!$A:$A, "&gt;=" &amp; $C$55, Captura_Jalisco!$A:$A, "&lt;=" &amp; ($C$55+6), Captura_Jalisco!$B:$B, "Salida"), ""))</f>
      </c>
      <c r="E65" s="2898">
        <f>IF(ROWS($57:65)&lt;=MAX(Catalogos!$N$4:$N$11)+1, C65 - D65, "")</f>
      </c>
      <c r="F65" s="2899">
        <f>IF(ROWS($57:65)&lt;=MAX(Catalogos!$N$4:$N$11)+1, C65 * $E$55, "")</f>
      </c>
      <c r="G65" s="2900">
        <f>IF(ROWS($57:65)&lt;=MAX(Catalogos!$N$4:$N$11)+1, D65 * $E$55, "")</f>
      </c>
      <c r="H65" s="2901">
        <f>IF(ROWS($57:65)&lt;=MAX(Catalogos!$N$4:$N$11)+1, F65 - G65, "")</f>
      </c>
      <c r="I65" s="2835"/>
      <c r="J65" s="2836"/>
      <c r="K65" s="2550"/>
      <c r="L65" s="2551"/>
    </row>
    <row r="66" spans="2:12" ht="19.95" customHeight="1">
      <c r="B66" s="2552"/>
      <c r="C66" s="2553"/>
      <c r="D66" s="2554"/>
      <c r="E66" s="2555"/>
      <c r="F66" s="2556"/>
      <c r="G66" s="2557"/>
      <c r="H66" s="2558"/>
      <c r="I66" s="2559"/>
      <c r="J66" s="2560"/>
      <c r="K66" s="2561"/>
      <c r="L66" s="2562"/>
    </row>
    <row r="67" spans="2:12" ht="19.95" customHeight="1">
      <c r="B67" s="2563"/>
      <c r="C67" s="2564"/>
      <c r="D67" s="2565"/>
      <c r="E67" s="2566"/>
      <c r="F67" s="2567"/>
      <c r="G67" s="2568"/>
      <c r="H67" s="2569"/>
      <c r="I67" s="2570"/>
      <c r="J67" s="2571"/>
      <c r="K67" s="2572"/>
      <c r="L67" s="2573"/>
    </row>
    <row r="68" spans="2:12" ht="19.95" customHeight="1">
      <c r="B68" s="2574"/>
      <c r="C68" s="2575"/>
      <c r="D68" s="2576"/>
      <c r="E68" s="2577"/>
      <c r="F68" s="2578"/>
      <c r="G68" s="2579"/>
      <c r="H68" s="2580"/>
      <c r="I68" s="2581"/>
      <c r="J68" s="2582"/>
      <c r="K68" s="2583"/>
      <c r="L68" s="2584"/>
    </row>
    <row r="69" spans="2:12" ht="19.95" customHeight="1">
      <c r="B69" s="2585"/>
      <c r="C69" s="2586"/>
      <c r="D69" s="2587"/>
      <c r="E69" s="2588"/>
      <c r="F69" s="2589"/>
      <c r="G69" s="2590"/>
      <c r="H69" s="2591"/>
      <c r="I69" s="2592"/>
      <c r="J69" s="2593"/>
      <c r="K69" s="2594"/>
      <c r="L69" s="2595"/>
    </row>
    <row r="70" spans="2:12" ht="19.95" customHeight="1">
      <c r="B70" s="2596"/>
      <c r="C70" s="2597"/>
      <c r="D70" s="2598"/>
      <c r="E70" s="2599"/>
      <c r="F70" s="2600"/>
      <c r="G70" s="2601"/>
      <c r="H70" s="2602"/>
      <c r="I70" s="2603"/>
      <c r="J70" s="2604"/>
      <c r="K70" s="2605"/>
      <c r="L70" s="2606"/>
    </row>
    <row r="71" spans="2:12" ht="19.95" customHeight="1">
      <c r="B71" s="2607"/>
      <c r="C71" s="2608"/>
      <c r="D71" s="2609"/>
      <c r="E71" s="2610"/>
      <c r="F71" s="2611"/>
      <c r="G71" s="2612"/>
      <c r="H71" s="2613"/>
      <c r="I71" s="2614"/>
      <c r="J71" s="2615"/>
      <c r="K71" s="2616"/>
      <c r="L71" s="2617"/>
    </row>
    <row r="72" spans="2:12" ht="19.95" customHeight="1">
      <c r="B72" s="2618"/>
      <c r="C72" s="2619"/>
      <c r="D72" s="2620"/>
      <c r="E72" s="2621"/>
      <c r="F72" s="2622"/>
      <c r="G72" s="2623"/>
      <c r="H72" s="2624"/>
      <c r="I72" s="2625"/>
      <c r="J72" s="2626"/>
      <c r="K72" s="2627"/>
      <c r="L72" s="2628"/>
    </row>
    <row r="73" spans="2:12" ht="19.95" customHeight="1">
      <c r="B73" s="2629"/>
      <c r="C73" s="2630"/>
      <c r="D73" s="2631"/>
      <c r="E73" s="2632"/>
      <c r="F73" s="2633"/>
      <c r="G73" s="2634"/>
      <c r="H73" s="2635"/>
      <c r="I73" s="2636"/>
      <c r="J73" s="2637"/>
      <c r="K73" s="2638"/>
      <c r="L73" s="2639"/>
    </row>
    <row r="74" spans="2:12" ht="19.95" customHeight="1">
      <c r="B74" s="2640"/>
      <c r="C74" s="2641"/>
      <c r="D74" s="2642"/>
      <c r="E74" s="2643"/>
      <c r="F74" s="2644"/>
      <c r="G74" s="2645"/>
      <c r="H74" s="2646"/>
      <c r="I74" s="2647"/>
      <c r="J74" s="2648"/>
      <c r="K74" s="2649"/>
      <c r="L74" s="2650"/>
    </row>
    <row r="75" spans="2:12" ht="19.95" customHeight="1">
      <c r="B75" s="2651"/>
      <c r="C75" s="2652"/>
      <c r="D75" s="2653"/>
      <c r="E75" s="2654"/>
      <c r="F75" s="2655"/>
      <c r="G75" s="2656"/>
      <c r="H75" s="2657"/>
      <c r="I75" s="2658"/>
      <c r="J75" s="2659"/>
      <c r="K75" s="2660"/>
      <c r="L75" s="2661"/>
    </row>
    <row r="76" spans="2:12" ht="19.95" customHeight="1">
      <c r="B76" s="2662"/>
      <c r="C76" s="2663"/>
      <c r="D76" s="2664"/>
      <c r="E76" s="2665"/>
      <c r="F76" s="2666"/>
      <c r="G76" s="2667"/>
      <c r="H76" s="2668"/>
      <c r="I76" s="2669"/>
      <c r="J76" s="2670"/>
      <c r="K76" s="2671"/>
      <c r="L76" s="2672"/>
    </row>
    <row r="77" spans="2:12" ht="19.95" customHeight="1">
      <c r="B77" s="2673"/>
      <c r="C77" s="2674"/>
      <c r="D77" s="2675"/>
      <c r="E77" s="2676"/>
      <c r="F77" s="2677"/>
      <c r="G77" s="2678"/>
      <c r="H77" s="2679"/>
      <c r="I77" s="2680"/>
      <c r="J77" s="2681"/>
      <c r="K77" s="2682"/>
      <c r="L77" s="2683"/>
    </row>
    <row r="78" spans="2:12" ht="19.95" customHeight="1">
      <c r="B78" s="2684"/>
      <c r="C78" s="2685"/>
      <c r="D78" s="2686"/>
      <c r="E78" s="2687"/>
      <c r="F78" s="2688"/>
      <c r="G78" s="2689"/>
      <c r="H78" s="2690"/>
      <c r="I78" s="2691"/>
      <c r="J78" s="2692"/>
      <c r="K78" s="2693"/>
      <c r="L78" s="2694"/>
    </row>
    <row r="79" spans="2:12" ht="19.95" customHeight="1">
      <c r="B79" s="2695"/>
      <c r="C79" s="2696"/>
      <c r="D79" s="2697"/>
      <c r="E79" s="2698"/>
      <c r="F79" s="2699"/>
      <c r="G79" s="2700"/>
      <c r="H79" s="2701"/>
      <c r="I79" s="2702"/>
      <c r="J79" s="2703"/>
      <c r="K79" s="2704"/>
      <c r="L79" s="2705"/>
    </row>
    <row r="80" spans="2:12" ht="19.95" customHeight="1">
      <c r="B80" s="2706"/>
      <c r="C80" s="2707"/>
      <c r="D80" s="2708"/>
      <c r="E80" s="2709"/>
      <c r="F80" s="2710"/>
      <c r="G80" s="2711"/>
      <c r="H80" s="2712"/>
      <c r="I80" s="2713"/>
      <c r="J80" s="2714"/>
      <c r="K80" s="2715"/>
      <c r="L80" s="2716"/>
    </row>
    <row r="81" spans="2:12" ht="19.95" customHeight="1">
      <c r="B81" s="2717"/>
      <c r="C81" s="2718"/>
      <c r="D81" s="2719"/>
      <c r="E81" s="2720"/>
      <c r="F81" s="2721"/>
      <c r="G81" s="2722"/>
      <c r="H81" s="2723"/>
      <c r="I81" s="2724"/>
      <c r="J81" s="2725"/>
      <c r="K81" s="2726"/>
      <c r="L81" s="2727"/>
    </row>
    <row r="82" spans="2:12" ht="19.95" customHeight="1">
      <c r="B82" s="2728"/>
      <c r="C82" s="2729"/>
      <c r="D82" s="2730"/>
      <c r="E82" s="2731"/>
      <c r="F82" s="2732"/>
      <c r="G82" s="2733"/>
      <c r="H82" s="2734"/>
      <c r="I82" s="2735"/>
      <c r="J82" s="2736"/>
      <c r="K82" s="2737"/>
      <c r="L82" s="2738"/>
    </row>
    <row r="83" spans="2:12" ht="19.95" customHeight="1">
      <c r="B83" s="2739"/>
      <c r="C83" s="2740"/>
      <c r="D83" s="2741"/>
      <c r="E83" s="2742"/>
      <c r="F83" s="2743"/>
      <c r="G83" s="2744"/>
      <c r="H83" s="2745"/>
      <c r="I83" s="2746"/>
      <c r="J83" s="2747"/>
      <c r="K83" s="2748"/>
      <c r="L83" s="2749"/>
    </row>
    <row r="84" spans="2:12" ht="19.95" customHeight="1">
      <c r="B84" s="2750"/>
      <c r="C84" s="2751"/>
      <c r="D84" s="2752"/>
      <c r="E84" s="2753"/>
      <c r="F84" s="2754"/>
      <c r="G84" s="2755"/>
      <c r="H84" s="2756"/>
      <c r="I84" s="2757"/>
      <c r="J84" s="2758"/>
      <c r="K84" s="2759"/>
      <c r="L84" s="2760"/>
    </row>
    <row r="85" spans="2:12" ht="19.95" customHeight="1">
      <c r="B85" s="2761"/>
      <c r="C85" s="2762"/>
      <c r="D85" s="2763"/>
      <c r="E85" s="2764"/>
      <c r="F85" s="2765"/>
      <c r="G85" s="2766"/>
      <c r="H85" s="2767"/>
      <c r="I85" s="2768"/>
      <c r="J85" s="2769"/>
      <c r="K85" s="2770"/>
      <c r="L85" s="2771"/>
    </row>
    <row r="86" spans="2:12" ht="19.95" customHeight="1">
      <c r="B86" s="2772"/>
      <c r="C86" s="2773"/>
      <c r="D86" s="2774"/>
      <c r="E86" s="2775"/>
      <c r="F86" s="2776"/>
      <c r="G86" s="2777"/>
      <c r="H86" s="2778"/>
      <c r="I86" s="2779"/>
      <c r="J86" s="2780"/>
      <c r="K86" s="2781"/>
      <c r="L86" s="2782"/>
    </row>
    <row r="87" spans="2:12" ht="19.95" customHeight="1">
      <c r="B87" s="2783"/>
      <c r="C87" s="2784"/>
      <c r="D87" s="2785"/>
      <c r="E87" s="2786"/>
      <c r="F87" s="2787"/>
      <c r="G87" s="2788"/>
      <c r="H87" s="2789"/>
      <c r="I87" s="2790"/>
      <c r="J87" s="2791"/>
      <c r="K87" s="2792"/>
      <c r="L87" s="2793"/>
    </row>
    <row r="88" spans="2:12" ht="22.05" customHeight="1">
      <c r="B88" s="3448"/>
      <c r="C88" s="3449"/>
      <c r="D88" s="2794"/>
      <c r="E88" s="2795"/>
      <c r="F88" s="2796"/>
      <c r="G88" s="2797"/>
      <c r="H88" s="2798"/>
      <c r="I88" s="2799"/>
      <c r="J88" s="2800"/>
      <c r="K88" s="2801"/>
      <c r="L88" s="2802"/>
    </row>
  </sheetData>
  <mergeCells count="20">
    <mergeCell ref="AF31:AF32"/>
    <mergeCell ref="Q30:AF30"/>
    <mergeCell ref="S31:T31"/>
    <mergeCell ref="AC31:AD31"/>
    <mergeCell ref="AA31:AB31"/>
    <mergeCell ref="Y31:Z31"/>
    <mergeCell ref="W31:X31"/>
    <mergeCell ref="U31:V31"/>
    <mergeCell ref="Q31:Q32"/>
    <mergeCell ref="R31:R32"/>
    <mergeCell ref="AE31:AE32"/>
    <mergeCell ref="B54:K54"/>
    <mergeCell ref="B88:C88"/>
    <mergeCell ref="A43:J43"/>
    <mergeCell ref="A1:J1"/>
    <mergeCell ref="A3:J3"/>
    <mergeCell ref="E4:I8"/>
    <mergeCell ref="A10:J10"/>
    <mergeCell ref="A20:J20"/>
    <mergeCell ref="A31:C31"/>
  </mergeCells>
  <dataValidations count="1">
    <dataValidation type="list" allowBlank="1" showInputMessage="1" showErrorMessage="1" errorTitle="Filtro no válido" error="undefined" promptTitle="undefined" prompt="undefined" sqref="C8" xr:uid="{95840C22-0B02-46BF-BEA9-17D6093E8BEF}">
      <formula1>"Semana Seleccionada,Acumulado Histórico,Rango de Fechas"</formula1>
    </dataValidation>
  </dataValidations>
  <printOptions horizontalCentered="1"/>
  <pageMargins left="0.25" right="0.25" top="0.25" bottom="0.25" header="0" footer="0"/>
  <pageSetup scale="34" orientation="landscape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Title="undefined" error="undefined" promptTitle="undefined" prompt="undefined" xr:uid="{78EA97C1-CE85-49F2-9033-CDC239A384F3}">
          <x14:formula1>
            <xm:f>Catalogos!$L$4:$L$55</xm:f>
          </x14:formula1>
          <xm:sqref>C55</xm:sqref>
        </x14:dataValidation>
        <x14:dataValidation type="list" allowBlank="1" showInputMessage="1" showErrorMessage="1" errorTitle="Obra no válida" error="undefined" promptTitle="undefined" prompt="undefined" xr:uid="{D113906B-6280-4741-BDDD-A59257E3409E}">
          <x14:formula1>
            <xm:f>Catalogos!$K$4:$K$12</xm:f>
          </x14:formula1>
          <xm:sqref>C4 C44</xm:sqref>
        </x14:dataValidation>
        <x14:dataValidation type="list" allowBlank="1" showInputMessage="1" showErrorMessage="1" errorTitle="Fecha no válida" error="undefined" promptTitle="undefined" prompt="undefined" xr:uid="{8B9490FB-4901-4A7E-92B9-C5A733FA5FF4}">
          <x14:formula1>
            <xm:f>Catalogos!$L$4:$L$33</xm:f>
          </x14:formula1>
          <xm:sqref>C5:C6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3C530-3CEF-4812-A2D2-C7473890D598}">
  <sheetPr/>
  <sheetViews>
    <sheetView showGridLines="0" zoomScale="118" zoomScaleNormal="80" workbookViewId="0">
      <selection activeCell="X11" sqref="X11"/>
    </sheetView>
  </sheetViews>
  <sheetFormatPr baseColWidth="10" defaultColWidth="8" defaultRowHeight="14.4"/>
  <cols>
    <col min="1" max="1" width="8" style="8"/>
    <col min="2" max="5" width="15" style="8" customWidth="1"/>
    <col min="6" max="6" width="8" style="8"/>
    <col min="7" max="10" width="15" style="8" customWidth="1"/>
    <col min="11" max="11" width="8" style="8"/>
    <col min="12" max="15" width="15" style="8" customWidth="1"/>
    <col min="16" max="16" width="8" style="8"/>
    <col min="17" max="20" width="15" style="8" customWidth="1"/>
    <col min="21" max="21" width="8" style="8"/>
    <col min="22" max="26" width="15" style="8" customWidth="1"/>
    <col min="27" max="16384" width="8" style="8"/>
  </cols>
  <sheetData>
    <row r="2" spans="2:24" ht="18">
      <c r="B2" t="s" s="7">
        <v>158</v>
      </c>
      <c r="G2" t="s" s="7">
        <v>159</v>
      </c>
      <c r="L2" t="s" s="7">
        <v>160</v>
      </c>
      <c r="Q2" t="s" s="7">
        <v>161</v>
      </c>
      <c r="V2" t="s" s="7">
        <v>162</v>
      </c>
    </row>
    <row r="4" spans="2:24">
      <c r="B4" t="s" s="9">
        <v>12</v>
      </c>
      <c r="C4" t="s" s="9">
        <v>0</v>
      </c>
      <c r="D4" t="s" s="9">
        <v>96</v>
      </c>
      <c r="E4" t="s" s="9">
        <v>163</v>
      </c>
      <c r="G4" t="s" s="9">
        <v>12</v>
      </c>
      <c r="H4" t="s" s="9">
        <v>0</v>
      </c>
      <c r="I4" t="s" s="9">
        <v>16</v>
      </c>
      <c r="J4" t="s" s="9">
        <v>164</v>
      </c>
      <c r="L4" t="s" s="9">
        <v>12</v>
      </c>
      <c r="M4" t="s" s="9">
        <v>0</v>
      </c>
      <c r="N4" t="s" s="9">
        <v>16</v>
      </c>
      <c r="O4" t="s" s="9">
        <v>164</v>
      </c>
      <c r="Q4" t="s" s="9">
        <v>12</v>
      </c>
      <c r="R4" t="s" s="9">
        <v>0</v>
      </c>
      <c r="S4" t="s" s="9">
        <v>35</v>
      </c>
      <c r="T4" t="s" s="9">
        <v>164</v>
      </c>
      <c r="V4" t="s" s="9">
        <v>0</v>
      </c>
      <c r="W4" t="s" s="9">
        <v>35</v>
      </c>
      <c r="X4" t="s" s="9">
        <v>164</v>
      </c>
    </row>
    <row r="5" spans="2:24">
      <c r="B5" t="s" s="10">
        <v>165</v>
      </c>
      <c r="C5" t="s" s="10">
        <v>3</v>
      </c>
      <c r="D5" s="10">
        <v>160</v>
      </c>
      <c r="E5" s="11">
        <v>4528</v>
      </c>
      <c r="G5" t="s" s="10">
        <v>166</v>
      </c>
      <c r="H5" t="s" s="10">
        <v>4</v>
      </c>
      <c r="I5" s="10">
        <v>455</v>
      </c>
      <c r="J5" s="11">
        <v>12876.5</v>
      </c>
      <c r="L5" t="s" s="10">
        <v>166</v>
      </c>
      <c r="M5" t="s" s="10">
        <v>142</v>
      </c>
      <c r="N5" s="10">
        <v>180</v>
      </c>
      <c r="O5" s="11">
        <v>5094</v>
      </c>
      <c r="Q5" t="s" s="10">
        <v>166</v>
      </c>
      <c r="R5" t="s" s="10">
        <v>142</v>
      </c>
      <c r="S5" s="10">
        <v>100</v>
      </c>
      <c r="T5" s="11">
        <v>2830</v>
      </c>
      <c r="V5" t="s" s="10">
        <v>142</v>
      </c>
      <c r="W5" s="10">
        <v>200</v>
      </c>
      <c r="X5" s="11">
        <v>5660</v>
      </c>
    </row>
    <row r="6" spans="2:24">
      <c r="B6" t="s" s="10">
        <v>165</v>
      </c>
      <c r="C6" t="s" s="10">
        <v>2</v>
      </c>
      <c r="D6" s="10">
        <v>640</v>
      </c>
      <c r="E6" s="11">
        <v>18112</v>
      </c>
      <c r="G6" t="s" s="10">
        <v>166</v>
      </c>
      <c r="H6" t="s" s="10">
        <v>3</v>
      </c>
      <c r="I6" s="10">
        <v>97</v>
      </c>
      <c r="J6" s="11">
        <v>2745.1</v>
      </c>
      <c r="L6" t="s" s="10">
        <v>166</v>
      </c>
      <c r="M6" t="s" s="10">
        <v>146</v>
      </c>
      <c r="N6" s="10">
        <v>409</v>
      </c>
      <c r="O6" s="11">
        <v>11574.7</v>
      </c>
      <c r="Q6" t="s" s="10">
        <v>166</v>
      </c>
      <c r="R6" t="s" s="10">
        <v>4</v>
      </c>
      <c r="S6" s="10">
        <v>455</v>
      </c>
      <c r="T6" s="11">
        <v>12876.5</v>
      </c>
      <c r="V6" t="s" s="10">
        <v>4</v>
      </c>
      <c r="W6" s="10">
        <v>1693</v>
      </c>
      <c r="X6" s="11">
        <v>47911.9</v>
      </c>
    </row>
    <row r="7" spans="2:24">
      <c r="B7" t="s" s="10">
        <v>166</v>
      </c>
      <c r="C7" t="s" s="10">
        <v>142</v>
      </c>
      <c r="D7" s="10">
        <v>100</v>
      </c>
      <c r="E7" s="11">
        <v>2830</v>
      </c>
      <c r="G7" t="s" s="10">
        <v>166</v>
      </c>
      <c r="H7" t="s" s="10">
        <v>2</v>
      </c>
      <c r="I7" s="10">
        <v>369</v>
      </c>
      <c r="J7" s="11">
        <v>10442.7</v>
      </c>
      <c r="L7" t="s" s="10">
        <v>167</v>
      </c>
      <c r="M7" t="s" s="10">
        <v>3</v>
      </c>
      <c r="N7" s="10">
        <v>180</v>
      </c>
      <c r="O7" s="11">
        <v>5094</v>
      </c>
      <c r="Q7" t="s" s="10">
        <v>166</v>
      </c>
      <c r="R7" t="s" s="10">
        <v>3</v>
      </c>
      <c r="S7" s="10">
        <v>97</v>
      </c>
      <c r="T7" s="11">
        <v>2745.1</v>
      </c>
      <c r="V7" t="s" s="10">
        <v>3</v>
      </c>
      <c r="W7" s="10">
        <v>872</v>
      </c>
      <c r="X7" s="11">
        <v>24677.6</v>
      </c>
    </row>
    <row r="8" spans="2:24">
      <c r="B8" t="s" s="10">
        <v>166</v>
      </c>
      <c r="C8" t="s" s="10">
        <v>4</v>
      </c>
      <c r="D8" s="10">
        <v>990</v>
      </c>
      <c r="E8" s="11">
        <v>28017</v>
      </c>
      <c r="G8" t="s" s="10">
        <v>167</v>
      </c>
      <c r="H8" t="s" s="10">
        <v>4</v>
      </c>
      <c r="I8" s="10">
        <v>736</v>
      </c>
      <c r="J8" s="11">
        <v>20828.8</v>
      </c>
      <c r="L8" t="s" s="10">
        <v>168</v>
      </c>
      <c r="M8" t="s" s="10">
        <v>142</v>
      </c>
      <c r="N8" s="10">
        <v>100</v>
      </c>
      <c r="O8" s="11">
        <v>2830</v>
      </c>
      <c r="Q8" t="s" s="10">
        <v>166</v>
      </c>
      <c r="R8" t="s" s="10">
        <v>2</v>
      </c>
      <c r="S8" s="10">
        <v>369</v>
      </c>
      <c r="T8" s="11">
        <v>10442.7</v>
      </c>
      <c r="V8" t="s" s="10">
        <v>2</v>
      </c>
      <c r="W8" s="10">
        <v>1285</v>
      </c>
      <c r="X8" s="11">
        <v>36365.5</v>
      </c>
    </row>
    <row r="9" spans="2:24">
      <c r="B9" t="s" s="10">
        <v>167</v>
      </c>
      <c r="C9" t="s" s="10">
        <v>142</v>
      </c>
      <c r="D9" s="10">
        <v>100</v>
      </c>
      <c r="E9" s="11">
        <v>2830</v>
      </c>
      <c r="G9" t="s" s="10">
        <v>168</v>
      </c>
      <c r="H9" t="s" s="10">
        <v>2</v>
      </c>
      <c r="I9" s="10">
        <v>300</v>
      </c>
      <c r="J9" s="11">
        <v>8490</v>
      </c>
      <c r="L9" t="s" s="10">
        <v>169</v>
      </c>
      <c r="M9" t="s" s="10">
        <v>3</v>
      </c>
      <c r="N9" s="10">
        <v>595</v>
      </c>
      <c r="O9" s="11">
        <v>16838.5</v>
      </c>
      <c r="Q9" t="s" s="10">
        <v>166</v>
      </c>
      <c r="R9" t="s" s="10">
        <v>146</v>
      </c>
      <c r="S9" s="10">
        <v>409</v>
      </c>
      <c r="T9" s="11">
        <v>11574.7</v>
      </c>
      <c r="V9" t="s" s="10">
        <v>146</v>
      </c>
      <c r="W9" s="10">
        <v>647</v>
      </c>
      <c r="X9" s="11">
        <v>18310.1</v>
      </c>
    </row>
    <row r="10" spans="2:24">
      <c r="B10" t="s" s="10">
        <v>167</v>
      </c>
      <c r="C10" t="s" s="10">
        <v>4</v>
      </c>
      <c r="D10" s="10">
        <v>790</v>
      </c>
      <c r="E10" s="11">
        <v>22357</v>
      </c>
      <c r="G10" t="s" s="10">
        <v>169</v>
      </c>
      <c r="H10" t="s" s="10">
        <v>2</v>
      </c>
      <c r="I10" s="10">
        <v>256</v>
      </c>
      <c r="J10" s="11">
        <v>7244.8</v>
      </c>
      <c r="L10" t="s" s="10">
        <v>169</v>
      </c>
      <c r="M10" t="s" s="10">
        <v>146</v>
      </c>
      <c r="N10" s="10">
        <v>238</v>
      </c>
      <c r="O10" s="11">
        <v>6735.400000000001</v>
      </c>
      <c r="Q10" t="s" s="10">
        <v>167</v>
      </c>
      <c r="R10" t="s" s="10">
        <v>4</v>
      </c>
      <c r="S10" s="10">
        <v>736</v>
      </c>
      <c r="T10" s="11">
        <v>20828.8</v>
      </c>
      <c r="X10" s="14">
        <f>SUM(X5:X9)</f>
      </c>
    </row>
    <row r="11" spans="2:24">
      <c r="B11" t="s" s="10">
        <v>167</v>
      </c>
      <c r="C11" t="s" s="10">
        <v>3</v>
      </c>
      <c r="D11" s="10">
        <v>210</v>
      </c>
      <c r="E11" s="11">
        <v>5943</v>
      </c>
      <c r="G11" t="s" s="10">
        <v>170</v>
      </c>
      <c r="H11" t="s" s="10">
        <v>4</v>
      </c>
      <c r="I11" s="10">
        <v>502</v>
      </c>
      <c r="J11" s="11">
        <v>14206.6</v>
      </c>
      <c r="L11" t="s" s="10">
        <v>170</v>
      </c>
      <c r="M11" t="s" s="10">
        <v>142</v>
      </c>
      <c r="N11" s="10">
        <v>70</v>
      </c>
      <c r="O11" s="11">
        <v>1981</v>
      </c>
      <c r="Q11" t="s" s="10">
        <v>167</v>
      </c>
      <c r="R11" t="s" s="10">
        <v>3</v>
      </c>
      <c r="S11" s="10">
        <v>180</v>
      </c>
      <c r="T11" s="11">
        <v>5094</v>
      </c>
    </row>
    <row r="12" spans="2:24">
      <c r="B12" t="s" s="10">
        <v>168</v>
      </c>
      <c r="C12" t="s" s="10">
        <v>2</v>
      </c>
      <c r="D12" s="10">
        <v>320</v>
      </c>
      <c r="E12" s="11">
        <v>9056</v>
      </c>
      <c r="G12" t="s" s="10">
        <v>170</v>
      </c>
      <c r="H12" t="s" s="10">
        <v>2</v>
      </c>
      <c r="I12" s="10">
        <v>360</v>
      </c>
      <c r="J12" s="11">
        <v>10188</v>
      </c>
      <c r="Q12" t="s" s="10">
        <v>168</v>
      </c>
      <c r="R12" t="s" s="10">
        <v>142</v>
      </c>
      <c r="S12" s="10">
        <v>100</v>
      </c>
      <c r="T12" s="11">
        <v>2830</v>
      </c>
    </row>
    <row r="13" spans="2:24">
      <c r="B13" t="s" s="10">
        <v>169</v>
      </c>
      <c r="C13" t="s" s="10">
        <v>142</v>
      </c>
      <c r="D13" s="10">
        <v>70</v>
      </c>
      <c r="E13" s="11">
        <v>1981</v>
      </c>
      <c r="Q13" t="s" s="10">
        <v>168</v>
      </c>
      <c r="R13" t="s" s="10">
        <v>2</v>
      </c>
      <c r="S13" s="10">
        <v>300</v>
      </c>
      <c r="T13" s="11">
        <v>8490</v>
      </c>
    </row>
    <row r="14" spans="2:24">
      <c r="B14" t="s" s="10">
        <v>169</v>
      </c>
      <c r="C14" t="s" s="10">
        <v>3</v>
      </c>
      <c r="D14" s="10">
        <v>460</v>
      </c>
      <c r="E14" s="11">
        <v>13018</v>
      </c>
      <c r="Q14" t="s" s="10">
        <v>169</v>
      </c>
      <c r="R14" t="s" s="10">
        <v>3</v>
      </c>
      <c r="S14" s="10">
        <v>595</v>
      </c>
      <c r="T14" s="11">
        <v>16838.5</v>
      </c>
    </row>
    <row r="15" spans="2:24">
      <c r="B15" t="s" s="10">
        <v>170</v>
      </c>
      <c r="C15" t="s" s="10">
        <v>4</v>
      </c>
      <c r="D15" s="10">
        <v>620</v>
      </c>
      <c r="E15" s="11">
        <v>17546</v>
      </c>
      <c r="Q15" t="s" s="10">
        <v>169</v>
      </c>
      <c r="R15" t="s" s="10">
        <v>2</v>
      </c>
      <c r="S15" s="10">
        <v>256</v>
      </c>
      <c r="T15" s="11">
        <v>7244.8</v>
      </c>
    </row>
    <row r="16" spans="2:24">
      <c r="B16" t="s" s="10">
        <v>170</v>
      </c>
      <c r="C16" t="s" s="10">
        <v>2</v>
      </c>
      <c r="D16" s="10">
        <v>540</v>
      </c>
      <c r="E16" s="11">
        <v>15282</v>
      </c>
      <c r="Q16" t="s" s="10">
        <v>169</v>
      </c>
      <c r="R16" t="s" s="10">
        <v>146</v>
      </c>
      <c r="S16" s="10">
        <v>238</v>
      </c>
      <c r="T16" s="11">
        <v>6735.400000000001</v>
      </c>
    </row>
    <row r="17" spans="17:20">
      <c r="Q17" t="s" s="10">
        <v>170</v>
      </c>
      <c r="R17" t="s" s="10">
        <v>4</v>
      </c>
      <c r="S17" s="10">
        <v>502</v>
      </c>
      <c r="T17" s="11">
        <v>14206.6</v>
      </c>
    </row>
    <row r="18" spans="17:20">
      <c r="Q18" t="s" s="10">
        <v>170</v>
      </c>
      <c r="R18" t="s" s="10">
        <v>2</v>
      </c>
      <c r="S18" s="10">
        <v>360</v>
      </c>
      <c r="T18" s="11">
        <v>10188</v>
      </c>
    </row>
    <row r="35" spans="2:26" ht="18">
      <c r="B35" t="s" s="7">
        <v>171</v>
      </c>
      <c r="G35" t="s" s="7">
        <v>172</v>
      </c>
      <c r="L35" t="s" s="7">
        <v>173</v>
      </c>
      <c r="Q35" t="s" s="7">
        <v>174</v>
      </c>
      <c r="V35" t="s" s="12">
        <v>175</v>
      </c>
    </row>
    <row r="37" spans="2:26">
      <c r="B37" t="s" s="9">
        <v>12</v>
      </c>
      <c r="C37" t="s" s="9">
        <v>176</v>
      </c>
      <c r="D37" t="s" s="9">
        <v>164</v>
      </c>
      <c r="G37" t="s" s="9">
        <v>0</v>
      </c>
      <c r="H37" t="s" s="9">
        <v>176</v>
      </c>
      <c r="I37" t="s" s="9">
        <v>164</v>
      </c>
      <c r="L37" t="s" s="9">
        <v>12</v>
      </c>
      <c r="M37" t="s" s="9">
        <v>177</v>
      </c>
      <c r="N37" t="s" s="9">
        <v>178</v>
      </c>
      <c r="Q37" t="s" s="9">
        <v>0</v>
      </c>
      <c r="R37" t="s" s="9">
        <v>177</v>
      </c>
      <c r="S37" t="s" s="9">
        <v>178</v>
      </c>
      <c r="V37" t="s" s="13">
        <v>12</v>
      </c>
      <c r="W37" t="s" s="13">
        <v>0</v>
      </c>
      <c r="X37" t="s" s="13">
        <v>179</v>
      </c>
      <c r="Y37" t="s" s="13">
        <v>35</v>
      </c>
      <c r="Z37" t="s" s="13">
        <v>180</v>
      </c>
    </row>
    <row r="38" spans="2:26">
      <c r="B38" t="s" s="10">
        <v>165</v>
      </c>
      <c r="C38" s="11">
        <v>22640</v>
      </c>
      <c r="D38" s="11">
        <v>0</v>
      </c>
      <c r="G38" t="s" s="10">
        <v>142</v>
      </c>
      <c r="H38" s="11">
        <v>7641</v>
      </c>
      <c r="I38" s="11">
        <v>9905</v>
      </c>
      <c r="L38" t="s" s="10">
        <v>166</v>
      </c>
      <c r="M38" s="10">
        <v>1510</v>
      </c>
      <c r="N38" s="11">
        <v>42733</v>
      </c>
      <c r="Q38" t="s" s="10">
        <v>142</v>
      </c>
      <c r="R38" s="10">
        <v>350</v>
      </c>
      <c r="S38" s="11">
        <v>9905</v>
      </c>
      <c r="V38" t="s" s="10">
        <v>166</v>
      </c>
      <c r="W38" t="s" s="10">
        <v>142</v>
      </c>
      <c r="X38" s="10">
        <v>180</v>
      </c>
      <c r="Y38" s="10">
        <v>100</v>
      </c>
      <c r="Z38" s="10">
        <v>80</v>
      </c>
    </row>
    <row r="39" spans="2:26">
      <c r="B39" t="s" s="10">
        <v>166</v>
      </c>
      <c r="C39" s="11">
        <v>30847</v>
      </c>
      <c r="D39" s="11">
        <v>42733</v>
      </c>
      <c r="G39" t="s" s="10">
        <v>4</v>
      </c>
      <c r="H39" s="11">
        <v>67920</v>
      </c>
      <c r="I39" s="11">
        <v>47911.9</v>
      </c>
      <c r="L39" t="s" s="10">
        <v>167</v>
      </c>
      <c r="M39" s="10">
        <v>916</v>
      </c>
      <c r="N39" s="11">
        <v>25922.8</v>
      </c>
      <c r="Q39" t="s" s="10">
        <v>4</v>
      </c>
      <c r="R39" s="10">
        <v>1693</v>
      </c>
      <c r="S39" s="11">
        <v>47911.9</v>
      </c>
      <c r="V39" t="s" s="10">
        <v>170</v>
      </c>
      <c r="W39" t="s" s="10">
        <v>142</v>
      </c>
      <c r="X39" s="10">
        <v>70</v>
      </c>
      <c r="Y39" s="10">
        <v>0</v>
      </c>
      <c r="Z39" s="10">
        <v>70</v>
      </c>
    </row>
    <row r="40" spans="2:26">
      <c r="B40" t="s" s="10">
        <v>167</v>
      </c>
      <c r="C40" s="11">
        <v>31130</v>
      </c>
      <c r="D40" s="11">
        <v>25922.8</v>
      </c>
      <c r="G40" t="s" s="10">
        <v>3</v>
      </c>
      <c r="H40" s="11">
        <v>23489</v>
      </c>
      <c r="I40" s="11">
        <v>24677.6</v>
      </c>
      <c r="L40" t="s" s="10">
        <v>168</v>
      </c>
      <c r="M40" s="10">
        <v>400</v>
      </c>
      <c r="N40" s="11">
        <v>11320</v>
      </c>
      <c r="Q40" t="s" s="10">
        <v>3</v>
      </c>
      <c r="R40" s="10">
        <v>872</v>
      </c>
      <c r="S40" s="11">
        <v>24677.6</v>
      </c>
    </row>
    <row r="41" spans="2:26">
      <c r="B41" t="s" s="10">
        <v>168</v>
      </c>
      <c r="C41" s="11">
        <v>9056</v>
      </c>
      <c r="D41" s="11">
        <v>11320</v>
      </c>
      <c r="G41" t="s" s="10">
        <v>2</v>
      </c>
      <c r="H41" s="11">
        <v>42450</v>
      </c>
      <c r="I41" s="11">
        <v>36365.5</v>
      </c>
      <c r="L41" t="s" s="10">
        <v>169</v>
      </c>
      <c r="M41" s="10">
        <v>1089</v>
      </c>
      <c r="N41" s="11">
        <v>30818.7</v>
      </c>
      <c r="Q41" t="s" s="10">
        <v>2</v>
      </c>
      <c r="R41" s="10">
        <v>1285</v>
      </c>
      <c r="S41" s="11">
        <v>36365.5</v>
      </c>
    </row>
    <row r="42" spans="2:26">
      <c r="B42" t="s" s="10">
        <v>169</v>
      </c>
      <c r="C42" s="11">
        <v>14999</v>
      </c>
      <c r="D42" s="11">
        <v>30818.7</v>
      </c>
      <c r="G42" t="s" s="10">
        <v>146</v>
      </c>
      <c r="H42" s="11">
        <v>0</v>
      </c>
      <c r="I42" s="11">
        <v>18310.1</v>
      </c>
      <c r="L42" t="s" s="10">
        <v>170</v>
      </c>
      <c r="M42" s="10">
        <v>932</v>
      </c>
      <c r="N42" s="11">
        <v>26375.6</v>
      </c>
      <c r="Q42" t="s" s="10">
        <v>146</v>
      </c>
      <c r="R42" s="10">
        <v>647</v>
      </c>
      <c r="S42" s="11">
        <v>18310.1</v>
      </c>
    </row>
    <row r="43" spans="2:26">
      <c r="B43" t="s" s="10">
        <v>170</v>
      </c>
      <c r="C43" s="11">
        <v>32828</v>
      </c>
      <c r="D43" s="11">
        <v>26375.6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/>
  <sheetViews>
    <sheetView workbookViewId="0">
      <selection activeCell="A5" sqref="A5"/>
    </sheetView>
  </sheetViews>
  <sheetFormatPr baseColWidth="10" defaultColWidth="8.796875" defaultRowHeight="13.8"/>
  <cols>
    <col min="1" max="1" width="13" customWidth="1"/>
    <col min="2" max="2" width="18" customWidth="1"/>
    <col min="3" max="3" width="22" customWidth="1"/>
    <col min="4" max="5" width="20" customWidth="1"/>
    <col min="6" max="6" width="18" customWidth="1"/>
    <col min="7" max="8" width="12" customWidth="1"/>
    <col min="9" max="9" width="16" customWidth="1"/>
    <col min="10" max="10" width="12" customWidth="1"/>
    <col min="11" max="11" width="14" customWidth="1"/>
    <col min="12" max="12" width="30" customWidth="1"/>
  </cols>
  <sheetData>
    <row r="1" spans="1:12" ht="22.35" customHeight="1">
      <c r="A1" t="s" s="3537">
        <v>5</v>
      </c>
      <c r="B1" s="3538"/>
      <c r="C1" s="3538"/>
      <c r="D1" s="3538"/>
      <c r="E1" s="3538"/>
      <c r="F1" s="3538"/>
      <c r="G1" s="3538"/>
      <c r="H1" s="3538"/>
      <c r="I1" s="3538"/>
      <c r="J1" s="3538"/>
      <c r="K1" s="3538"/>
      <c r="L1" s="3538"/>
    </row>
    <row r="2" spans="1:12">
      <c r="A2" t="s">
        <v>6</v>
      </c>
      <c r="C2" t="s">
        <v>7</v>
      </c>
      <c r="F2" t="s">
        <v>8</v>
      </c>
      <c r="H2" t="s">
        <v>9</v>
      </c>
      <c r="I2" t="s">
        <v>10</v>
      </c>
      <c r="J2" t="s">
        <v>11</v>
      </c>
    </row>
    <row r="3">
      <c r="A3" t="s">
        <v>482</v>
      </c>
      <c r="B3" t="s">
        <v>12</v>
      </c>
      <c r="C3" t="s">
        <v>483</v>
      </c>
      <c r="D3" t="s">
        <v>484</v>
      </c>
      <c r="E3" t="s">
        <v>485</v>
      </c>
      <c r="F3" t="s">
        <v>454</v>
      </c>
      <c r="G3" t="s">
        <v>486</v>
      </c>
      <c r="H3" t="s">
        <v>18</v>
      </c>
    </row>
    <row r="4" spans="1:12" ht="27.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>
      <c r="A5" s="2"/>
      <c r="B5"/>
      <c r="C5"/>
      <c r="D5"/>
      <c r="E5"/>
      <c r="F5"/>
      <c r="G5" s="3"/>
      <c r="H5" s="3"/>
      <c r="I5" s="3"/>
      <c r="J5" s="4"/>
      <c r="K5" s="4"/>
      <c r="L5"/>
    </row>
    <row r="6" spans="1:12">
      <c r="A6" s="2"/>
      <c r="B6"/>
      <c r="C6"/>
      <c r="D6"/>
      <c r="E6"/>
      <c r="F6"/>
      <c r="G6" s="3"/>
      <c r="H6" s="3"/>
      <c r="I6" s="3"/>
      <c r="J6" s="4"/>
      <c r="K6" s="4"/>
      <c r="L6"/>
    </row>
    <row r="7" spans="1:12">
      <c r="A7" s="2"/>
      <c r="B7"/>
      <c r="C7"/>
      <c r="D7"/>
      <c r="E7"/>
      <c r="F7"/>
      <c r="G7" s="3"/>
      <c r="H7" s="3"/>
      <c r="I7" s="3"/>
      <c r="J7" s="4"/>
      <c r="K7" s="4"/>
      <c r="L7"/>
    </row>
    <row r="8" spans="1:12">
      <c r="A8" s="2"/>
      <c r="B8"/>
      <c r="C8"/>
      <c r="D8"/>
      <c r="E8"/>
      <c r="F8"/>
      <c r="G8" s="3"/>
      <c r="H8" s="3"/>
      <c r="I8" s="3"/>
      <c r="J8" s="4"/>
      <c r="K8" s="4"/>
      <c r="L8"/>
    </row>
    <row r="9" spans="1:12">
      <c r="A9" s="2"/>
      <c r="B9"/>
      <c r="C9"/>
      <c r="D9"/>
      <c r="E9"/>
      <c r="F9"/>
      <c r="G9" s="3"/>
      <c r="H9" s="3"/>
      <c r="I9" s="3"/>
      <c r="J9" s="4"/>
      <c r="K9" s="4"/>
      <c r="L9"/>
    </row>
    <row r="10" spans="1:12">
      <c r="A10" s="2"/>
      <c r="B10"/>
      <c r="C10"/>
      <c r="D10"/>
      <c r="E10"/>
      <c r="F10"/>
      <c r="G10" s="3"/>
      <c r="H10" s="3"/>
      <c r="I10" s="3"/>
      <c r="J10" s="4"/>
      <c r="K10" s="4"/>
      <c r="L10"/>
    </row>
    <row r="11" spans="1:12">
      <c r="A11" s="2"/>
      <c r="B11"/>
      <c r="C11"/>
      <c r="D11"/>
      <c r="E11"/>
      <c r="F11"/>
      <c r="G11" s="3"/>
      <c r="H11" s="3"/>
      <c r="I11" s="3"/>
      <c r="J11" s="4"/>
      <c r="K11" s="4"/>
      <c r="L11"/>
    </row>
    <row r="12" spans="1:12">
      <c r="A12" s="2"/>
      <c r="B12"/>
      <c r="C12"/>
      <c r="D12"/>
      <c r="E12"/>
      <c r="F12"/>
      <c r="G12" s="3"/>
      <c r="H12" s="3"/>
      <c r="I12" s="3"/>
      <c r="J12" s="4"/>
      <c r="K12" s="4"/>
      <c r="L12"/>
    </row>
    <row r="13" spans="1:12">
      <c r="A13" s="2"/>
      <c r="B13"/>
      <c r="C13"/>
      <c r="D13"/>
      <c r="E13"/>
      <c r="F13"/>
      <c r="G13" s="3"/>
      <c r="H13" s="3"/>
      <c r="I13" s="3"/>
      <c r="J13" s="4"/>
      <c r="K13" s="4"/>
      <c r="L13"/>
    </row>
    <row r="14" spans="1:12">
      <c r="A14" s="2"/>
      <c r="B14"/>
      <c r="C14"/>
      <c r="D14"/>
      <c r="E14"/>
      <c r="F14"/>
      <c r="G14" s="3"/>
      <c r="H14" s="3"/>
      <c r="I14" s="3"/>
      <c r="J14" s="4"/>
      <c r="K14" s="4"/>
      <c r="L14"/>
    </row>
    <row r="15" spans="1:12">
      <c r="A15" s="2"/>
      <c r="B15"/>
      <c r="C15"/>
      <c r="D15"/>
      <c r="E15"/>
      <c r="F15"/>
      <c r="G15" s="3"/>
      <c r="H15" s="3"/>
      <c r="I15" s="3"/>
      <c r="J15" s="4"/>
      <c r="K15" s="4"/>
      <c r="L15"/>
    </row>
    <row r="16" spans="1:12">
      <c r="A16" s="2"/>
      <c r="B16"/>
      <c r="C16"/>
      <c r="D16"/>
      <c r="E16"/>
      <c r="F16"/>
      <c r="G16" s="3"/>
      <c r="H16" s="3"/>
      <c r="I16" s="3"/>
      <c r="J16" s="4"/>
      <c r="K16" s="4"/>
      <c r="L16"/>
    </row>
    <row r="17" spans="1:11">
      <c r="A17" s="2"/>
      <c r="B17"/>
      <c r="C17"/>
      <c r="D17"/>
      <c r="E17"/>
      <c r="F17"/>
      <c r="G17" s="3"/>
      <c r="H17" s="3"/>
      <c r="I17" s="3"/>
      <c r="J17" s="4"/>
      <c r="K17" s="4"/>
      <c r="L17"/>
    </row>
    <row r="18" spans="1:11">
      <c r="A18" s="2"/>
      <c r="B18"/>
      <c r="C18"/>
      <c r="D18"/>
      <c r="E18"/>
      <c r="F18"/>
      <c r="G18" s="3"/>
      <c r="H18" s="3"/>
      <c r="I18" s="3"/>
      <c r="J18" s="4"/>
      <c r="K18" s="4"/>
      <c r="L18"/>
    </row>
    <row r="19" spans="1:11">
      <c r="A19" s="2"/>
      <c r="B19"/>
      <c r="C19"/>
      <c r="D19"/>
      <c r="E19"/>
      <c r="F19"/>
      <c r="G19" s="3"/>
      <c r="H19" s="3"/>
      <c r="I19" s="3"/>
      <c r="J19" s="4"/>
      <c r="K19" s="4"/>
      <c r="L19"/>
    </row>
    <row r="20" spans="1:11">
      <c r="A20" s="2"/>
      <c r="B20"/>
      <c r="C20"/>
      <c r="D20"/>
      <c r="E20"/>
      <c r="F20"/>
      <c r="G20" s="3"/>
      <c r="H20" s="3"/>
      <c r="I20" s="3"/>
      <c r="J20" s="4"/>
      <c r="K20" s="4"/>
      <c r="L20"/>
    </row>
    <row r="21" spans="1:11">
      <c r="A21" s="2"/>
      <c r="B21"/>
      <c r="C21"/>
      <c r="D21"/>
      <c r="E21"/>
      <c r="F21"/>
      <c r="G21" s="3"/>
      <c r="H21" s="3"/>
      <c r="I21" s="3"/>
      <c r="J21" s="4"/>
      <c r="K21" s="4"/>
      <c r="L21"/>
    </row>
    <row r="22" spans="1:11">
      <c r="A22" s="2"/>
      <c r="B22"/>
      <c r="C22"/>
      <c r="D22"/>
      <c r="E22"/>
      <c r="F22"/>
      <c r="G22" s="3"/>
      <c r="H22" s="3"/>
      <c r="I22" s="3"/>
      <c r="J22" s="4"/>
      <c r="K22" s="4"/>
      <c r="L22"/>
    </row>
    <row r="23" spans="1:11">
      <c r="A23" s="2"/>
      <c r="B23"/>
      <c r="C23"/>
      <c r="D23"/>
      <c r="E23"/>
      <c r="F23"/>
      <c r="G23" s="3"/>
      <c r="H23" s="3"/>
      <c r="I23" s="3"/>
      <c r="J23" s="4"/>
      <c r="K23" s="4"/>
      <c r="L23"/>
    </row>
    <row r="24" spans="1:11">
      <c r="A24" s="2"/>
      <c r="B24"/>
      <c r="C24"/>
      <c r="D24"/>
      <c r="E24"/>
      <c r="F24"/>
      <c r="G24" s="3"/>
      <c r="H24" s="3"/>
      <c r="I24" s="3"/>
      <c r="J24" s="4"/>
      <c r="K24" s="4"/>
      <c r="L24"/>
    </row>
    <row r="25" spans="1:11">
      <c r="A25" s="2"/>
      <c r="B25"/>
      <c r="C25"/>
      <c r="D25"/>
      <c r="E25"/>
      <c r="F25"/>
      <c r="G25" s="3"/>
      <c r="H25" s="3"/>
      <c r="I25" s="3"/>
      <c r="J25" s="4"/>
      <c r="K25" s="4"/>
      <c r="L25"/>
    </row>
    <row r="26" spans="1:11">
      <c r="A26" s="2"/>
      <c r="B26"/>
      <c r="C26"/>
      <c r="D26"/>
      <c r="E26"/>
      <c r="F26"/>
      <c r="G26" s="3"/>
      <c r="H26" s="3"/>
      <c r="I26" s="3"/>
      <c r="J26" s="4"/>
      <c r="K26" s="4"/>
      <c r="L26"/>
    </row>
    <row r="27" spans="1:11">
      <c r="A27" s="2"/>
      <c r="B27"/>
      <c r="C27"/>
      <c r="D27"/>
      <c r="E27"/>
      <c r="F27"/>
      <c r="G27" s="3"/>
      <c r="H27" s="3"/>
      <c r="I27" s="3"/>
      <c r="J27" s="4"/>
      <c r="K27" s="4"/>
      <c r="L27"/>
    </row>
    <row r="28" spans="1:11">
      <c r="A28" s="2"/>
      <c r="B28"/>
      <c r="C28"/>
      <c r="D28"/>
      <c r="E28"/>
      <c r="F28"/>
      <c r="G28" s="3"/>
      <c r="H28" s="3"/>
      <c r="I28" s="3"/>
      <c r="J28" s="4"/>
      <c r="K28" s="4"/>
      <c r="L28"/>
    </row>
    <row r="29" spans="1:11">
      <c r="A29" s="2"/>
      <c r="B29"/>
      <c r="C29"/>
      <c r="D29"/>
      <c r="E29"/>
      <c r="F29"/>
      <c r="G29" s="3"/>
      <c r="H29" s="3"/>
      <c r="I29" s="3"/>
      <c r="J29" s="4"/>
      <c r="K29" s="4"/>
      <c r="L29"/>
    </row>
    <row r="30" spans="1:11">
      <c r="A30" s="2"/>
      <c r="B30"/>
      <c r="C30"/>
      <c r="D30"/>
      <c r="E30"/>
      <c r="F30"/>
      <c r="G30" s="3"/>
      <c r="H30" s="3"/>
      <c r="I30" s="3"/>
      <c r="J30" s="4"/>
      <c r="K30" s="4"/>
      <c r="L30"/>
    </row>
    <row r="31" spans="1:11">
      <c r="A31" s="2"/>
      <c r="B31"/>
      <c r="C31"/>
      <c r="D31"/>
      <c r="E31"/>
      <c r="F31"/>
      <c r="G31" s="3"/>
      <c r="H31" s="3"/>
      <c r="I31" s="3"/>
      <c r="J31" s="4"/>
      <c r="K31" s="4"/>
      <c r="L31"/>
    </row>
    <row r="32" spans="1:11">
      <c r="A32" s="2"/>
      <c r="B32"/>
      <c r="C32"/>
      <c r="D32"/>
      <c r="E32"/>
      <c r="F32"/>
      <c r="G32" s="3"/>
      <c r="H32" s="3"/>
      <c r="I32" s="3"/>
      <c r="J32" s="4"/>
      <c r="K32" s="4"/>
      <c r="L32"/>
    </row>
    <row r="33" spans="1:11">
      <c r="A33" s="2"/>
      <c r="B33"/>
      <c r="C33"/>
      <c r="D33"/>
      <c r="E33"/>
      <c r="F33"/>
      <c r="G33" s="3"/>
      <c r="H33" s="3"/>
      <c r="I33" s="3"/>
      <c r="J33" s="4"/>
      <c r="K33" s="4"/>
      <c r="L33"/>
    </row>
    <row r="34" spans="1:11">
      <c r="A34" s="2"/>
      <c r="B34"/>
      <c r="C34"/>
      <c r="D34"/>
      <c r="E34"/>
      <c r="F34"/>
      <c r="G34" s="3"/>
      <c r="H34" s="3"/>
      <c r="I34" s="3"/>
      <c r="J34" s="4"/>
      <c r="K34" s="4"/>
      <c r="L34"/>
    </row>
    <row r="35" spans="1:11">
      <c r="A35" s="2"/>
      <c r="B35"/>
      <c r="C35"/>
      <c r="D35"/>
      <c r="E35"/>
      <c r="F35"/>
      <c r="G35" s="3"/>
      <c r="H35" s="3"/>
      <c r="I35" s="3"/>
      <c r="J35" s="4"/>
      <c r="K35" s="4"/>
      <c r="L35"/>
    </row>
    <row r="36" spans="1:11">
      <c r="A36" s="2"/>
      <c r="B36"/>
      <c r="C36"/>
      <c r="D36"/>
      <c r="E36"/>
      <c r="F36"/>
      <c r="G36" s="3"/>
      <c r="H36" s="3"/>
      <c r="I36" s="3"/>
      <c r="J36" s="4"/>
      <c r="K36" s="4"/>
      <c r="L36"/>
    </row>
    <row r="37" spans="1:11">
      <c r="A37" s="2"/>
      <c r="B37"/>
      <c r="C37"/>
      <c r="D37"/>
      <c r="E37"/>
      <c r="F37"/>
      <c r="G37" s="3"/>
      <c r="H37" s="3"/>
      <c r="I37" s="3"/>
      <c r="J37" s="4"/>
      <c r="K37" s="4"/>
      <c r="L37"/>
    </row>
    <row r="38" spans="1:11">
      <c r="A38" s="2"/>
      <c r="B38"/>
      <c r="C38"/>
      <c r="D38"/>
      <c r="E38"/>
      <c r="F38"/>
      <c r="G38" s="3"/>
      <c r="H38" s="3"/>
      <c r="I38" s="3"/>
      <c r="J38" s="4"/>
      <c r="K38" s="4"/>
      <c r="L38"/>
    </row>
    <row r="39" spans="1:11">
      <c r="A39" s="2"/>
      <c r="B39"/>
      <c r="C39"/>
      <c r="D39"/>
      <c r="E39"/>
      <c r="F39"/>
      <c r="G39" s="3"/>
      <c r="H39" s="3"/>
      <c r="I39" s="3"/>
      <c r="J39" s="4"/>
      <c r="K39" s="4"/>
      <c r="L39"/>
    </row>
    <row r="40" spans="1:11">
      <c r="A40" s="2"/>
      <c r="B40"/>
      <c r="C40"/>
      <c r="D40"/>
      <c r="E40"/>
      <c r="F40"/>
      <c r="G40" s="3"/>
      <c r="H40" s="3"/>
      <c r="I40" s="3"/>
      <c r="J40" s="4"/>
      <c r="K40" s="4"/>
      <c r="L40"/>
    </row>
    <row r="41" spans="1:11">
      <c r="A41" s="2"/>
      <c r="B41"/>
      <c r="C41"/>
      <c r="D41"/>
      <c r="E41"/>
      <c r="F41"/>
      <c r="G41" s="3"/>
      <c r="H41" s="3"/>
      <c r="I41" s="3"/>
      <c r="J41" s="4"/>
      <c r="K41" s="4"/>
      <c r="L41"/>
    </row>
    <row r="42" spans="1:11">
      <c r="A42" s="2"/>
      <c r="B42"/>
      <c r="C42"/>
      <c r="D42"/>
      <c r="E42"/>
      <c r="F42"/>
      <c r="G42" s="3"/>
      <c r="H42" s="3"/>
      <c r="I42" s="3"/>
      <c r="J42" s="4"/>
      <c r="K42" s="4"/>
      <c r="L42"/>
    </row>
    <row r="43" spans="1:11">
      <c r="A43" s="2"/>
      <c r="B43"/>
      <c r="C43"/>
      <c r="D43"/>
      <c r="E43"/>
      <c r="F43"/>
      <c r="G43" s="3"/>
      <c r="H43" s="3"/>
      <c r="I43" s="3"/>
      <c r="J43" s="4"/>
      <c r="K43" s="4"/>
      <c r="L43"/>
    </row>
    <row r="44" spans="1:11">
      <c r="A44" s="2"/>
      <c r="B44"/>
      <c r="C44"/>
      <c r="D44"/>
      <c r="E44"/>
      <c r="F44"/>
      <c r="G44" s="3"/>
      <c r="H44" s="3"/>
      <c r="I44" s="3"/>
      <c r="J44" s="4"/>
      <c r="K44" s="4"/>
      <c r="L44"/>
    </row>
    <row r="45" spans="1:11">
      <c r="A45" s="2"/>
      <c r="B45"/>
      <c r="C45"/>
      <c r="D45"/>
      <c r="E45"/>
      <c r="F45"/>
      <c r="G45" s="3"/>
      <c r="H45" s="3"/>
      <c r="I45" s="3"/>
      <c r="J45" s="4"/>
      <c r="K45" s="4"/>
      <c r="L45"/>
    </row>
    <row r="46" spans="1:11">
      <c r="A46" s="2"/>
      <c r="B46"/>
      <c r="C46"/>
      <c r="D46"/>
      <c r="E46"/>
      <c r="F46"/>
      <c r="G46" s="3"/>
      <c r="H46" s="3"/>
      <c r="I46" s="3"/>
      <c r="J46" s="4"/>
      <c r="K46" s="4"/>
      <c r="L46"/>
    </row>
    <row r="47" spans="1:11">
      <c r="A47" s="2"/>
      <c r="B47"/>
      <c r="C47"/>
      <c r="D47"/>
      <c r="E47"/>
      <c r="F47"/>
      <c r="G47" s="3"/>
      <c r="H47" s="3"/>
      <c r="I47" s="3"/>
      <c r="J47" s="4"/>
      <c r="K47" s="4"/>
      <c r="L47"/>
    </row>
    <row r="48" spans="1:11">
      <c r="A48" s="2"/>
      <c r="B48"/>
      <c r="C48"/>
      <c r="D48"/>
      <c r="E48"/>
      <c r="F48"/>
      <c r="G48" s="3"/>
      <c r="H48" s="3"/>
      <c r="I48" s="3"/>
      <c r="J48" s="4"/>
      <c r="K48" s="4"/>
      <c r="L48"/>
    </row>
    <row r="49" spans="1:11">
      <c r="A49" s="2"/>
      <c r="B49"/>
      <c r="C49"/>
      <c r="D49"/>
      <c r="E49"/>
      <c r="F49"/>
      <c r="G49" s="3"/>
      <c r="H49" s="3"/>
      <c r="I49" s="3"/>
      <c r="J49" s="4"/>
      <c r="K49" s="4"/>
      <c r="L49"/>
    </row>
    <row r="50" spans="1:11">
      <c r="A50" s="2"/>
      <c r="B50"/>
      <c r="C50"/>
      <c r="D50"/>
      <c r="E50"/>
      <c r="F50"/>
      <c r="G50" s="3"/>
      <c r="H50" s="3"/>
      <c r="I50" s="3"/>
      <c r="J50" s="4"/>
      <c r="K50" s="4"/>
      <c r="L50"/>
    </row>
    <row r="51" spans="1:11">
      <c r="A51" s="2"/>
      <c r="B51"/>
      <c r="C51"/>
      <c r="D51"/>
      <c r="E51"/>
      <c r="F51"/>
      <c r="G51" s="3"/>
      <c r="H51" s="3"/>
      <c r="I51" s="3"/>
      <c r="J51" s="4"/>
      <c r="K51" s="4"/>
      <c r="L51"/>
    </row>
    <row r="52" spans="1:11">
      <c r="A52" s="2"/>
      <c r="B52"/>
      <c r="C52"/>
      <c r="D52"/>
      <c r="E52"/>
      <c r="F52"/>
      <c r="G52" s="3"/>
      <c r="H52" s="3"/>
      <c r="I52" s="3"/>
      <c r="J52" s="4"/>
      <c r="K52" s="4"/>
      <c r="L52"/>
    </row>
    <row r="53" spans="1:11">
      <c r="A53" s="2"/>
      <c r="B53"/>
      <c r="C53"/>
      <c r="D53"/>
      <c r="E53"/>
      <c r="F53"/>
      <c r="G53" s="3"/>
      <c r="H53" s="3"/>
      <c r="I53" s="3"/>
      <c r="J53" s="4"/>
      <c r="K53" s="4"/>
      <c r="L53"/>
    </row>
    <row r="54" spans="1:11">
      <c r="A54" s="2"/>
      <c r="B54"/>
      <c r="C54"/>
      <c r="D54"/>
      <c r="E54"/>
      <c r="F54"/>
      <c r="G54" s="3"/>
      <c r="H54" s="3"/>
      <c r="I54" s="3"/>
      <c r="J54" s="4"/>
      <c r="K54" s="4"/>
      <c r="L54"/>
    </row>
    <row r="55" spans="1:11">
      <c r="A55" s="2"/>
      <c r="B55"/>
      <c r="C55"/>
      <c r="D55"/>
      <c r="E55"/>
      <c r="F55"/>
      <c r="G55" s="3"/>
      <c r="H55" s="3"/>
      <c r="I55" s="3"/>
      <c r="J55" s="4"/>
      <c r="K55" s="4"/>
      <c r="L55"/>
    </row>
    <row r="56" spans="1:11">
      <c r="A56" s="2"/>
      <c r="B56"/>
      <c r="C56"/>
      <c r="D56"/>
      <c r="E56"/>
      <c r="F56"/>
      <c r="G56" s="3"/>
      <c r="H56" s="3"/>
      <c r="I56" s="3"/>
      <c r="J56" s="4"/>
      <c r="K56" s="4"/>
      <c r="L56"/>
    </row>
    <row r="57" spans="1:11">
      <c r="A57" s="2"/>
      <c r="B57"/>
      <c r="C57"/>
      <c r="D57"/>
      <c r="E57"/>
      <c r="F57"/>
      <c r="G57" s="3"/>
      <c r="H57" s="3"/>
      <c r="I57" s="3"/>
      <c r="J57" s="4"/>
      <c r="K57" s="4"/>
      <c r="L57"/>
    </row>
    <row r="58" spans="1:11">
      <c r="A58" s="2"/>
      <c r="B58"/>
      <c r="C58"/>
      <c r="D58"/>
      <c r="E58"/>
      <c r="F58"/>
      <c r="G58" s="3"/>
      <c r="H58" s="3"/>
      <c r="I58" s="3"/>
      <c r="J58" s="4"/>
      <c r="K58" s="4"/>
      <c r="L58"/>
    </row>
    <row r="59" spans="1:11">
      <c r="A59" s="2"/>
      <c r="B59"/>
      <c r="C59"/>
      <c r="D59"/>
      <c r="E59"/>
      <c r="F59"/>
      <c r="G59" s="3"/>
      <c r="H59" s="3"/>
      <c r="I59" s="3"/>
      <c r="J59" s="4"/>
      <c r="K59" s="4"/>
      <c r="L59"/>
    </row>
    <row r="60" spans="1:11">
      <c r="A60" s="2"/>
      <c r="B60"/>
      <c r="C60"/>
      <c r="D60"/>
      <c r="E60"/>
      <c r="F60"/>
      <c r="G60" s="3"/>
      <c r="H60" s="3"/>
      <c r="I60" s="3"/>
      <c r="J60" s="4"/>
      <c r="K60" s="4"/>
      <c r="L60"/>
    </row>
    <row r="61" spans="1:11">
      <c r="A61" s="2"/>
      <c r="B61"/>
      <c r="C61"/>
      <c r="D61"/>
      <c r="E61"/>
      <c r="F61"/>
      <c r="G61" s="3"/>
      <c r="H61" s="3"/>
      <c r="I61" s="3"/>
      <c r="J61" s="4"/>
      <c r="K61" s="4"/>
      <c r="L61"/>
    </row>
    <row r="62" spans="1:11">
      <c r="A62" s="2"/>
      <c r="B62"/>
      <c r="C62"/>
      <c r="D62"/>
      <c r="E62"/>
      <c r="F62"/>
      <c r="G62" s="3"/>
      <c r="H62" s="3"/>
      <c r="I62" s="3"/>
      <c r="J62" s="4"/>
      <c r="K62" s="4"/>
      <c r="L62"/>
    </row>
    <row r="63" spans="1:11">
      <c r="A63" s="2"/>
      <c r="B63"/>
      <c r="C63"/>
      <c r="D63"/>
      <c r="E63"/>
      <c r="F63"/>
      <c r="G63" s="3"/>
      <c r="H63" s="3"/>
      <c r="I63" s="3"/>
      <c r="J63" s="4"/>
      <c r="K63" s="4"/>
      <c r="L63"/>
    </row>
    <row r="64" spans="1:11">
      <c r="A64" s="2"/>
      <c r="B64"/>
      <c r="C64"/>
      <c r="D64"/>
      <c r="E64"/>
      <c r="F64"/>
      <c r="G64" s="3"/>
      <c r="H64" s="3"/>
      <c r="I64" s="3"/>
      <c r="J64" s="4"/>
      <c r="K64" s="4"/>
      <c r="L64"/>
    </row>
    <row r="65" spans="1:11">
      <c r="A65" s="2"/>
      <c r="B65"/>
      <c r="C65"/>
      <c r="D65"/>
      <c r="E65"/>
      <c r="F65"/>
      <c r="G65" s="3"/>
      <c r="H65" s="3"/>
      <c r="I65" s="3"/>
      <c r="J65" s="4"/>
      <c r="K65" s="4"/>
      <c r="L65"/>
    </row>
    <row r="66" spans="1:11">
      <c r="A66" s="2"/>
      <c r="B66"/>
      <c r="C66"/>
      <c r="D66"/>
      <c r="E66"/>
      <c r="F66"/>
      <c r="G66" s="3"/>
      <c r="H66" s="3"/>
      <c r="I66" s="3"/>
      <c r="J66" s="4"/>
      <c r="K66" s="4"/>
      <c r="L66"/>
    </row>
    <row r="67" spans="1:11">
      <c r="A67" s="2"/>
      <c r="B67"/>
      <c r="C67"/>
      <c r="D67"/>
      <c r="E67"/>
      <c r="F67"/>
      <c r="G67" s="3"/>
      <c r="H67" s="3"/>
      <c r="I67" s="3"/>
      <c r="J67" s="4"/>
      <c r="K67" s="4"/>
      <c r="L67"/>
    </row>
    <row r="68" spans="1:11">
      <c r="A68" s="2"/>
      <c r="B68"/>
      <c r="C68"/>
      <c r="D68"/>
      <c r="E68"/>
      <c r="F68"/>
      <c r="G68" s="3"/>
      <c r="H68" s="3"/>
      <c r="I68" s="3"/>
      <c r="J68" s="4"/>
      <c r="K68" s="4"/>
      <c r="L68"/>
    </row>
    <row r="69" spans="1:11">
      <c r="A69" s="2"/>
      <c r="B69"/>
      <c r="C69"/>
      <c r="D69"/>
      <c r="E69"/>
      <c r="F69"/>
      <c r="G69" s="3"/>
      <c r="H69" s="3"/>
      <c r="I69" s="3"/>
      <c r="J69" s="4"/>
      <c r="K69" s="4"/>
      <c r="L69"/>
    </row>
    <row r="70" spans="1:11">
      <c r="A70" s="2"/>
      <c r="B70"/>
      <c r="C70"/>
      <c r="D70"/>
      <c r="E70"/>
      <c r="F70"/>
      <c r="G70" s="3"/>
      <c r="H70" s="3"/>
      <c r="I70" s="3"/>
      <c r="J70" s="4"/>
      <c r="K70" s="4"/>
      <c r="L70"/>
    </row>
    <row r="71" spans="1:11">
      <c r="A71" s="2"/>
      <c r="B71"/>
      <c r="C71"/>
      <c r="D71"/>
      <c r="E71"/>
      <c r="F71"/>
      <c r="G71" s="3"/>
      <c r="H71" s="3"/>
      <c r="I71" s="3"/>
      <c r="J71" s="4"/>
      <c r="K71" s="4"/>
      <c r="L71"/>
    </row>
    <row r="72" spans="1:11">
      <c r="A72" s="2"/>
      <c r="B72"/>
      <c r="C72"/>
      <c r="D72"/>
      <c r="E72"/>
      <c r="F72"/>
      <c r="G72" s="3"/>
      <c r="H72" s="3"/>
      <c r="I72" s="3"/>
      <c r="J72" s="4"/>
      <c r="K72" s="4"/>
      <c r="L72"/>
    </row>
    <row r="73" spans="1:11">
      <c r="A73" s="2"/>
      <c r="B73"/>
      <c r="C73"/>
      <c r="D73"/>
      <c r="E73"/>
      <c r="F73"/>
      <c r="G73" s="3"/>
      <c r="H73" s="3"/>
      <c r="I73" s="3"/>
      <c r="J73" s="4"/>
      <c r="K73" s="4"/>
      <c r="L73"/>
    </row>
    <row r="74" spans="1:11">
      <c r="A74" s="2"/>
      <c r="B74"/>
      <c r="C74"/>
      <c r="D74"/>
      <c r="E74"/>
      <c r="F74"/>
      <c r="G74" s="3"/>
      <c r="H74" s="3"/>
      <c r="I74" s="3"/>
      <c r="J74" s="4"/>
      <c r="K74" s="4"/>
      <c r="L74"/>
    </row>
    <row r="75" spans="1:11">
      <c r="A75" s="2"/>
      <c r="B75"/>
      <c r="C75"/>
      <c r="D75"/>
      <c r="E75"/>
      <c r="F75"/>
      <c r="G75" s="3"/>
      <c r="H75" s="3"/>
      <c r="I75" s="3"/>
      <c r="J75" s="4"/>
      <c r="K75" s="4"/>
      <c r="L75"/>
    </row>
    <row r="76" spans="1:11">
      <c r="A76" s="2"/>
      <c r="B76"/>
      <c r="C76"/>
      <c r="D76"/>
      <c r="E76"/>
      <c r="F76"/>
      <c r="G76" s="3"/>
      <c r="H76" s="3"/>
      <c r="I76" s="3"/>
      <c r="J76" s="4"/>
      <c r="K76" s="4"/>
      <c r="L76"/>
    </row>
    <row r="77" spans="1:11">
      <c r="A77" s="2"/>
      <c r="B77"/>
      <c r="C77"/>
      <c r="D77"/>
      <c r="E77"/>
      <c r="F77"/>
      <c r="G77" s="3"/>
      <c r="H77" s="3"/>
      <c r="I77" s="3"/>
      <c r="J77" s="4"/>
      <c r="K77" s="4"/>
      <c r="L77"/>
    </row>
    <row r="78" spans="1:11">
      <c r="A78" s="2"/>
      <c r="B78"/>
      <c r="C78"/>
      <c r="D78"/>
      <c r="E78"/>
      <c r="F78"/>
      <c r="G78" s="3"/>
      <c r="H78" s="3"/>
      <c r="I78" s="3"/>
      <c r="J78" s="4"/>
      <c r="K78" s="4"/>
      <c r="L78"/>
    </row>
    <row r="79" spans="1:11">
      <c r="A79" s="2"/>
      <c r="B79"/>
      <c r="C79"/>
      <c r="D79"/>
      <c r="E79"/>
      <c r="F79"/>
      <c r="G79" s="3"/>
      <c r="H79" s="3"/>
      <c r="I79" s="3"/>
      <c r="J79" s="4"/>
      <c r="K79" s="4"/>
      <c r="L79"/>
    </row>
    <row r="80" spans="1:11">
      <c r="A80" s="2"/>
      <c r="B80"/>
      <c r="C80"/>
      <c r="D80"/>
      <c r="E80"/>
      <c r="F80"/>
      <c r="G80" s="3"/>
      <c r="H80" s="3"/>
      <c r="I80" s="3"/>
      <c r="J80" s="4"/>
      <c r="K80" s="4"/>
      <c r="L80"/>
    </row>
    <row r="81" spans="1:11">
      <c r="A81" s="2"/>
      <c r="B81"/>
      <c r="C81"/>
      <c r="D81"/>
      <c r="E81"/>
      <c r="F81"/>
      <c r="G81" s="3"/>
      <c r="H81" s="3"/>
      <c r="I81" s="3"/>
      <c r="J81" s="4"/>
      <c r="K81" s="4"/>
      <c r="L81"/>
    </row>
    <row r="82" spans="1:11">
      <c r="A82" s="2"/>
      <c r="B82"/>
      <c r="C82"/>
      <c r="D82"/>
      <c r="E82"/>
      <c r="F82"/>
      <c r="G82" s="3"/>
      <c r="H82" s="3"/>
      <c r="I82" s="3"/>
      <c r="J82" s="4"/>
      <c r="K82" s="4"/>
      <c r="L82"/>
    </row>
    <row r="83" spans="1:11">
      <c r="A83" s="2"/>
      <c r="B83"/>
      <c r="C83"/>
      <c r="D83"/>
      <c r="E83"/>
      <c r="F83"/>
      <c r="G83" s="3"/>
      <c r="H83" s="3"/>
      <c r="I83" s="3"/>
      <c r="J83" s="4"/>
      <c r="K83" s="4"/>
      <c r="L83"/>
    </row>
    <row r="84" spans="1:11">
      <c r="A84" s="2"/>
      <c r="B84"/>
      <c r="C84"/>
      <c r="D84"/>
      <c r="E84"/>
      <c r="F84"/>
      <c r="G84" s="3"/>
      <c r="H84" s="3"/>
      <c r="I84" s="3"/>
      <c r="J84" s="4"/>
      <c r="K84" s="4"/>
      <c r="L84"/>
    </row>
    <row r="85" spans="1:11">
      <c r="A85" s="2"/>
      <c r="B85"/>
      <c r="C85"/>
      <c r="D85"/>
      <c r="E85"/>
      <c r="F85"/>
      <c r="G85" s="3"/>
      <c r="H85" s="3"/>
      <c r="I85" s="3"/>
      <c r="J85" s="4"/>
      <c r="K85" s="4"/>
      <c r="L85"/>
    </row>
    <row r="86" spans="1:11">
      <c r="A86" s="2"/>
      <c r="B86"/>
      <c r="C86"/>
      <c r="D86"/>
      <c r="E86"/>
      <c r="F86"/>
      <c r="G86" s="3"/>
      <c r="H86" s="3"/>
      <c r="I86" s="3"/>
      <c r="J86" s="4"/>
      <c r="K86" s="4"/>
      <c r="L86"/>
    </row>
    <row r="87" spans="1:11">
      <c r="A87" s="2"/>
      <c r="B87"/>
      <c r="C87"/>
      <c r="D87"/>
      <c r="E87"/>
      <c r="F87"/>
      <c r="G87" s="3"/>
      <c r="H87" s="3"/>
      <c r="I87" s="3"/>
      <c r="J87" s="4"/>
      <c r="K87" s="4"/>
      <c r="L87"/>
    </row>
    <row r="88" spans="1:11">
      <c r="A88" s="2"/>
      <c r="B88"/>
      <c r="C88"/>
      <c r="D88"/>
      <c r="E88"/>
      <c r="F88"/>
      <c r="G88" s="3"/>
      <c r="H88" s="3"/>
      <c r="I88" s="3"/>
      <c r="J88" s="4"/>
      <c r="K88" s="4"/>
      <c r="L88"/>
    </row>
    <row r="89" spans="1:11">
      <c r="A89" s="2"/>
      <c r="B89"/>
      <c r="C89"/>
      <c r="D89"/>
      <c r="E89"/>
      <c r="F89"/>
      <c r="G89" s="3"/>
      <c r="H89" s="3"/>
      <c r="I89" s="3"/>
      <c r="J89" s="4"/>
      <c r="K89" s="4"/>
      <c r="L89"/>
    </row>
    <row r="90" spans="1:11">
      <c r="A90" s="2"/>
      <c r="B90"/>
      <c r="C90"/>
      <c r="D90"/>
      <c r="E90"/>
      <c r="F90"/>
      <c r="G90" s="3"/>
      <c r="H90" s="3"/>
      <c r="I90" s="3"/>
      <c r="J90" s="4"/>
      <c r="K90" s="4"/>
      <c r="L90"/>
    </row>
    <row r="91" spans="1:11">
      <c r="A91" s="2"/>
      <c r="B91"/>
      <c r="C91"/>
      <c r="D91"/>
      <c r="E91"/>
      <c r="F91"/>
      <c r="G91" s="3"/>
      <c r="H91" s="3"/>
      <c r="I91" s="3"/>
      <c r="J91" s="4"/>
      <c r="K91" s="4"/>
      <c r="L91"/>
    </row>
    <row r="92" spans="1:11">
      <c r="A92" s="2"/>
      <c r="B92"/>
      <c r="C92"/>
      <c r="D92"/>
      <c r="E92"/>
      <c r="F92"/>
      <c r="G92" s="3"/>
      <c r="H92" s="3"/>
      <c r="I92" s="3"/>
      <c r="J92" s="4"/>
      <c r="K92" s="4"/>
      <c r="L92"/>
    </row>
    <row r="93" spans="1:11">
      <c r="A93" s="2"/>
      <c r="B93"/>
      <c r="C93"/>
      <c r="D93"/>
      <c r="E93"/>
      <c r="F93"/>
      <c r="G93" s="3"/>
      <c r="H93" s="3"/>
      <c r="I93" s="3"/>
      <c r="J93" s="4"/>
      <c r="K93" s="4"/>
      <c r="L93"/>
    </row>
    <row r="94" spans="1:11">
      <c r="A94" s="2"/>
      <c r="B94"/>
      <c r="C94"/>
      <c r="D94"/>
      <c r="E94"/>
      <c r="F94"/>
      <c r="G94" s="3"/>
      <c r="H94" s="3"/>
      <c r="I94" s="3"/>
      <c r="J94" s="4"/>
      <c r="K94" s="4"/>
      <c r="L94"/>
    </row>
    <row r="95" spans="1:11">
      <c r="A95" s="2"/>
      <c r="B95"/>
      <c r="C95"/>
      <c r="D95"/>
      <c r="E95"/>
      <c r="F95"/>
      <c r="G95" s="3"/>
      <c r="H95" s="3"/>
      <c r="I95" s="3"/>
      <c r="J95" s="4"/>
      <c r="K95" s="4"/>
      <c r="L95"/>
    </row>
    <row r="96" spans="1:11">
      <c r="A96" s="2"/>
      <c r="B96"/>
      <c r="C96"/>
      <c r="D96"/>
      <c r="E96"/>
      <c r="F96"/>
      <c r="G96" s="3"/>
      <c r="H96" s="3"/>
      <c r="I96" s="3"/>
      <c r="J96" s="4"/>
      <c r="K96" s="4"/>
      <c r="L96"/>
    </row>
    <row r="97" spans="1:11">
      <c r="A97" s="2"/>
      <c r="B97"/>
      <c r="C97"/>
      <c r="D97"/>
      <c r="E97"/>
      <c r="F97"/>
      <c r="G97" s="3"/>
      <c r="H97" s="3"/>
      <c r="I97" s="3"/>
      <c r="J97" s="4"/>
      <c r="K97" s="4"/>
      <c r="L97"/>
    </row>
    <row r="98" spans="1:11">
      <c r="A98" s="2"/>
      <c r="B98"/>
      <c r="C98"/>
      <c r="D98"/>
      <c r="E98"/>
      <c r="F98"/>
      <c r="G98" s="3"/>
      <c r="H98" s="3"/>
      <c r="I98" s="3"/>
      <c r="J98" s="4"/>
      <c r="K98" s="4"/>
      <c r="L98"/>
    </row>
    <row r="99" spans="1:11">
      <c r="A99" s="2"/>
      <c r="B99"/>
      <c r="C99"/>
      <c r="D99"/>
      <c r="E99"/>
      <c r="F99"/>
      <c r="G99" s="3"/>
      <c r="H99" s="3"/>
      <c r="I99" s="3"/>
      <c r="J99" s="4"/>
      <c r="K99" s="4"/>
      <c r="L99"/>
    </row>
    <row r="100" spans="1:11">
      <c r="A100" s="2"/>
      <c r="B100"/>
      <c r="C100"/>
      <c r="D100"/>
      <c r="E100"/>
      <c r="F100"/>
      <c r="G100" s="3"/>
      <c r="H100" s="3"/>
      <c r="I100" s="3"/>
      <c r="J100" s="4"/>
      <c r="K100" s="4"/>
      <c r="L100"/>
    </row>
    <row r="101" spans="1:11">
      <c r="A101" s="2"/>
      <c r="B101"/>
      <c r="C101"/>
      <c r="D101"/>
      <c r="E101"/>
      <c r="F101"/>
      <c r="G101" s="3"/>
      <c r="H101" s="3"/>
      <c r="I101" s="3"/>
      <c r="J101" s="4"/>
      <c r="K101" s="4"/>
      <c r="L101"/>
    </row>
    <row r="102" spans="1:11">
      <c r="A102" s="2"/>
      <c r="B102"/>
      <c r="C102"/>
      <c r="D102"/>
      <c r="E102"/>
      <c r="F102"/>
      <c r="G102" s="3"/>
      <c r="H102" s="3"/>
      <c r="I102" s="3"/>
      <c r="J102" s="4"/>
      <c r="K102" s="4"/>
      <c r="L102"/>
    </row>
    <row r="103" spans="1:11">
      <c r="A103" s="2"/>
      <c r="B103"/>
      <c r="C103"/>
      <c r="D103"/>
      <c r="E103"/>
      <c r="F103"/>
      <c r="G103" s="3"/>
      <c r="H103" s="3"/>
      <c r="I103" s="3"/>
      <c r="J103" s="4"/>
      <c r="K103" s="4"/>
      <c r="L103"/>
    </row>
    <row r="104" spans="1:11">
      <c r="A104" s="2"/>
      <c r="B104"/>
      <c r="C104"/>
      <c r="D104"/>
      <c r="E104"/>
      <c r="F104"/>
      <c r="G104" s="3"/>
      <c r="H104" s="3"/>
      <c r="I104" s="3"/>
      <c r="J104" s="4"/>
      <c r="K104" s="4"/>
      <c r="L104"/>
    </row>
    <row r="105" spans="1:11">
      <c r="A105" s="2"/>
      <c r="B105"/>
      <c r="C105"/>
      <c r="D105"/>
      <c r="E105"/>
      <c r="F105"/>
      <c r="G105" s="3"/>
      <c r="H105" s="3"/>
      <c r="I105" s="3"/>
      <c r="J105" s="4"/>
      <c r="K105" s="4"/>
      <c r="L105"/>
    </row>
    <row r="106" spans="1:11">
      <c r="A106" s="2"/>
      <c r="B106"/>
      <c r="C106"/>
      <c r="D106"/>
      <c r="E106"/>
      <c r="F106"/>
      <c r="G106" s="3"/>
      <c r="H106" s="3"/>
      <c r="I106" s="3"/>
      <c r="J106" s="4"/>
      <c r="K106" s="4"/>
      <c r="L106"/>
    </row>
    <row r="107" spans="1:11">
      <c r="A107" s="2"/>
      <c r="B107"/>
      <c r="C107"/>
      <c r="D107"/>
      <c r="E107"/>
      <c r="F107"/>
      <c r="G107" s="3"/>
      <c r="H107" s="3"/>
      <c r="I107" s="3"/>
      <c r="J107" s="4"/>
      <c r="K107" s="4"/>
      <c r="L107"/>
    </row>
    <row r="108" spans="1:11">
      <c r="A108" s="2"/>
      <c r="B108"/>
      <c r="C108"/>
      <c r="D108"/>
      <c r="E108"/>
      <c r="F108"/>
      <c r="G108" s="3"/>
      <c r="H108" s="3"/>
      <c r="I108" s="3"/>
      <c r="J108" s="4"/>
      <c r="K108" s="4"/>
      <c r="L108"/>
    </row>
    <row r="109" spans="1:11">
      <c r="A109" s="2"/>
      <c r="B109"/>
      <c r="C109"/>
      <c r="D109"/>
      <c r="E109"/>
      <c r="F109"/>
      <c r="G109" s="3"/>
      <c r="H109" s="3"/>
      <c r="I109" s="3"/>
      <c r="J109" s="4"/>
      <c r="K109" s="4"/>
      <c r="L109"/>
    </row>
    <row r="110" spans="1:11">
      <c r="A110" s="2"/>
      <c r="B110"/>
      <c r="C110"/>
      <c r="D110"/>
      <c r="E110"/>
      <c r="F110"/>
      <c r="G110" s="3"/>
      <c r="H110" s="3"/>
      <c r="I110" s="3"/>
      <c r="J110" s="4"/>
      <c r="K110" s="4"/>
      <c r="L110"/>
    </row>
    <row r="111" spans="1:11">
      <c r="A111" s="2"/>
      <c r="B111"/>
      <c r="C111"/>
      <c r="D111"/>
      <c r="E111"/>
      <c r="F111"/>
      <c r="G111" s="3"/>
      <c r="H111" s="3"/>
      <c r="I111" s="3"/>
      <c r="J111" s="4"/>
      <c r="K111" s="4"/>
      <c r="L111"/>
    </row>
    <row r="112" spans="1:11">
      <c r="A112" s="2"/>
      <c r="B112"/>
      <c r="C112"/>
      <c r="D112"/>
      <c r="E112"/>
      <c r="F112"/>
      <c r="G112" s="3"/>
      <c r="H112" s="3"/>
      <c r="I112" s="3"/>
      <c r="J112" s="4"/>
      <c r="K112" s="4"/>
      <c r="L112"/>
    </row>
    <row r="113" spans="1:11">
      <c r="A113" s="2"/>
      <c r="B113"/>
      <c r="C113"/>
      <c r="D113"/>
      <c r="E113"/>
      <c r="F113"/>
      <c r="G113" s="3"/>
      <c r="H113" s="3"/>
      <c r="I113" s="3"/>
      <c r="J113" s="4"/>
      <c r="K113" s="4"/>
      <c r="L113"/>
    </row>
    <row r="114" spans="1:11">
      <c r="A114" s="2"/>
      <c r="B114"/>
      <c r="C114"/>
      <c r="D114"/>
      <c r="E114"/>
      <c r="F114"/>
      <c r="G114" s="3"/>
      <c r="H114" s="3"/>
      <c r="I114" s="3"/>
      <c r="J114" s="4"/>
      <c r="K114" s="4"/>
      <c r="L114"/>
    </row>
    <row r="115" spans="1:11">
      <c r="A115" s="2"/>
      <c r="B115"/>
      <c r="C115"/>
      <c r="D115"/>
      <c r="E115"/>
      <c r="F115"/>
      <c r="G115" s="3"/>
      <c r="H115" s="3"/>
      <c r="I115" s="3"/>
      <c r="J115" s="4"/>
      <c r="K115" s="4"/>
      <c r="L115"/>
    </row>
    <row r="116" spans="1:11">
      <c r="A116" s="2"/>
      <c r="B116"/>
      <c r="C116"/>
      <c r="D116"/>
      <c r="E116"/>
      <c r="F116"/>
      <c r="G116" s="3"/>
      <c r="H116" s="3"/>
      <c r="I116" s="3"/>
      <c r="J116" s="4"/>
      <c r="K116" s="4"/>
      <c r="L116"/>
    </row>
    <row r="117" spans="1:11">
      <c r="A117" s="2"/>
      <c r="B117"/>
      <c r="C117"/>
      <c r="D117"/>
      <c r="E117"/>
      <c r="F117"/>
      <c r="G117" s="3"/>
      <c r="H117" s="3"/>
      <c r="I117" s="3"/>
      <c r="J117" s="4"/>
      <c r="K117" s="4"/>
      <c r="L117"/>
    </row>
    <row r="118" spans="1:11">
      <c r="A118" s="2"/>
      <c r="B118"/>
      <c r="C118"/>
      <c r="D118"/>
      <c r="E118"/>
      <c r="F118"/>
      <c r="G118" s="3"/>
      <c r="H118" s="3"/>
      <c r="I118" s="3"/>
      <c r="J118" s="4"/>
      <c r="K118" s="4"/>
      <c r="L118"/>
    </row>
    <row r="119" spans="1:11">
      <c r="A119" s="2"/>
      <c r="B119"/>
      <c r="C119"/>
      <c r="D119"/>
      <c r="E119"/>
      <c r="F119"/>
      <c r="G119" s="3"/>
      <c r="H119" s="3"/>
      <c r="I119" s="3"/>
      <c r="J119" s="4"/>
      <c r="K119" s="4"/>
      <c r="L119"/>
    </row>
    <row r="120" spans="1:11">
      <c r="A120" s="2"/>
      <c r="B120"/>
      <c r="C120"/>
      <c r="D120"/>
      <c r="E120"/>
      <c r="F120"/>
      <c r="G120" s="3"/>
      <c r="H120" s="3"/>
      <c r="I120" s="3"/>
      <c r="J120" s="4"/>
      <c r="K120" s="4"/>
      <c r="L120"/>
    </row>
    <row r="121" spans="1:11">
      <c r="A121" s="2"/>
      <c r="B121"/>
      <c r="C121"/>
      <c r="D121"/>
      <c r="E121"/>
      <c r="F121"/>
      <c r="G121" s="3"/>
      <c r="H121" s="3"/>
      <c r="I121" s="3"/>
      <c r="J121" s="4"/>
      <c r="K121" s="4"/>
      <c r="L121"/>
    </row>
    <row r="122" spans="1:11">
      <c r="A122" s="2"/>
      <c r="B122"/>
      <c r="C122"/>
      <c r="D122"/>
      <c r="E122"/>
      <c r="F122"/>
      <c r="G122" s="3"/>
      <c r="H122" s="3"/>
      <c r="I122" s="3"/>
      <c r="J122" s="4"/>
      <c r="K122" s="4"/>
      <c r="L122"/>
    </row>
    <row r="123" spans="1:11">
      <c r="A123" s="2"/>
      <c r="B123"/>
      <c r="C123"/>
      <c r="D123"/>
      <c r="E123"/>
      <c r="F123"/>
      <c r="G123" s="3"/>
      <c r="H123" s="3"/>
      <c r="I123" s="3"/>
      <c r="J123" s="4"/>
      <c r="K123" s="4"/>
      <c r="L123"/>
    </row>
    <row r="124" spans="1:11">
      <c r="A124" s="2"/>
      <c r="B124"/>
      <c r="C124"/>
      <c r="D124"/>
      <c r="E124"/>
      <c r="F124"/>
      <c r="G124" s="3"/>
      <c r="H124" s="3"/>
      <c r="I124" s="3"/>
      <c r="J124" s="4"/>
      <c r="K124" s="4"/>
      <c r="L124"/>
    </row>
    <row r="125" spans="1:11">
      <c r="A125" s="2"/>
      <c r="B125"/>
      <c r="C125"/>
      <c r="D125"/>
      <c r="E125"/>
      <c r="F125"/>
      <c r="G125" s="3"/>
      <c r="H125" s="3"/>
      <c r="I125" s="3"/>
      <c r="J125" s="4"/>
      <c r="K125" s="4"/>
      <c r="L125"/>
    </row>
    <row r="126" spans="1:11">
      <c r="A126" s="2"/>
      <c r="B126"/>
      <c r="C126"/>
      <c r="D126"/>
      <c r="E126"/>
      <c r="F126"/>
      <c r="G126" s="3"/>
      <c r="H126" s="3"/>
      <c r="I126" s="3"/>
      <c r="J126" s="4"/>
      <c r="K126" s="4"/>
      <c r="L126"/>
    </row>
    <row r="127" spans="1:11">
      <c r="A127" s="2"/>
      <c r="B127"/>
      <c r="C127"/>
      <c r="D127"/>
      <c r="E127"/>
      <c r="F127"/>
      <c r="G127" s="3"/>
      <c r="H127" s="3"/>
      <c r="I127" s="3"/>
      <c r="J127" s="4"/>
      <c r="K127" s="4"/>
      <c r="L127"/>
    </row>
    <row r="128" spans="1:11">
      <c r="A128" s="2"/>
      <c r="B128"/>
      <c r="C128"/>
      <c r="D128"/>
      <c r="E128"/>
      <c r="F128"/>
      <c r="G128" s="3"/>
      <c r="H128" s="3"/>
      <c r="I128" s="3"/>
      <c r="J128" s="4"/>
      <c r="K128" s="4"/>
      <c r="L128"/>
    </row>
    <row r="129" spans="1:11">
      <c r="A129" s="2"/>
      <c r="B129"/>
      <c r="C129"/>
      <c r="D129"/>
      <c r="E129"/>
      <c r="F129"/>
      <c r="G129" s="3"/>
      <c r="H129" s="3"/>
      <c r="I129" s="3"/>
      <c r="J129" s="4"/>
      <c r="K129" s="4"/>
      <c r="L129"/>
    </row>
    <row r="130" spans="1:11">
      <c r="A130" s="2"/>
      <c r="B130"/>
      <c r="C130"/>
      <c r="D130"/>
      <c r="E130"/>
      <c r="F130"/>
      <c r="G130" s="3"/>
      <c r="H130" s="3"/>
      <c r="I130" s="3"/>
      <c r="J130" s="4"/>
      <c r="K130" s="4"/>
      <c r="L130"/>
    </row>
    <row r="131" spans="1:11">
      <c r="A131" s="2"/>
      <c r="B131"/>
      <c r="C131"/>
      <c r="D131"/>
      <c r="E131"/>
      <c r="F131"/>
      <c r="G131" s="3"/>
      <c r="H131" s="3"/>
      <c r="I131" s="3"/>
      <c r="J131" s="4"/>
      <c r="K131" s="4"/>
      <c r="L131"/>
    </row>
    <row r="132" spans="1:11">
      <c r="A132" s="2"/>
      <c r="B132"/>
      <c r="C132"/>
      <c r="D132"/>
      <c r="E132"/>
      <c r="F132"/>
      <c r="G132" s="3"/>
      <c r="H132" s="3"/>
      <c r="I132" s="3"/>
      <c r="J132" s="4"/>
      <c r="K132" s="4"/>
      <c r="L132"/>
    </row>
    <row r="133" spans="1:11">
      <c r="A133" s="2"/>
      <c r="B133"/>
      <c r="C133"/>
      <c r="D133"/>
      <c r="E133"/>
      <c r="F133"/>
      <c r="G133" s="3"/>
      <c r="H133" s="3"/>
      <c r="I133" s="3"/>
      <c r="J133" s="4"/>
      <c r="K133" s="4"/>
      <c r="L133"/>
    </row>
    <row r="134" spans="1:11">
      <c r="A134" s="2"/>
      <c r="B134"/>
      <c r="C134"/>
      <c r="D134"/>
      <c r="E134"/>
      <c r="F134"/>
      <c r="G134" s="3"/>
      <c r="H134" s="3"/>
      <c r="I134" s="3"/>
      <c r="J134" s="4"/>
      <c r="K134" s="4"/>
      <c r="L134"/>
    </row>
    <row r="135" spans="1:11">
      <c r="A135" s="2"/>
      <c r="B135"/>
      <c r="C135"/>
      <c r="D135"/>
      <c r="E135"/>
      <c r="F135"/>
      <c r="G135" s="3"/>
      <c r="H135" s="3"/>
      <c r="I135" s="3"/>
      <c r="J135" s="4"/>
      <c r="K135" s="4"/>
      <c r="L135"/>
    </row>
    <row r="136" spans="1:11">
      <c r="A136" s="2"/>
      <c r="B136"/>
      <c r="C136"/>
      <c r="D136"/>
      <c r="E136"/>
      <c r="F136"/>
      <c r="G136" s="3"/>
      <c r="H136" s="3"/>
      <c r="I136" s="3"/>
      <c r="J136" s="4"/>
      <c r="K136" s="4"/>
      <c r="L136"/>
    </row>
    <row r="137" spans="1:11">
      <c r="A137" s="2"/>
      <c r="B137"/>
      <c r="C137"/>
      <c r="D137"/>
      <c r="E137"/>
      <c r="F137"/>
      <c r="G137" s="3"/>
      <c r="H137" s="3"/>
      <c r="I137" s="3"/>
      <c r="J137" s="4"/>
      <c r="K137" s="4"/>
      <c r="L137"/>
    </row>
    <row r="138" spans="1:11">
      <c r="A138" s="2"/>
      <c r="B138"/>
      <c r="C138"/>
      <c r="D138"/>
      <c r="E138"/>
      <c r="F138"/>
      <c r="G138" s="3"/>
      <c r="H138" s="3"/>
      <c r="I138" s="3"/>
      <c r="J138" s="4"/>
      <c r="K138" s="4"/>
      <c r="L138"/>
    </row>
    <row r="139" spans="1:11">
      <c r="A139" s="2"/>
      <c r="B139"/>
      <c r="C139"/>
      <c r="D139"/>
      <c r="E139"/>
      <c r="F139"/>
      <c r="G139" s="3"/>
      <c r="H139" s="3"/>
      <c r="I139" s="3"/>
      <c r="J139" s="4"/>
      <c r="K139" s="4"/>
      <c r="L139"/>
    </row>
    <row r="140" spans="1:11">
      <c r="A140" s="2"/>
      <c r="B140"/>
      <c r="C140"/>
      <c r="D140"/>
      <c r="E140"/>
      <c r="F140"/>
      <c r="G140" s="3"/>
      <c r="H140" s="3"/>
      <c r="I140" s="3"/>
      <c r="J140" s="4"/>
      <c r="K140" s="4"/>
      <c r="L140"/>
    </row>
    <row r="141" spans="1:11">
      <c r="A141" s="2"/>
      <c r="B141"/>
      <c r="C141"/>
      <c r="D141"/>
      <c r="E141"/>
      <c r="F141"/>
      <c r="G141" s="3"/>
      <c r="H141" s="3"/>
      <c r="I141" s="3"/>
      <c r="J141" s="4"/>
      <c r="K141" s="4"/>
      <c r="L141"/>
    </row>
    <row r="142" spans="1:11">
      <c r="A142" s="2"/>
      <c r="B142"/>
      <c r="C142"/>
      <c r="D142"/>
      <c r="E142"/>
      <c r="F142"/>
      <c r="G142" s="3"/>
      <c r="H142" s="3"/>
      <c r="I142" s="3"/>
      <c r="J142" s="4"/>
      <c r="K142" s="4"/>
      <c r="L142"/>
    </row>
    <row r="143" spans="1:11">
      <c r="A143" s="2"/>
      <c r="B143"/>
      <c r="C143"/>
      <c r="D143"/>
      <c r="E143"/>
      <c r="F143"/>
      <c r="G143" s="3"/>
      <c r="H143" s="3"/>
      <c r="I143" s="3"/>
      <c r="J143" s="4"/>
      <c r="K143" s="4"/>
      <c r="L143"/>
    </row>
    <row r="144" spans="1:11">
      <c r="A144" s="2"/>
      <c r="B144"/>
      <c r="C144"/>
      <c r="D144"/>
      <c r="E144"/>
      <c r="F144"/>
      <c r="G144" s="3"/>
      <c r="H144" s="3"/>
      <c r="I144" s="3"/>
      <c r="J144" s="4"/>
      <c r="K144" s="4"/>
      <c r="L144"/>
    </row>
    <row r="145" spans="1:11">
      <c r="A145" s="2"/>
      <c r="B145"/>
      <c r="C145"/>
      <c r="D145"/>
      <c r="E145"/>
      <c r="F145"/>
      <c r="G145" s="3"/>
      <c r="H145" s="3"/>
      <c r="I145" s="3"/>
      <c r="J145" s="4"/>
      <c r="K145" s="4"/>
      <c r="L145"/>
    </row>
    <row r="146" spans="1:11">
      <c r="A146" s="2"/>
      <c r="B146"/>
      <c r="C146"/>
      <c r="D146"/>
      <c r="E146"/>
      <c r="F146"/>
      <c r="G146" s="3"/>
      <c r="H146" s="3"/>
      <c r="I146" s="3"/>
      <c r="J146" s="4"/>
      <c r="K146" s="4"/>
      <c r="L146"/>
    </row>
    <row r="147" spans="1:11">
      <c r="A147" s="2"/>
      <c r="B147"/>
      <c r="C147"/>
      <c r="D147"/>
      <c r="E147"/>
      <c r="F147"/>
      <c r="G147" s="3"/>
      <c r="H147" s="3"/>
      <c r="I147" s="3"/>
      <c r="J147" s="4"/>
      <c r="K147" s="4"/>
      <c r="L147"/>
    </row>
    <row r="148" spans="1:11">
      <c r="A148" s="2"/>
      <c r="B148"/>
      <c r="C148"/>
      <c r="D148"/>
      <c r="E148"/>
      <c r="F148"/>
      <c r="G148" s="3"/>
      <c r="H148" s="3"/>
      <c r="I148" s="3"/>
      <c r="J148" s="4"/>
      <c r="K148" s="4"/>
      <c r="L148"/>
    </row>
    <row r="149" spans="1:11">
      <c r="A149" s="2"/>
      <c r="B149"/>
      <c r="C149"/>
      <c r="D149"/>
      <c r="E149"/>
      <c r="F149"/>
      <c r="G149" s="3"/>
      <c r="H149" s="3"/>
      <c r="I149" s="3"/>
      <c r="J149" s="4"/>
      <c r="K149" s="4"/>
      <c r="L149"/>
    </row>
    <row r="150" spans="1:11">
      <c r="A150" s="2"/>
      <c r="B150"/>
      <c r="C150"/>
      <c r="D150"/>
      <c r="E150"/>
      <c r="F150"/>
      <c r="G150" s="3"/>
      <c r="H150" s="3"/>
      <c r="I150" s="3"/>
      <c r="J150" s="4"/>
      <c r="K150" s="4"/>
      <c r="L150"/>
    </row>
    <row r="151" spans="1:11">
      <c r="A151" s="2"/>
      <c r="B151"/>
      <c r="C151"/>
      <c r="D151"/>
      <c r="E151"/>
      <c r="F151"/>
      <c r="G151" s="3"/>
      <c r="H151" s="3"/>
      <c r="I151" s="3"/>
      <c r="J151" s="4"/>
      <c r="K151" s="4"/>
      <c r="L151"/>
    </row>
    <row r="152" spans="1:11">
      <c r="A152" s="2"/>
      <c r="B152"/>
      <c r="C152"/>
      <c r="D152"/>
      <c r="E152"/>
      <c r="F152"/>
      <c r="G152" s="3"/>
      <c r="H152" s="3"/>
      <c r="I152" s="3"/>
      <c r="J152" s="4"/>
      <c r="K152" s="4"/>
      <c r="L152"/>
    </row>
    <row r="153" spans="1:11">
      <c r="A153" s="2"/>
      <c r="B153"/>
      <c r="C153"/>
      <c r="D153"/>
      <c r="E153"/>
      <c r="F153"/>
      <c r="G153" s="3"/>
      <c r="H153" s="3"/>
      <c r="I153" s="3"/>
      <c r="J153" s="4"/>
      <c r="K153" s="4"/>
      <c r="L153"/>
    </row>
    <row r="154" spans="1:11">
      <c r="A154" s="2"/>
      <c r="B154"/>
      <c r="C154"/>
      <c r="D154"/>
      <c r="E154"/>
      <c r="F154"/>
      <c r="G154" s="3"/>
      <c r="H154" s="3"/>
      <c r="I154" s="3"/>
      <c r="J154" s="4"/>
      <c r="K154" s="4"/>
      <c r="L154"/>
    </row>
    <row r="155" spans="1:11">
      <c r="A155" s="2"/>
      <c r="B155"/>
      <c r="C155"/>
      <c r="D155"/>
      <c r="E155"/>
      <c r="F155"/>
      <c r="G155" s="3"/>
      <c r="H155" s="3"/>
      <c r="I155" s="3"/>
      <c r="J155" s="4"/>
      <c r="K155" s="4"/>
      <c r="L155"/>
    </row>
    <row r="156" spans="1:11">
      <c r="A156" s="2"/>
      <c r="B156"/>
      <c r="C156"/>
      <c r="D156"/>
      <c r="E156"/>
      <c r="F156"/>
      <c r="G156" s="3"/>
      <c r="H156" s="3"/>
      <c r="I156" s="3"/>
      <c r="J156" s="4"/>
      <c r="K156" s="4"/>
      <c r="L156"/>
    </row>
    <row r="157" spans="1:11">
      <c r="A157" s="2"/>
      <c r="B157"/>
      <c r="C157"/>
      <c r="D157"/>
      <c r="E157"/>
      <c r="F157"/>
      <c r="G157" s="3"/>
      <c r="H157" s="3"/>
      <c r="I157" s="3"/>
      <c r="J157" s="4"/>
      <c r="K157" s="4"/>
      <c r="L157"/>
    </row>
    <row r="158" spans="1:11">
      <c r="A158" s="2"/>
      <c r="B158"/>
      <c r="C158"/>
      <c r="D158"/>
      <c r="E158"/>
      <c r="F158"/>
      <c r="G158" s="3"/>
      <c r="H158" s="3"/>
      <c r="I158" s="3"/>
      <c r="J158" s="4"/>
      <c r="K158" s="4"/>
      <c r="L158"/>
    </row>
    <row r="159" spans="1:11">
      <c r="A159" s="2"/>
      <c r="B159"/>
      <c r="C159"/>
      <c r="D159"/>
      <c r="E159"/>
      <c r="F159"/>
      <c r="G159" s="3"/>
      <c r="H159" s="3"/>
      <c r="I159" s="3"/>
      <c r="J159" s="4"/>
      <c r="K159" s="4"/>
      <c r="L159"/>
    </row>
    <row r="160" spans="1:11">
      <c r="A160" s="2"/>
      <c r="B160"/>
      <c r="C160"/>
      <c r="D160"/>
      <c r="E160"/>
      <c r="F160"/>
      <c r="G160" s="3"/>
      <c r="H160" s="3"/>
      <c r="I160" s="3"/>
      <c r="J160" s="4"/>
      <c r="K160" s="4"/>
      <c r="L160"/>
    </row>
    <row r="161" spans="1:11">
      <c r="A161" s="2"/>
      <c r="B161"/>
      <c r="C161"/>
      <c r="D161"/>
      <c r="E161"/>
      <c r="F161"/>
      <c r="G161" s="3"/>
      <c r="H161" s="3"/>
      <c r="I161" s="3"/>
      <c r="J161" s="4"/>
      <c r="K161" s="4"/>
      <c r="L161"/>
    </row>
    <row r="162" spans="1:11">
      <c r="A162" s="2"/>
      <c r="B162"/>
      <c r="C162"/>
      <c r="D162"/>
      <c r="E162"/>
      <c r="F162"/>
      <c r="G162" s="3"/>
      <c r="H162" s="3"/>
      <c r="I162" s="3"/>
      <c r="J162" s="4"/>
      <c r="K162" s="4"/>
      <c r="L162"/>
    </row>
    <row r="163" spans="1:11">
      <c r="A163" s="2"/>
      <c r="B163"/>
      <c r="C163"/>
      <c r="D163"/>
      <c r="E163"/>
      <c r="F163"/>
      <c r="G163" s="3"/>
      <c r="H163" s="3"/>
      <c r="I163" s="3"/>
      <c r="J163" s="4"/>
      <c r="K163" s="4"/>
      <c r="L163"/>
    </row>
    <row r="164" spans="1:11">
      <c r="A164" s="2"/>
      <c r="B164"/>
      <c r="C164"/>
      <c r="D164"/>
      <c r="E164"/>
      <c r="F164"/>
      <c r="G164" s="3"/>
      <c r="H164" s="3"/>
      <c r="I164" s="3"/>
      <c r="J164" s="4"/>
      <c r="K164" s="4"/>
      <c r="L164"/>
    </row>
    <row r="165" spans="1:11">
      <c r="A165" s="2"/>
      <c r="B165"/>
      <c r="C165"/>
      <c r="D165"/>
      <c r="E165"/>
      <c r="F165"/>
      <c r="G165" s="3"/>
      <c r="H165" s="3"/>
      <c r="I165" s="3"/>
      <c r="J165" s="4"/>
      <c r="K165" s="4"/>
      <c r="L165"/>
    </row>
    <row r="166" spans="1:11">
      <c r="A166" s="2"/>
      <c r="B166"/>
      <c r="C166"/>
      <c r="D166"/>
      <c r="E166"/>
      <c r="F166"/>
      <c r="G166" s="3"/>
      <c r="H166" s="3"/>
      <c r="I166" s="3"/>
      <c r="J166" s="4"/>
      <c r="K166" s="4"/>
      <c r="L166"/>
    </row>
    <row r="167" spans="1:11">
      <c r="A167" s="2"/>
      <c r="B167"/>
      <c r="C167"/>
      <c r="D167"/>
      <c r="E167"/>
      <c r="F167"/>
      <c r="G167" s="3"/>
      <c r="H167" s="3"/>
      <c r="I167" s="3"/>
      <c r="J167" s="4"/>
      <c r="K167" s="4"/>
      <c r="L167"/>
    </row>
    <row r="168" spans="1:11">
      <c r="A168" s="2"/>
      <c r="B168"/>
      <c r="C168"/>
      <c r="D168"/>
      <c r="E168"/>
      <c r="F168"/>
      <c r="G168" s="3"/>
      <c r="H168" s="3"/>
      <c r="I168" s="3"/>
      <c r="J168" s="4"/>
      <c r="K168" s="4"/>
      <c r="L168"/>
    </row>
    <row r="169" spans="1:11">
      <c r="A169" s="2"/>
      <c r="B169"/>
      <c r="C169"/>
      <c r="D169"/>
      <c r="E169"/>
      <c r="F169"/>
      <c r="G169" s="3"/>
      <c r="H169" s="3"/>
      <c r="I169" s="3"/>
      <c r="J169" s="4"/>
      <c r="K169" s="4"/>
      <c r="L169"/>
    </row>
    <row r="170" spans="1:11">
      <c r="A170" s="2"/>
      <c r="B170"/>
      <c r="C170"/>
      <c r="D170"/>
      <c r="E170"/>
      <c r="F170"/>
      <c r="G170" s="3"/>
      <c r="H170" s="3"/>
      <c r="I170" s="3"/>
      <c r="J170" s="4"/>
      <c r="K170" s="4"/>
      <c r="L170"/>
    </row>
    <row r="171" spans="1:11">
      <c r="A171" s="2"/>
      <c r="B171"/>
      <c r="C171"/>
      <c r="D171"/>
      <c r="E171"/>
      <c r="F171"/>
      <c r="G171" s="3"/>
      <c r="H171" s="3"/>
      <c r="I171" s="3"/>
      <c r="J171" s="4"/>
      <c r="K171" s="4"/>
      <c r="L171"/>
    </row>
    <row r="172" spans="1:11">
      <c r="A172" s="2"/>
      <c r="B172"/>
      <c r="C172"/>
      <c r="D172"/>
      <c r="E172"/>
      <c r="F172"/>
      <c r="G172" s="3"/>
      <c r="H172" s="3"/>
      <c r="I172" s="3"/>
      <c r="J172" s="4"/>
      <c r="K172" s="4"/>
      <c r="L172"/>
    </row>
    <row r="173" spans="1:11">
      <c r="A173" s="2"/>
      <c r="B173"/>
      <c r="C173"/>
      <c r="D173"/>
      <c r="E173"/>
      <c r="F173"/>
      <c r="G173" s="3"/>
      <c r="H173" s="3"/>
      <c r="I173" s="3"/>
      <c r="J173" s="4"/>
      <c r="K173" s="4"/>
      <c r="L173"/>
    </row>
    <row r="174" spans="1:11">
      <c r="A174" s="2"/>
      <c r="B174"/>
      <c r="C174"/>
      <c r="D174"/>
      <c r="E174"/>
      <c r="F174"/>
      <c r="G174" s="3"/>
      <c r="H174" s="3"/>
      <c r="I174" s="3"/>
      <c r="J174" s="4"/>
      <c r="K174" s="4"/>
      <c r="L174"/>
    </row>
    <row r="175" spans="1:11">
      <c r="A175" s="2"/>
      <c r="B175"/>
      <c r="C175"/>
      <c r="D175"/>
      <c r="E175"/>
      <c r="F175"/>
      <c r="G175" s="3"/>
      <c r="H175" s="3"/>
      <c r="I175" s="3"/>
      <c r="J175" s="4"/>
      <c r="K175" s="4"/>
      <c r="L175"/>
    </row>
    <row r="176" spans="1:11">
      <c r="A176" s="2"/>
      <c r="B176"/>
      <c r="C176"/>
      <c r="D176"/>
      <c r="E176"/>
      <c r="F176"/>
      <c r="G176" s="3"/>
      <c r="H176" s="3"/>
      <c r="I176" s="3"/>
      <c r="J176" s="4"/>
      <c r="K176" s="4"/>
      <c r="L176"/>
    </row>
    <row r="177" spans="1:11">
      <c r="A177" s="2"/>
      <c r="B177"/>
      <c r="C177"/>
      <c r="D177"/>
      <c r="E177"/>
      <c r="F177"/>
      <c r="G177" s="3"/>
      <c r="H177" s="3"/>
      <c r="I177" s="3"/>
      <c r="J177" s="4"/>
      <c r="K177" s="4"/>
      <c r="L177"/>
    </row>
    <row r="178" spans="1:11">
      <c r="A178" s="2"/>
      <c r="B178"/>
      <c r="C178"/>
      <c r="D178"/>
      <c r="E178"/>
      <c r="F178"/>
      <c r="G178" s="3"/>
      <c r="H178" s="3"/>
      <c r="I178" s="3"/>
      <c r="J178" s="4"/>
      <c r="K178" s="4"/>
      <c r="L178"/>
    </row>
    <row r="179" spans="1:11">
      <c r="A179" s="2"/>
      <c r="B179"/>
      <c r="C179"/>
      <c r="D179"/>
      <c r="E179"/>
      <c r="F179"/>
      <c r="G179" s="3"/>
      <c r="H179" s="3"/>
      <c r="I179" s="3"/>
      <c r="J179" s="4"/>
      <c r="K179" s="4"/>
      <c r="L179"/>
    </row>
    <row r="180" spans="1:11">
      <c r="A180" s="2"/>
      <c r="B180"/>
      <c r="C180"/>
      <c r="D180"/>
      <c r="E180"/>
      <c r="F180"/>
      <c r="G180" s="3"/>
      <c r="H180" s="3"/>
      <c r="I180" s="3"/>
      <c r="J180" s="4"/>
      <c r="K180" s="4"/>
      <c r="L180"/>
    </row>
    <row r="181" spans="1:11">
      <c r="A181" s="2"/>
      <c r="B181"/>
      <c r="C181"/>
      <c r="D181"/>
      <c r="E181"/>
      <c r="F181"/>
      <c r="G181" s="3"/>
      <c r="H181" s="3"/>
      <c r="I181" s="3"/>
      <c r="J181" s="4"/>
      <c r="K181" s="4"/>
      <c r="L181"/>
    </row>
    <row r="182" spans="1:11">
      <c r="A182" s="2"/>
      <c r="B182"/>
      <c r="C182"/>
      <c r="D182"/>
      <c r="E182"/>
      <c r="F182"/>
      <c r="G182" s="3"/>
      <c r="H182" s="3"/>
      <c r="I182" s="3"/>
      <c r="J182" s="4"/>
      <c r="K182" s="4"/>
      <c r="L182"/>
    </row>
    <row r="183" spans="1:11">
      <c r="A183" s="2"/>
      <c r="B183"/>
      <c r="C183"/>
      <c r="D183"/>
      <c r="E183"/>
      <c r="F183"/>
      <c r="G183" s="3"/>
      <c r="H183" s="3"/>
      <c r="I183" s="3"/>
      <c r="J183" s="4"/>
      <c r="K183" s="4"/>
      <c r="L183"/>
    </row>
    <row r="184" spans="1:11">
      <c r="A184" s="2"/>
      <c r="B184"/>
      <c r="C184"/>
      <c r="D184"/>
      <c r="E184"/>
      <c r="F184"/>
      <c r="G184" s="3"/>
      <c r="H184" s="3"/>
      <c r="I184" s="3"/>
      <c r="J184" s="4"/>
      <c r="K184" s="4"/>
      <c r="L184"/>
    </row>
    <row r="185" spans="1:11">
      <c r="A185" s="2"/>
      <c r="B185"/>
      <c r="C185"/>
      <c r="D185"/>
      <c r="E185"/>
      <c r="F185"/>
      <c r="G185" s="3"/>
      <c r="H185" s="3"/>
      <c r="I185" s="3"/>
      <c r="J185" s="4"/>
      <c r="K185" s="4"/>
      <c r="L185"/>
    </row>
    <row r="186" spans="1:11">
      <c r="A186" s="2"/>
      <c r="B186"/>
      <c r="C186"/>
      <c r="D186"/>
      <c r="E186"/>
      <c r="F186"/>
      <c r="G186" s="3"/>
      <c r="H186" s="3"/>
      <c r="I186" s="3"/>
      <c r="J186" s="4"/>
      <c r="K186" s="4"/>
      <c r="L186"/>
    </row>
    <row r="187" spans="1:11">
      <c r="A187" s="2"/>
      <c r="B187"/>
      <c r="C187"/>
      <c r="D187"/>
      <c r="E187"/>
      <c r="F187"/>
      <c r="G187" s="3"/>
      <c r="H187" s="3"/>
      <c r="I187" s="3"/>
      <c r="J187" s="4"/>
      <c r="K187" s="4"/>
      <c r="L187"/>
    </row>
    <row r="188" spans="1:11">
      <c r="A188" s="2"/>
      <c r="B188"/>
      <c r="C188"/>
      <c r="D188"/>
      <c r="E188"/>
      <c r="F188"/>
      <c r="G188" s="3"/>
      <c r="H188" s="3"/>
      <c r="I188" s="3"/>
      <c r="J188" s="4"/>
      <c r="K188" s="4"/>
      <c r="L188"/>
    </row>
    <row r="189" spans="1:11">
      <c r="A189" s="2"/>
      <c r="B189"/>
      <c r="C189"/>
      <c r="D189"/>
      <c r="E189"/>
      <c r="F189"/>
      <c r="G189" s="3"/>
      <c r="H189" s="3"/>
      <c r="I189" s="3"/>
      <c r="J189" s="4"/>
      <c r="K189" s="4"/>
      <c r="L189"/>
    </row>
    <row r="190" spans="1:11">
      <c r="A190" s="2"/>
      <c r="B190"/>
      <c r="C190"/>
      <c r="D190"/>
      <c r="E190"/>
      <c r="F190"/>
      <c r="G190" s="3"/>
      <c r="H190" s="3"/>
      <c r="I190" s="3"/>
      <c r="J190" s="4"/>
      <c r="K190" s="4"/>
      <c r="L190"/>
    </row>
    <row r="191" spans="1:11">
      <c r="A191" s="2"/>
      <c r="B191"/>
      <c r="C191"/>
      <c r="D191"/>
      <c r="E191"/>
      <c r="F191"/>
      <c r="G191" s="3"/>
      <c r="H191" s="3"/>
      <c r="I191" s="3"/>
      <c r="J191" s="4"/>
      <c r="K191" s="4"/>
      <c r="L191"/>
    </row>
    <row r="192" spans="1:11">
      <c r="A192" s="2"/>
      <c r="B192"/>
      <c r="C192"/>
      <c r="D192"/>
      <c r="E192"/>
      <c r="F192"/>
      <c r="G192" s="3"/>
      <c r="H192" s="3"/>
      <c r="I192" s="3"/>
      <c r="J192" s="4"/>
      <c r="K192" s="4"/>
      <c r="L192"/>
    </row>
    <row r="193" spans="1:11">
      <c r="A193" s="2"/>
      <c r="B193"/>
      <c r="C193"/>
      <c r="D193"/>
      <c r="E193"/>
      <c r="F193"/>
      <c r="G193" s="3"/>
      <c r="H193" s="3"/>
      <c r="I193" s="3"/>
      <c r="J193" s="4"/>
      <c r="K193" s="4"/>
      <c r="L193"/>
    </row>
    <row r="194" spans="1:11">
      <c r="A194" s="2"/>
      <c r="B194"/>
      <c r="C194"/>
      <c r="D194"/>
      <c r="E194"/>
      <c r="F194"/>
      <c r="G194" s="3"/>
      <c r="H194" s="3"/>
      <c r="I194" s="3"/>
      <c r="J194" s="4"/>
      <c r="K194" s="4"/>
      <c r="L194"/>
    </row>
    <row r="195" spans="1:11">
      <c r="A195" s="2"/>
      <c r="B195"/>
      <c r="C195"/>
      <c r="D195"/>
      <c r="E195"/>
      <c r="F195"/>
      <c r="G195" s="3"/>
      <c r="H195" s="3"/>
      <c r="I195" s="3"/>
      <c r="J195" s="4"/>
      <c r="K195" s="4"/>
      <c r="L195"/>
    </row>
    <row r="196" spans="1:11">
      <c r="A196" s="2"/>
      <c r="B196"/>
      <c r="C196"/>
      <c r="D196"/>
      <c r="E196"/>
      <c r="F196"/>
      <c r="G196" s="3"/>
      <c r="H196" s="3"/>
      <c r="I196" s="3"/>
      <c r="J196" s="4"/>
      <c r="K196" s="4"/>
      <c r="L196"/>
    </row>
    <row r="197" spans="1:11">
      <c r="A197" s="2"/>
      <c r="B197"/>
      <c r="C197"/>
      <c r="D197"/>
      <c r="E197"/>
      <c r="F197"/>
      <c r="G197" s="3"/>
      <c r="H197" s="3"/>
      <c r="I197" s="3"/>
      <c r="J197" s="4"/>
      <c r="K197" s="4"/>
      <c r="L197"/>
    </row>
    <row r="198" spans="1:11">
      <c r="A198" s="2"/>
      <c r="B198"/>
      <c r="C198"/>
      <c r="D198"/>
      <c r="E198"/>
      <c r="F198"/>
      <c r="G198" s="3"/>
      <c r="H198" s="3"/>
      <c r="I198" s="3"/>
      <c r="J198" s="4"/>
      <c r="K198" s="4"/>
      <c r="L198"/>
    </row>
    <row r="199" spans="1:11">
      <c r="A199" s="2"/>
      <c r="B199"/>
      <c r="C199"/>
      <c r="D199"/>
      <c r="E199"/>
      <c r="F199"/>
      <c r="G199" s="3"/>
      <c r="H199" s="3"/>
      <c r="I199" s="3"/>
      <c r="J199" s="4"/>
      <c r="K199" s="4"/>
      <c r="L199"/>
    </row>
    <row r="200" spans="1:11">
      <c r="A200" s="2"/>
      <c r="F200">
        <f>VLOOKUP(TablaPegaso[[#This Row],[Equipo]],Catalogos!$I$4:$J$34,2,FALSE)</f>
      </c>
      <c r="G200" s="3"/>
      <c r="H200" s="3"/>
      <c r="I200" s="3"/>
      <c r="J200" s="4"/>
      <c r="K200" s="4"/>
    </row>
    <row r="201" spans="1:11">
      <c r="A201" s="2"/>
      <c r="F201">
        <f>VLOOKUP(TablaPegaso[[#This Row],[Equipo]],Catalogos!$I$4:$J$34,2,FALSE)</f>
      </c>
      <c r="G201" s="3"/>
      <c r="H201" s="3"/>
      <c r="I201" s="3"/>
      <c r="J201" s="4"/>
      <c r="K201" s="4"/>
    </row>
    <row r="202" spans="1:11">
      <c r="A202" s="2"/>
      <c r="F202">
        <f>VLOOKUP(TablaPegaso[[#This Row],[Equipo]],Catalogos!$I$4:$J$34,2,FALSE)</f>
      </c>
      <c r="G202" s="3"/>
      <c r="H202" s="3"/>
      <c r="I202" s="3"/>
      <c r="J202" s="4"/>
      <c r="K202" s="4"/>
    </row>
    <row r="203" spans="1:11">
      <c r="A203" s="2"/>
      <c r="F203">
        <f>VLOOKUP(TablaPegaso[[#This Row],[Equipo]],Catalogos!$I$4:$J$34,2,FALSE)</f>
      </c>
      <c r="G203" s="3"/>
      <c r="H203" s="3"/>
      <c r="I203" s="3"/>
      <c r="J203" s="4"/>
      <c r="K203" s="4"/>
    </row>
    <row r="204" spans="1:11">
      <c r="A204" s="2"/>
      <c r="F204">
        <f>VLOOKUP(TablaPegaso[[#This Row],[Equipo]],Catalogos!$I$4:$J$34,2,FALSE)</f>
      </c>
      <c r="G204" s="3"/>
      <c r="H204" s="3"/>
      <c r="I204" s="3"/>
      <c r="J204" s="4"/>
      <c r="K204" s="4"/>
    </row>
    <row r="205" spans="1:11">
      <c r="A205" s="2"/>
      <c r="F205">
        <f>VLOOKUP(TablaPegaso[[#This Row],[Equipo]],Catalogos!$I$4:$J$34,2,FALSE)</f>
      </c>
      <c r="G205" s="3"/>
      <c r="H205" s="3"/>
      <c r="I205" s="3"/>
      <c r="J205" s="4"/>
      <c r="K205" s="4"/>
    </row>
    <row r="206" spans="1:11">
      <c r="A206" s="2"/>
      <c r="F206">
        <f>VLOOKUP(TablaPegaso[[#This Row],[Equipo]],Catalogos!$I$4:$J$34,2,FALSE)</f>
      </c>
      <c r="G206" s="3"/>
      <c r="H206" s="3"/>
      <c r="I206" s="3"/>
      <c r="J206" s="4"/>
      <c r="K206" s="4"/>
    </row>
  </sheetData>
  <mergeCells count="1">
    <mergeCell ref="A1:L1"/>
  </mergeCells>
  <dataValidations>
    <dataValidation type="list" allowBlank="true" showInputMessage="undefined" prompt="undefined" promptTitle="undefined" showErrorMessage="undefined" error="undefined" errorTitle="undefined" operator="undefined" sqref="F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2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2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2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2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2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2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2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2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2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2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2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2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2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2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2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2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2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2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2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2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3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3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3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3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3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3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3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3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3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3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3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3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3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3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3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3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3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3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3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3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4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4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4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4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4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4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4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4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4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4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4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4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4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4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4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4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4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4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4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4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5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5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5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5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5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5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5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5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5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5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5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5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5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5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5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5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5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5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5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5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6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6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6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6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6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6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6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6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6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6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6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6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6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6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6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6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6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6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6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6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7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7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7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7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7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7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7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7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7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7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7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7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7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7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7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7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7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7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7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7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8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8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8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8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8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8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8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8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8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8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8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8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8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8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8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8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8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8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8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8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9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9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9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9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9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9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9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9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9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9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9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9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9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9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9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9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9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9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9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9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0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0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0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0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0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0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0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0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0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0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0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0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0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0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0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0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0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0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0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0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1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1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1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1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1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1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1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1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1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1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1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1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1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1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1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1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1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1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1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1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2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2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2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2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2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2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2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2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2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2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2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2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2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2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2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2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2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2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2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2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3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3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3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3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3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3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3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3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3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3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3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3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3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3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3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3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3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3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3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3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4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4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4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4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4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4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4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4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4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4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4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4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4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4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4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4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4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4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4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4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5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5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5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5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5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5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5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5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5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5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5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5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5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5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5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5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5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5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5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5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6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6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6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6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6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6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6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6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6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6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6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6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6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6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6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6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6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6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6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6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7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7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7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7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7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7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7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7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7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7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7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7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7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7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7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7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7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7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7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7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8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8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8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8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8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8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8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8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8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8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8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8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8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8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8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8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8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8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8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8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9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9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9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9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9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9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9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9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9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9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9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9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9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9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9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9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9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9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9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99">
      <formula1>Catalogos!$U$4:$U$50</formula1>
      <formula2/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errorTitle="Equipo no válido" error="undefined" promptTitle="undefined" prompt="undefined" xr:uid="{00000000-0002-0000-0200-000000000000}">
          <x14:formula1>
            <xm:f>Catalogos!$I$4:$I$46</xm:f>
          </x14:formula1>
          <xm:sqref>E5:E1000</xm:sqref>
        </x14:dataValidation>
        <x14:dataValidation type="list" allowBlank="1" showInputMessage="1" showErrorMessage="1" errorTitle="Económico no válido" error="undefined" promptTitle="undefined" prompt="undefined" xr:uid="{00000000-0002-0000-0200-000001000000}">
          <x14:formula1>
            <xm:f>Catalogos!$J$4:$J$46</xm:f>
          </x14:formula1>
          <xm:sqref>F5:F1000</xm:sqref>
        </x14:dataValidation>
        <x14:dataValidation type="list" xr:uid="{00000000-0002-0000-0100-000002000000}">
          <x14:formula1>
            <xm:f>Catalogos!$F$4:$F$10</xm:f>
          </x14:formula1>
          <xm:sqref>C5:C206</xm:sqref>
        </x14:dataValidation>
        <x14:dataValidation type="list" xr:uid="{7B984EB1-655C-4D3B-8650-CA17F7D94687}">
          <x14:formula1>
            <xm:f>Catalogos!$I$4:$I$34</xm:f>
          </x14:formula1>
          <xm:sqref>E5:E206</xm:sqref>
        </x14:dataValidation>
        <x14:dataValidation type="list" allowBlank="1" showInputMessage="1" showErrorMessage="1" xr:uid="{FB469301-41B0-4BE9-B3E1-9A5865756AE3}">
          <x14:formula1>
            <xm:f>Catalogos!$B$4:$B$8</xm:f>
          </x14:formula1>
          <xm:sqref>D23:D206</xm:sqref>
        </x14:dataValidation>
        <x14:dataValidation type="list" allowBlank="1" showInputMessage="1" showErrorMessage="1" xr:uid="{C1F6665C-5A85-44AD-A8F1-7F889B86B46E}">
          <x14:formula1>
            <xm:f>Catalogos!$B$4:$B$10</xm:f>
          </x14:formula1>
          <xm:sqref>D5:D22</xm:sqref>
        </x14:dataValidation>
        <x14:dataValidation type="list" xr:uid="{834CDBCF-34BD-403B-97F1-16E0E13303F1}">
          <x14:formula1>
            <xm:f>Catalogos!$F$4:$F$18</xm:f>
          </x14:formula1>
          <xm:sqref>B5:B1048576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/>
  <sheetViews>
    <sheetView topLeftCell="A37" workbookViewId="0">
      <selection activeCell="C55" sqref="C55"/>
    </sheetView>
  </sheetViews>
  <sheetFormatPr baseColWidth="10" defaultColWidth="8.796875" defaultRowHeight="13.8"/>
  <cols>
    <col min="1" max="1" width="13" customWidth="1"/>
    <col min="2" max="2" width="18" customWidth="1"/>
    <col min="3" max="4" width="22" customWidth="1"/>
    <col min="5" max="5" width="14" customWidth="1"/>
    <col min="6" max="7" width="12" customWidth="1"/>
    <col min="8" max="8" width="16" customWidth="1"/>
    <col min="9" max="9" width="12" customWidth="1"/>
    <col min="10" max="10" width="14" customWidth="1"/>
    <col min="11" max="11" width="18" customWidth="1"/>
    <col min="12" max="12" width="30" customWidth="1"/>
  </cols>
  <sheetData>
    <row r="1" spans="1:12" ht="22.35" customHeight="1">
      <c r="A1" t="s" s="3537">
        <v>21</v>
      </c>
      <c r="B1" s="3538"/>
      <c r="C1" s="3538"/>
      <c r="D1" s="3538"/>
      <c r="E1" s="3538"/>
      <c r="F1" s="3538"/>
      <c r="G1" s="3538"/>
      <c r="H1" s="3538"/>
      <c r="I1" s="3538"/>
      <c r="J1" s="3538"/>
      <c r="K1" s="3538"/>
      <c r="L1" s="3538"/>
    </row>
    <row r="2" spans="1:12">
      <c r="A2" t="s">
        <v>22</v>
      </c>
      <c r="C2" t="s">
        <v>7</v>
      </c>
      <c r="E2" t="s">
        <v>8</v>
      </c>
      <c r="G2" t="s">
        <v>23</v>
      </c>
      <c r="H2" t="s">
        <v>24</v>
      </c>
      <c r="I2" t="s">
        <v>25</v>
      </c>
    </row>
    <row r="3">
      <c r="A3" t="s">
        <v>482</v>
      </c>
      <c r="B3" t="s">
        <v>12</v>
      </c>
      <c r="C3" t="s">
        <v>483</v>
      </c>
      <c r="D3" t="s">
        <v>484</v>
      </c>
      <c r="E3" t="s">
        <v>485</v>
      </c>
      <c r="F3" t="s">
        <v>454</v>
      </c>
      <c r="G3" t="s">
        <v>486</v>
      </c>
      <c r="H3" t="s">
        <v>18</v>
      </c>
    </row>
    <row r="4" spans="1:12" ht="27.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>
      <c r="A5" s="2"/>
      <c r="B5"/>
      <c r="C5"/>
      <c r="D5"/>
      <c r="E5"/>
      <c r="F5" s="3"/>
      <c r="G5" s="15"/>
      <c r="H5" s="3"/>
      <c r="I5" s="4"/>
      <c r="J5" s="4"/>
      <c r="K5"/>
      <c r="L5"/>
    </row>
    <row r="6" spans="1:12">
      <c r="A6" s="2"/>
      <c r="B6"/>
      <c r="C6"/>
      <c r="D6"/>
      <c r="E6"/>
      <c r="F6" s="3"/>
      <c r="G6" s="15"/>
      <c r="H6" s="3"/>
      <c r="I6" s="4"/>
      <c r="J6" s="4"/>
      <c r="K6"/>
      <c r="L6"/>
    </row>
    <row r="7" spans="1:12">
      <c r="A7" s="2"/>
      <c r="B7"/>
      <c r="C7"/>
      <c r="D7"/>
      <c r="E7"/>
      <c r="F7" s="3"/>
      <c r="G7" s="15"/>
      <c r="H7" s="3"/>
      <c r="I7" s="4"/>
      <c r="J7" s="4"/>
      <c r="K7"/>
      <c r="L7"/>
    </row>
    <row r="8" spans="1:12">
      <c r="A8" s="2"/>
      <c r="B8"/>
      <c r="C8"/>
      <c r="D8"/>
      <c r="E8"/>
      <c r="F8" s="3"/>
      <c r="G8" s="15"/>
      <c r="H8" s="3"/>
      <c r="I8" s="4"/>
      <c r="J8" s="4"/>
      <c r="K8"/>
      <c r="L8"/>
    </row>
    <row r="9" spans="1:12">
      <c r="A9" s="2"/>
      <c r="B9"/>
      <c r="C9"/>
      <c r="D9"/>
      <c r="E9"/>
      <c r="F9" s="3"/>
      <c r="G9" s="15"/>
      <c r="H9" s="3"/>
      <c r="I9" s="4"/>
      <c r="J9" s="4"/>
      <c r="K9"/>
      <c r="L9"/>
    </row>
    <row r="10" spans="1:12">
      <c r="A10" s="2"/>
      <c r="B10"/>
      <c r="C10"/>
      <c r="D10"/>
      <c r="E10"/>
      <c r="F10" s="3"/>
      <c r="G10" s="15"/>
      <c r="H10" s="3"/>
      <c r="I10" s="4"/>
      <c r="J10" s="4"/>
      <c r="K10"/>
      <c r="L10"/>
    </row>
    <row r="11" spans="1:12">
      <c r="A11" s="2"/>
      <c r="B11"/>
      <c r="C11"/>
      <c r="D11"/>
      <c r="E11"/>
      <c r="F11" s="3"/>
      <c r="G11" s="15"/>
      <c r="H11" s="3"/>
      <c r="I11" s="4"/>
      <c r="J11" s="4"/>
      <c r="K11"/>
      <c r="L11"/>
    </row>
    <row r="12" spans="1:12">
      <c r="A12" s="2"/>
      <c r="B12"/>
      <c r="C12"/>
      <c r="D12"/>
      <c r="E12"/>
      <c r="F12" s="3"/>
      <c r="G12" s="15"/>
      <c r="H12" s="3"/>
      <c r="I12" s="4"/>
      <c r="J12" s="4"/>
      <c r="K12"/>
      <c r="L12"/>
    </row>
    <row r="13" spans="1:12">
      <c r="A13" s="2"/>
      <c r="B13"/>
      <c r="C13"/>
      <c r="D13"/>
      <c r="E13"/>
      <c r="F13" s="3"/>
      <c r="G13" s="15"/>
      <c r="H13" s="3"/>
      <c r="I13" s="4"/>
      <c r="J13" s="4"/>
      <c r="K13"/>
      <c r="L13"/>
    </row>
    <row r="14" spans="1:12">
      <c r="A14" s="2"/>
      <c r="B14"/>
      <c r="C14"/>
      <c r="D14"/>
      <c r="E14"/>
      <c r="F14" s="3"/>
      <c r="G14" s="15"/>
      <c r="H14" s="3"/>
      <c r="I14" s="4"/>
      <c r="J14" s="4"/>
      <c r="K14"/>
      <c r="L14"/>
    </row>
    <row r="15" spans="1:12">
      <c r="A15" s="2"/>
      <c r="B15"/>
      <c r="C15"/>
      <c r="D15"/>
      <c r="E15"/>
      <c r="F15" s="3"/>
      <c r="G15" s="15"/>
      <c r="H15" s="3"/>
      <c r="I15" s="4"/>
      <c r="J15" s="4"/>
      <c r="K15"/>
      <c r="L15"/>
    </row>
    <row r="16" spans="1:12">
      <c r="A16" s="2"/>
      <c r="B16"/>
      <c r="C16"/>
      <c r="D16"/>
      <c r="E16"/>
      <c r="F16" s="3"/>
      <c r="G16" s="15"/>
      <c r="H16" s="3"/>
      <c r="I16" s="4"/>
      <c r="J16" s="4"/>
      <c r="K16"/>
      <c r="L16"/>
    </row>
    <row r="17" spans="1:10">
      <c r="A17" s="2"/>
      <c r="B17"/>
      <c r="C17"/>
      <c r="D17"/>
      <c r="E17"/>
      <c r="F17" s="3"/>
      <c r="G17" s="15"/>
      <c r="H17" s="3"/>
      <c r="I17" s="4"/>
      <c r="J17" s="4"/>
      <c r="K17"/>
      <c r="L17"/>
    </row>
    <row r="18" spans="1:10">
      <c r="A18" s="2"/>
      <c r="B18"/>
      <c r="C18"/>
      <c r="D18"/>
      <c r="E18"/>
      <c r="F18" s="3"/>
      <c r="G18" s="15"/>
      <c r="H18" s="3"/>
      <c r="I18" s="4"/>
      <c r="J18" s="4"/>
      <c r="K18"/>
      <c r="L18"/>
    </row>
    <row r="19" spans="1:10">
      <c r="A19" s="2"/>
      <c r="B19"/>
      <c r="C19"/>
      <c r="D19"/>
      <c r="E19"/>
      <c r="F19" s="3"/>
      <c r="G19" s="15"/>
      <c r="H19" s="3"/>
      <c r="I19" s="4"/>
      <c r="J19" s="4"/>
      <c r="K19"/>
      <c r="L19"/>
    </row>
    <row r="20" spans="1:10">
      <c r="A20" s="2"/>
      <c r="B20"/>
      <c r="C20"/>
      <c r="D20"/>
      <c r="E20"/>
      <c r="F20" s="3"/>
      <c r="G20" s="15"/>
      <c r="H20" s="3"/>
      <c r="I20" s="4"/>
      <c r="J20" s="4"/>
      <c r="K20"/>
      <c r="L20"/>
    </row>
    <row r="21" spans="1:10">
      <c r="A21" s="2"/>
      <c r="B21"/>
      <c r="C21"/>
      <c r="D21"/>
      <c r="E21"/>
      <c r="F21" s="3"/>
      <c r="G21" s="15"/>
      <c r="H21" s="3"/>
      <c r="I21" s="4"/>
      <c r="J21" s="4"/>
      <c r="K21"/>
      <c r="L21"/>
    </row>
    <row r="22" spans="1:10">
      <c r="A22" s="2"/>
      <c r="B22"/>
      <c r="C22"/>
      <c r="D22"/>
      <c r="E22"/>
      <c r="F22" s="3"/>
      <c r="G22" s="15"/>
      <c r="H22" s="3"/>
      <c r="I22" s="4"/>
      <c r="J22" s="4"/>
      <c r="K22"/>
      <c r="L22"/>
    </row>
    <row r="23" spans="1:10">
      <c r="A23" s="2"/>
      <c r="B23"/>
      <c r="C23"/>
      <c r="D23"/>
      <c r="E23"/>
      <c r="F23" s="3"/>
      <c r="G23" s="15"/>
      <c r="H23" s="3"/>
      <c r="I23" s="4"/>
      <c r="J23" s="4"/>
      <c r="K23"/>
      <c r="L23"/>
    </row>
    <row r="24" spans="1:10">
      <c r="A24" s="2"/>
      <c r="B24"/>
      <c r="C24"/>
      <c r="D24"/>
      <c r="E24"/>
      <c r="F24" s="3"/>
      <c r="G24" s="15"/>
      <c r="H24" s="3"/>
      <c r="I24" s="4"/>
      <c r="J24" s="4"/>
      <c r="K24"/>
      <c r="L24"/>
    </row>
    <row r="25" spans="1:10">
      <c r="A25" s="2"/>
      <c r="B25"/>
      <c r="C25"/>
      <c r="D25"/>
      <c r="E25"/>
      <c r="F25" s="3"/>
      <c r="G25" s="15"/>
      <c r="H25" s="3"/>
      <c r="I25" s="4"/>
      <c r="J25" s="4"/>
      <c r="K25"/>
      <c r="L25"/>
    </row>
    <row r="26" spans="1:10">
      <c r="A26" s="2"/>
      <c r="B26"/>
      <c r="C26"/>
      <c r="D26"/>
      <c r="E26"/>
      <c r="F26" s="3"/>
      <c r="G26" s="15"/>
      <c r="H26" s="3"/>
      <c r="I26" s="4"/>
      <c r="J26" s="4"/>
      <c r="K26"/>
      <c r="L26"/>
    </row>
    <row r="27" spans="1:10">
      <c r="A27" s="2"/>
      <c r="B27"/>
      <c r="C27"/>
      <c r="D27"/>
      <c r="E27"/>
      <c r="F27" s="3"/>
      <c r="G27" s="15"/>
      <c r="H27" s="3"/>
      <c r="I27" s="4"/>
      <c r="J27" s="4"/>
      <c r="K27"/>
      <c r="L27"/>
    </row>
    <row r="28" spans="1:10">
      <c r="A28" s="2"/>
      <c r="B28"/>
      <c r="C28"/>
      <c r="D28"/>
      <c r="E28"/>
      <c r="F28" s="3"/>
      <c r="G28" s="15"/>
      <c r="H28" s="3"/>
      <c r="I28" s="4"/>
      <c r="J28" s="4"/>
      <c r="K28"/>
      <c r="L28"/>
    </row>
    <row r="29" spans="1:10">
      <c r="A29" s="2"/>
      <c r="B29"/>
      <c r="C29"/>
      <c r="D29"/>
      <c r="E29"/>
      <c r="F29" s="3"/>
      <c r="G29" s="15"/>
      <c r="H29" s="3"/>
      <c r="I29" s="4"/>
      <c r="J29" s="4"/>
      <c r="K29"/>
      <c r="L29"/>
    </row>
    <row r="30" spans="1:10">
      <c r="A30" s="2"/>
      <c r="B30"/>
      <c r="C30"/>
      <c r="D30"/>
      <c r="E30"/>
      <c r="F30" s="3"/>
      <c r="G30" s="15"/>
      <c r="H30" s="3"/>
      <c r="I30" s="4"/>
      <c r="J30" s="4"/>
      <c r="K30"/>
      <c r="L30"/>
    </row>
    <row r="31" spans="1:10">
      <c r="A31" s="2"/>
      <c r="B31"/>
      <c r="C31"/>
      <c r="D31"/>
      <c r="E31"/>
      <c r="F31" s="3"/>
      <c r="G31" s="15"/>
      <c r="H31" s="3"/>
      <c r="I31" s="4"/>
      <c r="J31" s="4"/>
      <c r="K31"/>
      <c r="L31"/>
    </row>
    <row r="32" spans="1:10">
      <c r="A32" s="2"/>
      <c r="B32"/>
      <c r="C32"/>
      <c r="D32"/>
      <c r="E32"/>
      <c r="F32" s="3"/>
      <c r="G32" s="15"/>
      <c r="H32" s="3"/>
      <c r="I32" s="4"/>
      <c r="J32" s="4"/>
      <c r="K32"/>
      <c r="L32"/>
    </row>
    <row r="33" spans="1:14">
      <c r="A33" s="2"/>
      <c r="B33"/>
      <c r="C33"/>
      <c r="D33"/>
      <c r="E33"/>
      <c r="F33" s="3"/>
      <c r="G33" s="15"/>
      <c r="H33" s="3"/>
      <c r="I33" s="4"/>
      <c r="J33" s="4"/>
      <c r="K33"/>
      <c r="L33"/>
    </row>
    <row r="34" spans="1:14">
      <c r="A34" s="2"/>
      <c r="B34"/>
      <c r="C34"/>
      <c r="D34"/>
      <c r="E34"/>
      <c r="F34" s="3"/>
      <c r="G34" s="15"/>
      <c r="H34" s="3"/>
      <c r="I34" s="4"/>
      <c r="J34" s="4"/>
      <c r="K34"/>
      <c r="L34"/>
    </row>
    <row r="35" spans="1:14">
      <c r="A35" s="2"/>
      <c r="B35"/>
      <c r="C35"/>
      <c r="D35"/>
      <c r="E35"/>
      <c r="F35" s="3"/>
      <c r="G35" s="15"/>
      <c r="H35" s="3"/>
      <c r="I35" s="4"/>
      <c r="J35" s="4"/>
      <c r="K35"/>
      <c r="L35"/>
    </row>
    <row r="36" spans="1:14">
      <c r="A36" s="2"/>
      <c r="B36"/>
      <c r="C36"/>
      <c r="D36"/>
      <c r="E36"/>
      <c r="F36" s="3"/>
      <c r="G36" s="15"/>
      <c r="H36" s="3"/>
      <c r="I36" s="4"/>
      <c r="J36" s="4"/>
      <c r="K36"/>
      <c r="L36"/>
    </row>
    <row r="37" spans="1:14">
      <c r="A37" s="2"/>
      <c r="B37"/>
      <c r="C37"/>
      <c r="D37"/>
      <c r="E37"/>
      <c r="F37" s="3"/>
      <c r="G37" s="15"/>
      <c r="H37" s="3"/>
      <c r="I37" s="4"/>
      <c r="J37" s="4"/>
      <c r="K37"/>
      <c r="L37"/>
    </row>
    <row r="38" spans="1:14">
      <c r="A38" s="2"/>
      <c r="B38"/>
      <c r="C38"/>
      <c r="D38"/>
      <c r="E38"/>
      <c r="F38" s="3"/>
      <c r="G38" s="15"/>
      <c r="H38" s="3"/>
      <c r="I38" s="4"/>
      <c r="J38" s="4"/>
      <c r="K38"/>
      <c r="L38"/>
    </row>
    <row r="39" spans="1:14">
      <c r="A39" s="2"/>
      <c r="B39"/>
      <c r="C39"/>
      <c r="D39"/>
      <c r="E39"/>
      <c r="F39" s="3"/>
      <c r="G39" s="15"/>
      <c r="H39" s="3"/>
      <c r="I39" s="4"/>
      <c r="J39" s="4"/>
      <c r="K39"/>
      <c r="L39"/>
    </row>
    <row r="40" spans="1:14">
      <c r="A40" s="2"/>
      <c r="B40"/>
      <c r="C40"/>
      <c r="D40"/>
      <c r="E40"/>
      <c r="F40" s="3"/>
      <c r="G40" s="15"/>
      <c r="H40" s="3"/>
      <c r="I40" s="4"/>
      <c r="J40" s="4"/>
      <c r="K40"/>
      <c r="L40"/>
    </row>
    <row r="41" spans="1:14">
      <c r="A41" s="2"/>
      <c r="B41"/>
      <c r="C41"/>
      <c r="D41"/>
      <c r="E41"/>
      <c r="F41" s="3"/>
      <c r="G41" s="15"/>
      <c r="H41" s="3"/>
      <c r="I41" s="4"/>
      <c r="J41" s="4"/>
      <c r="K41"/>
      <c r="L41"/>
    </row>
    <row r="42" spans="1:14">
      <c r="A42" s="2"/>
      <c r="B42"/>
      <c r="C42"/>
      <c r="D42"/>
      <c r="E42"/>
      <c r="F42" s="3"/>
      <c r="G42" s="15"/>
      <c r="H42" s="3"/>
      <c r="I42" s="4"/>
      <c r="J42" s="4"/>
      <c r="K42"/>
      <c r="L42"/>
    </row>
    <row r="43" spans="1:14">
      <c r="A43" s="2"/>
      <c r="B43"/>
      <c r="C43"/>
      <c r="D43"/>
      <c r="E43"/>
      <c r="F43" s="3"/>
      <c r="G43" s="15"/>
      <c r="H43" s="3"/>
      <c r="I43" s="4"/>
      <c r="J43" s="4"/>
      <c r="K43"/>
      <c r="L43"/>
      <c r="N43" s="3">
        <f>SUM(G5:G48)</f>
      </c>
    </row>
    <row r="44" spans="1:14">
      <c r="A44" s="2"/>
      <c r="B44"/>
      <c r="C44"/>
      <c r="D44"/>
      <c r="E44"/>
      <c r="F44" s="3"/>
      <c r="G44" s="15"/>
      <c r="H44" s="3"/>
      <c r="I44" s="4"/>
      <c r="J44" s="4"/>
      <c r="K44"/>
      <c r="L44"/>
    </row>
    <row r="45" spans="1:14">
      <c r="A45" s="2"/>
      <c r="B45"/>
      <c r="C45"/>
      <c r="D45"/>
      <c r="E45"/>
      <c r="F45" s="3"/>
      <c r="G45" s="15"/>
      <c r="H45" s="3"/>
      <c r="I45" s="4"/>
      <c r="J45" s="4"/>
      <c r="K45"/>
      <c r="L45"/>
    </row>
    <row r="46" spans="1:14">
      <c r="A46" s="2"/>
      <c r="B46"/>
      <c r="C46"/>
      <c r="D46"/>
      <c r="E46"/>
      <c r="F46" s="3"/>
      <c r="G46" s="15"/>
      <c r="H46" s="3"/>
      <c r="I46" s="4"/>
      <c r="J46" s="4"/>
      <c r="K46"/>
      <c r="L46"/>
    </row>
    <row r="47" spans="1:14">
      <c r="A47" s="2"/>
      <c r="B47"/>
      <c r="C47"/>
      <c r="D47"/>
      <c r="E47"/>
      <c r="F47" s="3"/>
      <c r="G47" s="15"/>
      <c r="H47" s="3"/>
      <c r="I47" s="4"/>
      <c r="J47" s="4"/>
      <c r="K47"/>
      <c r="L47"/>
    </row>
    <row r="48" spans="1:14">
      <c r="A48" s="2"/>
      <c r="B48"/>
      <c r="C48"/>
      <c r="D48"/>
      <c r="E48"/>
      <c r="F48" s="3"/>
      <c r="G48" s="15"/>
      <c r="H48" s="3"/>
      <c r="I48" s="4"/>
      <c r="J48" s="4"/>
      <c r="K48"/>
      <c r="L48"/>
    </row>
    <row r="49" spans="1:10">
      <c r="A49" s="2"/>
      <c r="B49"/>
      <c r="C49"/>
      <c r="D49"/>
      <c r="E49"/>
      <c r="F49" s="3"/>
      <c r="G49" s="15"/>
      <c r="H49" s="3"/>
      <c r="I49" s="4"/>
      <c r="J49" s="4"/>
      <c r="K49"/>
      <c r="L49"/>
    </row>
    <row r="50" spans="1:10">
      <c r="A50" s="2"/>
      <c r="B50"/>
      <c r="C50"/>
      <c r="D50"/>
      <c r="E50"/>
      <c r="F50" s="3"/>
      <c r="G50" s="15"/>
      <c r="H50" s="3"/>
      <c r="I50" s="4"/>
      <c r="J50" s="4"/>
      <c r="K50"/>
      <c r="L50"/>
    </row>
    <row r="51" spans="1:10">
      <c r="A51" s="2"/>
      <c r="B51"/>
      <c r="C51"/>
      <c r="D51"/>
      <c r="E51"/>
      <c r="F51" s="3"/>
      <c r="G51" s="15"/>
      <c r="H51" s="3"/>
      <c r="I51" s="4"/>
      <c r="J51" s="4"/>
      <c r="K51"/>
      <c r="L51"/>
    </row>
    <row r="52" spans="1:10">
      <c r="A52" s="2"/>
      <c r="B52"/>
      <c r="C52"/>
      <c r="D52"/>
      <c r="E52"/>
      <c r="F52" s="3"/>
      <c r="G52" s="15"/>
      <c r="H52" s="3"/>
      <c r="I52" s="4"/>
      <c r="J52" s="4"/>
      <c r="K52"/>
      <c r="L52"/>
    </row>
    <row r="53" spans="1:10">
      <c r="A53" s="2"/>
      <c r="B53"/>
      <c r="C53"/>
      <c r="D53"/>
      <c r="E53"/>
      <c r="F53" s="3"/>
      <c r="G53" s="15"/>
      <c r="H53" s="3"/>
      <c r="I53" s="4"/>
      <c r="J53" s="4"/>
      <c r="K53"/>
      <c r="L53"/>
    </row>
    <row r="54" spans="1:10">
      <c r="A54" s="2"/>
      <c r="B54"/>
      <c r="C54"/>
      <c r="D54"/>
      <c r="E54"/>
      <c r="F54" s="3"/>
      <c r="G54" s="15"/>
      <c r="H54" s="3"/>
      <c r="I54" s="4"/>
      <c r="J54" s="4"/>
      <c r="K54"/>
      <c r="L54"/>
    </row>
    <row r="55" spans="1:10">
      <c r="A55" s="2"/>
      <c r="B55"/>
      <c r="C55"/>
      <c r="D55"/>
      <c r="E55"/>
      <c r="F55" s="3"/>
      <c r="G55" s="15"/>
      <c r="H55" s="3"/>
      <c r="I55" s="4"/>
      <c r="J55" s="4"/>
      <c r="K55"/>
      <c r="L55"/>
    </row>
    <row r="56" spans="1:10">
      <c r="A56" s="2"/>
      <c r="B56"/>
      <c r="C56"/>
      <c r="D56"/>
      <c r="E56"/>
      <c r="F56" s="3"/>
      <c r="G56" s="15"/>
      <c r="H56" s="3"/>
      <c r="I56" s="4"/>
      <c r="J56" s="4"/>
      <c r="K56"/>
      <c r="L56"/>
    </row>
    <row r="57" spans="1:10">
      <c r="A57" s="2"/>
      <c r="B57"/>
      <c r="C57"/>
      <c r="D57"/>
      <c r="E57"/>
      <c r="F57" s="3"/>
      <c r="G57" s="15"/>
      <c r="H57" s="3"/>
      <c r="I57" s="4"/>
      <c r="J57" s="4"/>
      <c r="K57"/>
      <c r="L57"/>
    </row>
    <row r="58" spans="1:10">
      <c r="A58" s="2"/>
      <c r="B58"/>
      <c r="C58"/>
      <c r="D58"/>
      <c r="E58"/>
      <c r="F58" s="3"/>
      <c r="G58" s="15"/>
      <c r="H58" s="3"/>
      <c r="I58" s="4"/>
      <c r="J58" s="4"/>
      <c r="K58"/>
      <c r="L58"/>
    </row>
    <row r="59" spans="1:10">
      <c r="A59" s="2"/>
      <c r="B59"/>
      <c r="C59"/>
      <c r="D59"/>
      <c r="E59"/>
      <c r="F59" s="3"/>
      <c r="G59" s="15"/>
      <c r="H59" s="3"/>
      <c r="I59" s="4"/>
      <c r="J59" s="4"/>
      <c r="K59"/>
      <c r="L59"/>
    </row>
    <row r="60" spans="1:10">
      <c r="A60" s="2"/>
      <c r="B60"/>
      <c r="C60"/>
      <c r="D60"/>
      <c r="E60"/>
      <c r="F60" s="3"/>
      <c r="G60" s="15"/>
      <c r="H60" s="3"/>
      <c r="I60" s="4"/>
      <c r="J60" s="4"/>
      <c r="K60"/>
      <c r="L60"/>
    </row>
    <row r="61" spans="1:10">
      <c r="A61" s="2"/>
      <c r="B61"/>
      <c r="C61"/>
      <c r="D61"/>
      <c r="E61"/>
      <c r="F61" s="3"/>
      <c r="G61" s="15"/>
      <c r="H61" s="3"/>
      <c r="I61" s="4"/>
      <c r="J61" s="4"/>
      <c r="K61"/>
      <c r="L61"/>
    </row>
    <row r="62" spans="1:10">
      <c r="A62" s="2"/>
      <c r="B62"/>
      <c r="C62"/>
      <c r="D62"/>
      <c r="E62"/>
      <c r="F62" s="3"/>
      <c r="G62" s="15"/>
      <c r="H62" s="3"/>
      <c r="I62" s="4"/>
      <c r="J62" s="4"/>
      <c r="K62"/>
      <c r="L62"/>
    </row>
    <row r="63" spans="1:10">
      <c r="A63" s="2"/>
      <c r="B63"/>
      <c r="C63"/>
      <c r="D63"/>
      <c r="E63"/>
      <c r="F63" s="3"/>
      <c r="G63" s="15"/>
      <c r="H63" s="3"/>
      <c r="I63" s="4"/>
      <c r="J63" s="4"/>
      <c r="K63"/>
      <c r="L63"/>
    </row>
    <row r="64" spans="1:10">
      <c r="A64" s="2"/>
      <c r="B64"/>
      <c r="C64"/>
      <c r="D64"/>
      <c r="E64"/>
      <c r="F64" s="3"/>
      <c r="G64" s="15"/>
      <c r="H64" s="3"/>
      <c r="I64" s="4"/>
      <c r="J64" s="4"/>
      <c r="K64"/>
      <c r="L64"/>
    </row>
    <row r="65" spans="1:10">
      <c r="A65" s="2"/>
      <c r="B65"/>
      <c r="C65"/>
      <c r="D65"/>
      <c r="E65"/>
      <c r="F65" s="3"/>
      <c r="G65" s="15"/>
      <c r="H65" s="3"/>
      <c r="I65" s="4"/>
      <c r="J65" s="4"/>
      <c r="K65"/>
      <c r="L65"/>
    </row>
    <row r="66" spans="1:10">
      <c r="A66" s="2"/>
      <c r="B66"/>
      <c r="C66"/>
      <c r="D66"/>
      <c r="E66"/>
      <c r="F66" s="3"/>
      <c r="G66" s="15"/>
      <c r="H66" s="3"/>
      <c r="I66" s="4"/>
      <c r="J66" s="4"/>
      <c r="K66"/>
      <c r="L66"/>
    </row>
    <row r="67" spans="1:10">
      <c r="A67" s="2"/>
      <c r="B67"/>
      <c r="C67"/>
      <c r="D67"/>
      <c r="E67"/>
      <c r="F67" s="3"/>
      <c r="G67" s="15"/>
      <c r="H67" s="3"/>
      <c r="I67" s="4"/>
      <c r="J67" s="4"/>
      <c r="K67"/>
      <c r="L67"/>
    </row>
    <row r="68" spans="1:10">
      <c r="A68" s="2"/>
      <c r="B68"/>
      <c r="C68"/>
      <c r="D68"/>
      <c r="E68"/>
      <c r="F68" s="3"/>
      <c r="G68" s="15"/>
      <c r="H68" s="3"/>
      <c r="I68" s="4"/>
      <c r="J68" s="4"/>
      <c r="K68"/>
      <c r="L68"/>
    </row>
    <row r="69" spans="1:10">
      <c r="A69" s="2"/>
      <c r="B69"/>
      <c r="C69"/>
      <c r="D69"/>
      <c r="E69"/>
      <c r="F69" s="3"/>
      <c r="G69" s="15"/>
      <c r="H69" s="3"/>
      <c r="I69" s="4"/>
      <c r="J69" s="4"/>
      <c r="K69"/>
      <c r="L69"/>
    </row>
    <row r="70" spans="1:10">
      <c r="A70" s="2"/>
      <c r="B70"/>
      <c r="C70"/>
      <c r="D70"/>
      <c r="E70"/>
      <c r="F70" s="3"/>
      <c r="G70" s="15"/>
      <c r="H70" s="3"/>
      <c r="I70" s="4"/>
      <c r="J70" s="4"/>
      <c r="K70"/>
      <c r="L70"/>
    </row>
    <row r="71" spans="1:10">
      <c r="A71" s="2"/>
      <c r="B71"/>
      <c r="C71"/>
      <c r="D71"/>
      <c r="E71"/>
      <c r="F71"/>
      <c r="G71" s="15"/>
      <c r="H71" s="3"/>
      <c r="I71" s="4"/>
      <c r="J71" s="4"/>
      <c r="K71"/>
      <c r="L71"/>
    </row>
    <row r="72" spans="1:10">
      <c r="A72" s="2"/>
      <c r="B72"/>
      <c r="C72"/>
      <c r="D72"/>
      <c r="E72"/>
      <c r="F72" s="3"/>
      <c r="G72" s="15"/>
      <c r="H72" s="3"/>
      <c r="I72" s="4"/>
      <c r="J72" s="4"/>
      <c r="K72"/>
      <c r="L72"/>
    </row>
    <row r="73" spans="1:10">
      <c r="A73" s="2"/>
      <c r="B73"/>
      <c r="C73"/>
      <c r="D73"/>
      <c r="E73"/>
      <c r="F73" s="3"/>
      <c r="G73" s="15"/>
      <c r="H73" s="3"/>
      <c r="I73" s="4"/>
      <c r="J73" s="4"/>
      <c r="K73"/>
      <c r="L73"/>
    </row>
    <row r="74" spans="1:10">
      <c r="A74" s="2"/>
      <c r="B74"/>
      <c r="C74"/>
      <c r="D74"/>
      <c r="E74"/>
      <c r="F74" s="3"/>
      <c r="G74" s="15"/>
      <c r="H74" s="3"/>
      <c r="I74" s="4"/>
      <c r="J74" s="4"/>
      <c r="K74"/>
      <c r="L74"/>
    </row>
    <row r="75" spans="1:10">
      <c r="A75" s="2"/>
      <c r="B75"/>
      <c r="C75"/>
      <c r="D75"/>
      <c r="E75"/>
      <c r="F75" s="3"/>
      <c r="G75" s="15"/>
      <c r="H75" s="3"/>
      <c r="I75" s="4"/>
      <c r="J75" s="4"/>
      <c r="K75"/>
      <c r="L75"/>
    </row>
    <row r="76" spans="1:10">
      <c r="A76" s="2"/>
      <c r="B76"/>
      <c r="C76"/>
      <c r="D76"/>
      <c r="E76"/>
      <c r="F76" s="3"/>
      <c r="G76" s="15"/>
      <c r="H76" s="3"/>
      <c r="I76" s="4"/>
      <c r="J76" s="4"/>
      <c r="K76"/>
      <c r="L76"/>
    </row>
    <row r="77" spans="1:10">
      <c r="A77" s="2"/>
      <c r="B77"/>
      <c r="C77"/>
      <c r="D77"/>
      <c r="E77"/>
      <c r="F77" s="3"/>
      <c r="G77" s="15"/>
      <c r="H77" s="3"/>
      <c r="I77" s="4"/>
      <c r="J77" s="4"/>
      <c r="K77"/>
      <c r="L77"/>
    </row>
    <row r="78" spans="1:10">
      <c r="A78" s="2"/>
      <c r="B78"/>
      <c r="C78"/>
      <c r="D78"/>
      <c r="E78"/>
      <c r="F78" s="3"/>
      <c r="G78" s="15"/>
      <c r="H78" s="3"/>
      <c r="I78" s="4"/>
      <c r="J78" s="4"/>
      <c r="K78"/>
      <c r="L78"/>
    </row>
    <row r="79" spans="1:10">
      <c r="A79" s="2"/>
      <c r="B79"/>
      <c r="C79"/>
      <c r="D79"/>
      <c r="E79"/>
      <c r="F79" s="3"/>
      <c r="G79" s="15"/>
      <c r="H79" s="3"/>
      <c r="I79" s="4"/>
      <c r="J79" s="4"/>
      <c r="K79"/>
      <c r="L79"/>
    </row>
    <row r="80" spans="1:10">
      <c r="A80" s="2"/>
      <c r="B80"/>
      <c r="C80"/>
      <c r="D80"/>
      <c r="E80"/>
      <c r="F80" s="3"/>
      <c r="G80" s="15"/>
      <c r="H80" s="3"/>
      <c r="I80" s="4"/>
      <c r="J80" s="4"/>
      <c r="K80"/>
      <c r="L80"/>
    </row>
    <row r="81" spans="1:10">
      <c r="A81" s="2"/>
      <c r="B81"/>
      <c r="C81"/>
      <c r="D81"/>
      <c r="E81"/>
      <c r="F81" s="3"/>
      <c r="G81" s="15"/>
      <c r="H81" s="3"/>
      <c r="I81" s="4"/>
      <c r="J81" s="4"/>
      <c r="K81"/>
      <c r="L81"/>
    </row>
    <row r="82" spans="1:10">
      <c r="A82" s="2"/>
      <c r="B82"/>
      <c r="C82"/>
      <c r="D82"/>
      <c r="E82"/>
      <c r="F82" s="3"/>
      <c r="G82" s="15"/>
      <c r="H82" s="3"/>
      <c r="I82" s="4"/>
      <c r="J82" s="4"/>
      <c r="K82"/>
      <c r="L82"/>
    </row>
    <row r="83" spans="1:10">
      <c r="A83" s="2"/>
      <c r="B83"/>
      <c r="C83"/>
      <c r="D83"/>
      <c r="E83"/>
      <c r="F83" s="3"/>
      <c r="G83" s="15"/>
      <c r="H83" s="3"/>
      <c r="I83" s="4"/>
      <c r="J83" s="4"/>
      <c r="K83"/>
      <c r="L83"/>
    </row>
    <row r="84" spans="1:10">
      <c r="A84" s="2"/>
      <c r="B84"/>
      <c r="C84"/>
      <c r="D84"/>
      <c r="E84"/>
      <c r="F84" s="3"/>
      <c r="G84" s="15"/>
      <c r="H84" s="3"/>
      <c r="I84" s="4"/>
      <c r="J84" s="4"/>
      <c r="K84"/>
      <c r="L84"/>
    </row>
    <row r="85" spans="1:10">
      <c r="A85" s="2"/>
      <c r="B85"/>
      <c r="C85"/>
      <c r="D85"/>
      <c r="E85"/>
      <c r="F85" s="3"/>
      <c r="G85" s="15"/>
      <c r="H85" s="3"/>
      <c r="I85" s="4"/>
      <c r="J85" s="4"/>
      <c r="K85"/>
      <c r="L85"/>
    </row>
    <row r="86" spans="1:10">
      <c r="A86" s="2"/>
      <c r="B86"/>
      <c r="C86"/>
      <c r="D86"/>
      <c r="E86"/>
      <c r="F86" s="3"/>
      <c r="G86" s="15"/>
      <c r="H86" s="3"/>
      <c r="I86" s="4"/>
      <c r="J86" s="4"/>
      <c r="K86"/>
      <c r="L86"/>
    </row>
    <row r="87" spans="1:10">
      <c r="A87" s="2"/>
      <c r="B87"/>
      <c r="C87"/>
      <c r="D87"/>
      <c r="E87"/>
      <c r="F87" s="3"/>
      <c r="G87" s="15"/>
      <c r="H87" s="3"/>
      <c r="I87" s="4"/>
      <c r="J87" s="4"/>
      <c r="K87"/>
      <c r="L87"/>
    </row>
    <row r="88" spans="1:10">
      <c r="A88" s="2"/>
      <c r="B88"/>
      <c r="C88"/>
      <c r="D88"/>
      <c r="E88"/>
      <c r="F88" s="3"/>
      <c r="G88" s="15"/>
      <c r="H88" s="3"/>
      <c r="I88" s="4"/>
      <c r="J88" s="4"/>
      <c r="K88"/>
      <c r="L88"/>
    </row>
    <row r="89" spans="1:10">
      <c r="A89" s="2"/>
      <c r="B89"/>
      <c r="C89"/>
      <c r="D89"/>
      <c r="E89"/>
      <c r="F89" s="3"/>
      <c r="G89" s="15"/>
      <c r="H89" s="3"/>
      <c r="I89" s="4"/>
      <c r="J89" s="4"/>
      <c r="K89"/>
      <c r="L89"/>
    </row>
    <row r="90" spans="1:10">
      <c r="A90" s="2"/>
      <c r="B90"/>
      <c r="C90"/>
      <c r="D90"/>
      <c r="E90"/>
      <c r="F90" s="3"/>
      <c r="G90" s="15"/>
      <c r="H90" s="3"/>
      <c r="I90" s="4"/>
      <c r="J90" s="4"/>
      <c r="K90"/>
      <c r="L90"/>
    </row>
    <row r="91" spans="1:10">
      <c r="A91" s="2"/>
      <c r="B91"/>
      <c r="C91"/>
      <c r="D91"/>
      <c r="E91"/>
      <c r="F91" s="3"/>
      <c r="G91" s="15"/>
      <c r="H91" s="3"/>
      <c r="I91" s="4"/>
      <c r="J91" s="4"/>
      <c r="K91"/>
      <c r="L91"/>
    </row>
    <row r="92" spans="1:10">
      <c r="A92" s="2"/>
      <c r="B92"/>
      <c r="C92"/>
      <c r="D92"/>
      <c r="E92"/>
      <c r="F92" s="3"/>
      <c r="G92" s="15"/>
      <c r="H92" s="3"/>
      <c r="I92" s="4"/>
      <c r="J92" s="4"/>
      <c r="K92"/>
      <c r="L92"/>
    </row>
    <row r="93" spans="1:10">
      <c r="A93" s="2"/>
      <c r="B93"/>
      <c r="C93"/>
      <c r="D93"/>
      <c r="E93"/>
      <c r="F93" s="3"/>
      <c r="G93" s="15"/>
      <c r="H93" s="3"/>
      <c r="I93" s="4"/>
      <c r="J93" s="4"/>
      <c r="K93"/>
      <c r="L93"/>
    </row>
    <row r="94" spans="1:10">
      <c r="A94" s="2"/>
      <c r="B94"/>
      <c r="C94"/>
      <c r="D94"/>
      <c r="E94"/>
      <c r="F94" s="3"/>
      <c r="G94" s="15"/>
      <c r="H94" s="3"/>
      <c r="I94" s="4"/>
      <c r="J94" s="4"/>
      <c r="K94"/>
      <c r="L94"/>
    </row>
    <row r="95" spans="1:10">
      <c r="A95" s="2"/>
      <c r="B95"/>
      <c r="C95"/>
      <c r="D95"/>
      <c r="E95"/>
      <c r="F95" s="3"/>
      <c r="G95" s="15"/>
      <c r="H95" s="3"/>
      <c r="I95" s="4"/>
      <c r="J95" s="4"/>
      <c r="K95"/>
      <c r="L95"/>
    </row>
    <row r="96" spans="1:10">
      <c r="A96" s="2"/>
      <c r="B96"/>
      <c r="C96"/>
      <c r="D96"/>
      <c r="E96"/>
      <c r="F96" s="3"/>
      <c r="G96" s="15"/>
      <c r="H96" s="3"/>
      <c r="I96" s="4"/>
      <c r="J96" s="4"/>
      <c r="K96"/>
      <c r="L96"/>
    </row>
    <row r="97" spans="1:10">
      <c r="A97" s="2"/>
      <c r="B97"/>
      <c r="C97"/>
      <c r="D97"/>
      <c r="E97"/>
      <c r="F97" s="3"/>
      <c r="G97" s="15"/>
      <c r="H97" s="3"/>
      <c r="I97" s="4"/>
      <c r="J97" s="4"/>
      <c r="K97"/>
      <c r="L97"/>
    </row>
    <row r="98" spans="1:10">
      <c r="A98" s="2"/>
      <c r="B98"/>
      <c r="C98"/>
      <c r="D98"/>
      <c r="E98"/>
      <c r="F98" s="3"/>
      <c r="G98" s="15"/>
      <c r="H98" s="3"/>
      <c r="I98" s="4"/>
      <c r="J98" s="4"/>
      <c r="K98"/>
      <c r="L98"/>
    </row>
    <row r="99" spans="1:10">
      <c r="A99" s="2"/>
      <c r="B99"/>
      <c r="C99"/>
      <c r="D99"/>
      <c r="E99"/>
      <c r="F99" s="3"/>
      <c r="G99" s="15"/>
      <c r="H99" s="3"/>
      <c r="I99" s="4"/>
      <c r="J99" s="4"/>
      <c r="K99"/>
      <c r="L99"/>
    </row>
    <row r="100" spans="1:10">
      <c r="A100" s="2"/>
      <c r="B100"/>
      <c r="C100"/>
      <c r="D100"/>
      <c r="E100"/>
      <c r="F100" s="3"/>
      <c r="G100" s="15"/>
      <c r="H100" s="3"/>
      <c r="I100" s="4"/>
      <c r="J100" s="4"/>
      <c r="K100"/>
      <c r="L100"/>
    </row>
    <row r="101" spans="1:10">
      <c r="A101" s="2"/>
      <c r="B101"/>
      <c r="C101"/>
      <c r="D101"/>
      <c r="E101"/>
      <c r="F101" s="3"/>
      <c r="G101" s="15"/>
      <c r="H101" s="3"/>
      <c r="I101" s="4"/>
      <c r="J101" s="4"/>
      <c r="K101"/>
      <c r="L101"/>
    </row>
    <row r="102" spans="1:10">
      <c r="A102" s="2"/>
      <c r="B102"/>
      <c r="C102"/>
      <c r="D102"/>
      <c r="E102"/>
      <c r="F102" s="3"/>
      <c r="G102" s="15"/>
      <c r="H102" s="3"/>
      <c r="I102" s="4"/>
      <c r="J102" s="4"/>
      <c r="K102"/>
      <c r="L102"/>
    </row>
    <row r="103" spans="1:10">
      <c r="A103" s="2"/>
      <c r="B103"/>
      <c r="C103"/>
      <c r="D103"/>
      <c r="E103"/>
      <c r="F103" s="3"/>
      <c r="G103" s="15"/>
      <c r="H103" s="3"/>
      <c r="I103" s="4"/>
      <c r="J103" s="4"/>
      <c r="K103"/>
      <c r="L103"/>
    </row>
    <row r="104" spans="1:10">
      <c r="A104" s="2"/>
      <c r="B104"/>
      <c r="C104"/>
      <c r="D104"/>
      <c r="E104"/>
      <c r="F104" s="3"/>
      <c r="G104" s="15"/>
      <c r="H104" s="3"/>
      <c r="I104" s="4"/>
      <c r="J104" s="4"/>
      <c r="K104"/>
      <c r="L104"/>
    </row>
    <row r="105" spans="1:10">
      <c r="A105" s="2"/>
      <c r="B105"/>
      <c r="C105"/>
      <c r="D105"/>
      <c r="E105"/>
      <c r="F105" s="3"/>
      <c r="G105" s="15"/>
      <c r="H105" s="3"/>
      <c r="I105" s="4"/>
      <c r="J105" s="4"/>
      <c r="K105"/>
      <c r="L105"/>
    </row>
    <row r="106" spans="1:10">
      <c r="A106" s="2"/>
      <c r="B106"/>
      <c r="C106"/>
      <c r="D106"/>
      <c r="E106"/>
      <c r="F106" s="3"/>
      <c r="G106" s="15"/>
      <c r="H106" s="3"/>
      <c r="I106" s="4"/>
      <c r="J106" s="4"/>
      <c r="K106"/>
      <c r="L106"/>
    </row>
    <row r="107" spans="1:10">
      <c r="A107" s="2"/>
      <c r="B107"/>
      <c r="C107"/>
      <c r="D107"/>
      <c r="E107"/>
      <c r="F107" s="3"/>
      <c r="G107" s="15"/>
      <c r="H107" s="3"/>
      <c r="I107" s="4"/>
      <c r="J107" s="4"/>
      <c r="K107"/>
      <c r="L107"/>
    </row>
    <row r="108" spans="1:10">
      <c r="A108" s="2"/>
      <c r="B108"/>
      <c r="C108"/>
      <c r="D108"/>
      <c r="E108"/>
      <c r="F108" s="3"/>
      <c r="G108" s="15"/>
      <c r="H108" s="3"/>
      <c r="I108" s="4"/>
      <c r="J108" s="4"/>
      <c r="K108"/>
      <c r="L108"/>
    </row>
    <row r="109" spans="1:10">
      <c r="A109" s="2"/>
      <c r="B109"/>
      <c r="C109"/>
      <c r="D109"/>
      <c r="E109"/>
      <c r="F109" s="3"/>
      <c r="G109" s="15"/>
      <c r="H109" s="3"/>
      <c r="I109" s="4"/>
      <c r="J109" s="4"/>
      <c r="K109"/>
      <c r="L109"/>
    </row>
    <row r="110" spans="1:10">
      <c r="A110" s="2"/>
      <c r="B110"/>
      <c r="C110"/>
      <c r="D110"/>
      <c r="E110"/>
      <c r="F110" s="3"/>
      <c r="G110" s="15"/>
      <c r="H110" s="3"/>
      <c r="I110" s="4"/>
      <c r="J110" s="4"/>
      <c r="K110"/>
      <c r="L110"/>
    </row>
    <row r="111" spans="1:10">
      <c r="A111" s="2"/>
      <c r="B111"/>
      <c r="C111"/>
      <c r="D111"/>
      <c r="E111"/>
      <c r="F111" s="3"/>
      <c r="G111" s="15"/>
      <c r="H111" s="3"/>
      <c r="I111" s="4"/>
      <c r="J111" s="4"/>
      <c r="K111"/>
      <c r="L111"/>
    </row>
    <row r="112" spans="1:10">
      <c r="A112" s="2"/>
      <c r="B112"/>
      <c r="C112"/>
      <c r="D112"/>
      <c r="E112"/>
      <c r="F112" s="3"/>
      <c r="G112" s="15"/>
      <c r="H112" s="3"/>
      <c r="I112" s="4"/>
      <c r="J112" s="4"/>
      <c r="K112"/>
      <c r="L112"/>
    </row>
    <row r="113" spans="1:10">
      <c r="A113" s="2"/>
      <c r="B113"/>
      <c r="C113"/>
      <c r="D113"/>
      <c r="E113"/>
      <c r="F113" s="3"/>
      <c r="G113" s="15"/>
      <c r="H113" s="3"/>
      <c r="I113" s="4"/>
      <c r="J113" s="4"/>
      <c r="K113"/>
      <c r="L113"/>
    </row>
    <row r="114" spans="1:10">
      <c r="A114" s="2"/>
      <c r="B114"/>
      <c r="C114"/>
      <c r="D114"/>
      <c r="E114"/>
      <c r="F114" s="3"/>
      <c r="G114" s="15"/>
      <c r="H114" s="3"/>
      <c r="I114" s="4"/>
      <c r="J114" s="4"/>
      <c r="K114"/>
      <c r="L114"/>
    </row>
    <row r="115" spans="1:10">
      <c r="A115" s="2"/>
      <c r="B115"/>
      <c r="C115"/>
      <c r="D115"/>
      <c r="E115"/>
      <c r="F115" s="3"/>
      <c r="G115" s="15"/>
      <c r="H115" s="3"/>
      <c r="I115" s="4"/>
      <c r="J115" s="4"/>
      <c r="K115"/>
      <c r="L115"/>
    </row>
    <row r="116" spans="1:10">
      <c r="A116" s="2"/>
      <c r="B116"/>
      <c r="C116"/>
      <c r="D116"/>
      <c r="E116"/>
      <c r="F116" s="3"/>
      <c r="G116" s="15"/>
      <c r="H116" s="3"/>
      <c r="I116" s="4"/>
      <c r="J116" s="4"/>
      <c r="K116"/>
      <c r="L116"/>
    </row>
    <row r="117" spans="1:10">
      <c r="A117" s="2"/>
      <c r="B117"/>
      <c r="C117"/>
      <c r="D117"/>
      <c r="E117"/>
      <c r="F117" s="3"/>
      <c r="G117" s="15"/>
      <c r="H117" s="3"/>
      <c r="I117" s="4"/>
      <c r="J117" s="4"/>
      <c r="K117"/>
      <c r="L117"/>
    </row>
    <row r="118" spans="1:10">
      <c r="A118" s="2"/>
      <c r="B118"/>
      <c r="C118"/>
      <c r="D118"/>
      <c r="E118"/>
      <c r="F118" s="3"/>
      <c r="G118" s="15"/>
      <c r="H118" s="3"/>
      <c r="I118" s="4"/>
      <c r="J118" s="4"/>
      <c r="K118"/>
      <c r="L118"/>
    </row>
    <row r="119" spans="1:10">
      <c r="A119" s="2"/>
      <c r="B119"/>
      <c r="C119"/>
      <c r="D119"/>
      <c r="E119"/>
      <c r="F119" s="3"/>
      <c r="G119" s="15"/>
      <c r="H119" s="3"/>
      <c r="I119" s="4"/>
      <c r="J119" s="4"/>
      <c r="K119"/>
      <c r="L119"/>
    </row>
    <row r="120" spans="1:10">
      <c r="A120" s="2"/>
      <c r="B120"/>
      <c r="C120"/>
      <c r="D120"/>
      <c r="E120"/>
      <c r="F120" s="3"/>
      <c r="G120" s="15"/>
      <c r="H120" s="3"/>
      <c r="I120" s="4"/>
      <c r="J120" s="4"/>
      <c r="K120"/>
      <c r="L120"/>
    </row>
    <row r="121" spans="1:10">
      <c r="A121" s="2"/>
      <c r="B121"/>
      <c r="C121"/>
      <c r="D121"/>
      <c r="E121"/>
      <c r="F121" s="3"/>
      <c r="G121" s="15"/>
      <c r="H121" s="3"/>
      <c r="I121" s="4"/>
      <c r="J121" s="4"/>
      <c r="K121"/>
      <c r="L121"/>
    </row>
    <row r="122" spans="1:10">
      <c r="A122" s="2"/>
      <c r="B122"/>
      <c r="C122"/>
      <c r="D122"/>
      <c r="E122"/>
      <c r="F122" s="3"/>
      <c r="G122" s="15"/>
      <c r="H122" s="3"/>
      <c r="I122" s="4"/>
      <c r="J122" s="4"/>
      <c r="K122"/>
      <c r="L122"/>
    </row>
    <row r="123" spans="1:10">
      <c r="A123" s="2"/>
      <c r="B123"/>
      <c r="C123"/>
      <c r="D123"/>
      <c r="E123"/>
      <c r="F123" s="3"/>
      <c r="G123" s="15"/>
      <c r="H123" s="3"/>
      <c r="I123" s="4"/>
      <c r="J123" s="4"/>
      <c r="K123"/>
      <c r="L123"/>
    </row>
    <row r="124" spans="1:10">
      <c r="A124" s="2"/>
      <c r="B124"/>
      <c r="C124"/>
      <c r="D124"/>
      <c r="E124"/>
      <c r="F124" s="3"/>
      <c r="G124" s="15"/>
      <c r="H124" s="3"/>
      <c r="I124" s="4"/>
      <c r="J124" s="4"/>
      <c r="K124"/>
      <c r="L124"/>
    </row>
    <row r="125" spans="1:10">
      <c r="A125" s="2"/>
      <c r="B125"/>
      <c r="C125"/>
      <c r="D125"/>
      <c r="E125"/>
      <c r="F125" s="3"/>
      <c r="G125" s="15"/>
      <c r="H125" s="3"/>
      <c r="I125" s="4"/>
      <c r="J125" s="4"/>
      <c r="K125"/>
      <c r="L125"/>
    </row>
    <row r="126" spans="1:10">
      <c r="A126" s="2"/>
      <c r="B126"/>
      <c r="C126"/>
      <c r="D126"/>
      <c r="E126"/>
      <c r="F126" s="3"/>
      <c r="G126" s="15"/>
      <c r="H126" s="3"/>
      <c r="I126" s="4"/>
      <c r="J126" s="4"/>
      <c r="K126"/>
      <c r="L126"/>
    </row>
    <row r="127" spans="1:10">
      <c r="A127" s="2"/>
      <c r="B127"/>
      <c r="C127"/>
      <c r="D127"/>
      <c r="E127"/>
      <c r="F127" s="3"/>
      <c r="G127" s="15"/>
      <c r="H127" s="3"/>
      <c r="I127" s="4"/>
      <c r="J127" s="4"/>
      <c r="K127"/>
      <c r="L127"/>
    </row>
    <row r="128" spans="1:10">
      <c r="A128" s="2"/>
      <c r="B128"/>
      <c r="C128"/>
      <c r="D128"/>
      <c r="E128"/>
      <c r="F128" s="3"/>
      <c r="G128" s="15"/>
      <c r="H128" s="3"/>
      <c r="I128" s="4"/>
      <c r="J128" s="4"/>
      <c r="K128"/>
      <c r="L128"/>
    </row>
    <row r="129" spans="1:10">
      <c r="A129" s="2"/>
      <c r="B129"/>
      <c r="C129"/>
      <c r="D129"/>
      <c r="E129"/>
      <c r="F129" s="3"/>
      <c r="G129" s="15"/>
      <c r="H129" s="3"/>
      <c r="I129" s="4"/>
      <c r="J129" s="4"/>
      <c r="K129"/>
      <c r="L129"/>
    </row>
    <row r="130" spans="1:10">
      <c r="A130" s="2"/>
      <c r="B130"/>
      <c r="C130"/>
      <c r="D130"/>
      <c r="E130"/>
      <c r="F130" s="3"/>
      <c r="G130" s="15"/>
      <c r="H130" s="3"/>
      <c r="I130" s="4"/>
      <c r="J130" s="4"/>
      <c r="K130"/>
      <c r="L130"/>
    </row>
    <row r="131" spans="1:10">
      <c r="A131" s="2"/>
      <c r="B131"/>
      <c r="C131"/>
      <c r="D131"/>
      <c r="E131"/>
      <c r="F131" s="3"/>
      <c r="G131" s="15"/>
      <c r="H131" s="3"/>
      <c r="I131" s="4"/>
      <c r="J131" s="4"/>
      <c r="K131"/>
      <c r="L131"/>
    </row>
    <row r="132" spans="1:10">
      <c r="A132" s="2"/>
      <c r="B132"/>
      <c r="C132"/>
      <c r="D132"/>
      <c r="E132"/>
      <c r="F132" s="3"/>
      <c r="G132" s="15"/>
      <c r="H132" s="3"/>
      <c r="I132" s="4"/>
      <c r="J132" s="4"/>
      <c r="K132"/>
      <c r="L132"/>
    </row>
    <row r="133" spans="1:10">
      <c r="A133" s="2"/>
      <c r="B133"/>
      <c r="C133"/>
      <c r="D133"/>
      <c r="E133"/>
      <c r="F133" s="3"/>
      <c r="G133" s="15"/>
      <c r="H133" s="3"/>
      <c r="I133" s="4"/>
      <c r="J133" s="4"/>
      <c r="K133"/>
      <c r="L133"/>
    </row>
    <row r="134" spans="1:10">
      <c r="A134" s="2"/>
      <c r="B134"/>
      <c r="C134"/>
      <c r="D134"/>
      <c r="E134"/>
      <c r="F134" s="3"/>
      <c r="G134" s="15"/>
      <c r="H134" s="3"/>
      <c r="I134" s="4"/>
      <c r="J134" s="4"/>
      <c r="K134"/>
      <c r="L134"/>
    </row>
    <row r="135" spans="1:10">
      <c r="A135" s="2"/>
      <c r="B135"/>
      <c r="C135"/>
      <c r="D135"/>
      <c r="E135"/>
      <c r="F135" s="3"/>
      <c r="G135" s="15"/>
      <c r="H135" s="3"/>
      <c r="I135" s="4"/>
      <c r="J135" s="4"/>
      <c r="K135"/>
      <c r="L135"/>
    </row>
    <row r="136" spans="1:10">
      <c r="A136" s="2"/>
      <c r="B136"/>
      <c r="C136"/>
      <c r="D136"/>
      <c r="E136"/>
      <c r="F136" s="3"/>
      <c r="G136" s="15"/>
      <c r="H136" s="3"/>
      <c r="I136" s="4"/>
      <c r="J136" s="4"/>
      <c r="K136"/>
      <c r="L136"/>
    </row>
    <row r="137" spans="1:10">
      <c r="A137" s="2"/>
      <c r="B137"/>
      <c r="C137"/>
      <c r="D137"/>
      <c r="E137"/>
      <c r="F137" s="3"/>
      <c r="G137" s="15"/>
      <c r="H137" s="3"/>
      <c r="I137" s="4"/>
      <c r="J137" s="4"/>
      <c r="K137"/>
      <c r="L137"/>
    </row>
    <row r="138" spans="1:10">
      <c r="A138" s="2"/>
      <c r="B138"/>
      <c r="C138"/>
      <c r="D138"/>
      <c r="E138"/>
      <c r="F138" s="3"/>
      <c r="G138" s="15"/>
      <c r="H138" s="3"/>
      <c r="I138" s="4"/>
      <c r="J138" s="4"/>
      <c r="K138"/>
      <c r="L138"/>
    </row>
    <row r="139" spans="1:10">
      <c r="A139" s="2"/>
      <c r="B139"/>
      <c r="C139"/>
      <c r="D139"/>
      <c r="E139"/>
      <c r="F139" s="3"/>
      <c r="G139" s="15"/>
      <c r="H139" s="3"/>
      <c r="I139" s="4"/>
      <c r="J139" s="4"/>
      <c r="K139"/>
      <c r="L139"/>
    </row>
    <row r="140" spans="1:10">
      <c r="A140" s="2"/>
      <c r="B140"/>
      <c r="C140"/>
      <c r="D140"/>
      <c r="E140"/>
      <c r="F140" s="3"/>
      <c r="G140" s="15"/>
      <c r="H140" s="3"/>
      <c r="I140" s="4"/>
      <c r="J140" s="4"/>
      <c r="K140"/>
      <c r="L140"/>
    </row>
    <row r="141" spans="1:10">
      <c r="A141" s="2"/>
      <c r="B141"/>
      <c r="C141"/>
      <c r="D141"/>
      <c r="E141"/>
      <c r="F141" s="3"/>
      <c r="G141" s="15"/>
      <c r="H141" s="3"/>
      <c r="I141" s="4"/>
      <c r="J141" s="4"/>
      <c r="K141"/>
      <c r="L141"/>
    </row>
    <row r="142" spans="1:10">
      <c r="A142" s="2"/>
      <c r="B142"/>
      <c r="C142"/>
      <c r="D142"/>
      <c r="E142"/>
      <c r="F142" s="3"/>
      <c r="G142" s="15"/>
      <c r="H142" s="3"/>
      <c r="I142" s="4"/>
      <c r="J142" s="4"/>
      <c r="K142"/>
      <c r="L142"/>
    </row>
    <row r="143" spans="1:10">
      <c r="A143" s="2"/>
      <c r="B143"/>
      <c r="C143"/>
      <c r="D143"/>
      <c r="E143"/>
      <c r="F143" s="3"/>
      <c r="G143" s="15"/>
      <c r="H143" s="3"/>
      <c r="I143" s="4"/>
      <c r="J143" s="4"/>
      <c r="K143"/>
      <c r="L143"/>
    </row>
    <row r="144" spans="1:10">
      <c r="A144" s="2"/>
      <c r="B144"/>
      <c r="C144"/>
      <c r="D144"/>
      <c r="E144"/>
      <c r="F144" s="3"/>
      <c r="G144" s="15"/>
      <c r="H144" s="3"/>
      <c r="I144" s="4"/>
      <c r="J144" s="4"/>
      <c r="K144"/>
      <c r="L144"/>
    </row>
    <row r="145" spans="1:10">
      <c r="A145" s="2"/>
      <c r="B145"/>
      <c r="C145"/>
      <c r="D145"/>
      <c r="E145"/>
      <c r="F145" s="3"/>
      <c r="G145" s="15"/>
      <c r="H145" s="3"/>
      <c r="I145" s="4"/>
      <c r="J145" s="4"/>
      <c r="K145"/>
      <c r="L145"/>
    </row>
    <row r="146" spans="1:10">
      <c r="A146" s="2"/>
      <c r="B146"/>
      <c r="C146"/>
      <c r="D146"/>
      <c r="E146"/>
      <c r="F146" s="3"/>
      <c r="G146" s="15"/>
      <c r="H146" s="3"/>
      <c r="I146" s="4"/>
      <c r="J146" s="4"/>
      <c r="K146"/>
      <c r="L146"/>
    </row>
    <row r="147" spans="1:10">
      <c r="A147" s="2"/>
      <c r="B147"/>
      <c r="C147"/>
      <c r="D147"/>
      <c r="E147"/>
      <c r="F147" s="3"/>
      <c r="G147" s="15"/>
      <c r="H147" s="3"/>
      <c r="I147" s="4"/>
      <c r="J147" s="4"/>
      <c r="K147"/>
      <c r="L147"/>
    </row>
    <row r="148" spans="1:10">
      <c r="A148" s="2"/>
      <c r="B148"/>
      <c r="C148"/>
      <c r="D148"/>
      <c r="E148"/>
      <c r="F148" s="3"/>
      <c r="G148" s="15"/>
      <c r="H148" s="3"/>
      <c r="I148" s="4"/>
      <c r="J148" s="4"/>
      <c r="K148"/>
      <c r="L148"/>
    </row>
    <row r="149" spans="1:10">
      <c r="A149" s="2"/>
      <c r="B149"/>
      <c r="C149"/>
      <c r="D149"/>
      <c r="E149"/>
      <c r="F149" s="3"/>
      <c r="G149" s="15"/>
      <c r="H149" s="3"/>
      <c r="I149" s="4"/>
      <c r="J149" s="4"/>
      <c r="K149"/>
      <c r="L149"/>
    </row>
    <row r="150" spans="1:10">
      <c r="A150" s="2"/>
      <c r="B150"/>
      <c r="C150"/>
      <c r="D150"/>
      <c r="E150"/>
      <c r="F150" s="3"/>
      <c r="G150" s="15"/>
      <c r="H150" s="3"/>
      <c r="I150" s="4"/>
      <c r="J150" s="4"/>
      <c r="K150"/>
      <c r="L150"/>
    </row>
    <row r="151" spans="1:10">
      <c r="A151" s="2"/>
      <c r="B151"/>
      <c r="C151"/>
      <c r="D151"/>
      <c r="E151"/>
      <c r="F151" s="3"/>
      <c r="G151" s="15"/>
      <c r="H151" s="3"/>
      <c r="I151" s="4"/>
      <c r="J151" s="4"/>
      <c r="K151"/>
      <c r="L151"/>
    </row>
    <row r="152" spans="1:10">
      <c r="A152" s="2"/>
      <c r="B152"/>
      <c r="C152"/>
      <c r="D152"/>
      <c r="E152"/>
      <c r="F152" s="3"/>
      <c r="G152" s="15"/>
      <c r="H152" s="3"/>
      <c r="I152" s="4"/>
      <c r="J152" s="4"/>
      <c r="K152"/>
      <c r="L152"/>
    </row>
    <row r="153" spans="1:10">
      <c r="A153" s="2"/>
      <c r="B153"/>
      <c r="C153"/>
      <c r="D153"/>
      <c r="E153"/>
      <c r="F153" s="3"/>
      <c r="G153" s="15"/>
      <c r="H153" s="3"/>
      <c r="I153" s="4"/>
      <c r="J153" s="4"/>
      <c r="K153"/>
      <c r="L153"/>
    </row>
    <row r="154" spans="1:10">
      <c r="A154" s="2"/>
      <c r="B154"/>
      <c r="C154"/>
      <c r="D154"/>
      <c r="E154"/>
      <c r="F154" s="3"/>
      <c r="G154" s="15"/>
      <c r="H154" s="3"/>
      <c r="I154" s="4"/>
      <c r="J154" s="4"/>
      <c r="K154"/>
      <c r="L154"/>
    </row>
    <row r="155" spans="1:10">
      <c r="A155" s="2"/>
      <c r="B155"/>
      <c r="C155"/>
      <c r="D155"/>
      <c r="E155"/>
      <c r="F155" s="3"/>
      <c r="G155" s="15"/>
      <c r="H155" s="3"/>
      <c r="I155" s="4"/>
      <c r="J155" s="4"/>
      <c r="K155"/>
      <c r="L155"/>
    </row>
    <row r="156" spans="1:10">
      <c r="A156" s="2"/>
      <c r="B156"/>
      <c r="C156"/>
      <c r="D156"/>
      <c r="E156"/>
      <c r="F156" s="3"/>
      <c r="G156" s="15"/>
      <c r="H156" s="3"/>
      <c r="I156" s="4"/>
      <c r="J156" s="4"/>
      <c r="K156"/>
      <c r="L156"/>
    </row>
    <row r="157" spans="1:10">
      <c r="A157" s="2"/>
      <c r="B157"/>
      <c r="C157"/>
      <c r="D157"/>
      <c r="E157"/>
      <c r="F157" s="3"/>
      <c r="G157" s="15"/>
      <c r="H157" s="3"/>
      <c r="I157" s="4"/>
      <c r="J157" s="4"/>
      <c r="K157"/>
      <c r="L157"/>
    </row>
    <row r="158" spans="1:10">
      <c r="A158" s="2"/>
      <c r="B158"/>
      <c r="C158"/>
      <c r="D158"/>
      <c r="E158"/>
      <c r="F158" s="3"/>
      <c r="G158" s="15"/>
      <c r="H158" s="3"/>
      <c r="I158" s="4"/>
      <c r="J158" s="4"/>
      <c r="K158"/>
      <c r="L158"/>
    </row>
    <row r="159" spans="1:10">
      <c r="A159" s="2"/>
      <c r="B159"/>
      <c r="C159"/>
      <c r="D159"/>
      <c r="E159"/>
      <c r="F159" s="3"/>
      <c r="G159" s="15"/>
      <c r="H159" s="3"/>
      <c r="I159" s="4"/>
      <c r="J159" s="4"/>
      <c r="K159"/>
      <c r="L159"/>
    </row>
    <row r="160" spans="1:10">
      <c r="A160" s="2"/>
      <c r="B160"/>
      <c r="C160"/>
      <c r="D160"/>
      <c r="E160"/>
      <c r="F160" s="3"/>
      <c r="G160" s="15"/>
      <c r="H160" s="3"/>
      <c r="I160" s="4"/>
      <c r="J160" s="4"/>
      <c r="K160"/>
      <c r="L160"/>
    </row>
    <row r="161" spans="1:10">
      <c r="A161" s="2"/>
      <c r="B161"/>
      <c r="C161"/>
      <c r="D161"/>
      <c r="E161"/>
      <c r="F161" s="3"/>
      <c r="G161" s="15"/>
      <c r="H161" s="3"/>
      <c r="I161" s="4"/>
      <c r="J161" s="4"/>
      <c r="K161"/>
      <c r="L161"/>
    </row>
    <row r="162" spans="1:10">
      <c r="A162" s="2"/>
      <c r="B162"/>
      <c r="C162"/>
      <c r="D162"/>
      <c r="E162"/>
      <c r="F162" s="3"/>
      <c r="G162" s="15"/>
      <c r="H162" s="3"/>
      <c r="I162" s="4"/>
      <c r="J162" s="4"/>
      <c r="K162"/>
      <c r="L162"/>
    </row>
    <row r="163" spans="1:10">
      <c r="A163" s="2"/>
      <c r="B163"/>
      <c r="C163"/>
      <c r="D163"/>
      <c r="E163"/>
      <c r="F163" s="3"/>
      <c r="G163" s="15"/>
      <c r="H163" s="3"/>
      <c r="I163" s="4"/>
      <c r="J163" s="4"/>
      <c r="K163"/>
      <c r="L163"/>
    </row>
    <row r="164" spans="1:10">
      <c r="A164" s="2"/>
      <c r="B164"/>
      <c r="C164"/>
      <c r="D164"/>
      <c r="E164"/>
      <c r="F164" s="3"/>
      <c r="G164" s="15"/>
      <c r="H164" s="3"/>
      <c r="I164" s="4"/>
      <c r="J164" s="4"/>
      <c r="K164"/>
      <c r="L164"/>
    </row>
    <row r="165" spans="1:10">
      <c r="A165" s="2"/>
      <c r="B165"/>
      <c r="C165"/>
      <c r="D165"/>
      <c r="E165"/>
      <c r="F165" s="3"/>
      <c r="G165" s="15"/>
      <c r="H165" s="3"/>
      <c r="I165" s="4"/>
      <c r="J165" s="4"/>
      <c r="K165"/>
      <c r="L165"/>
    </row>
    <row r="166" spans="1:10">
      <c r="A166" s="2"/>
      <c r="B166"/>
      <c r="C166"/>
      <c r="D166"/>
      <c r="E166"/>
      <c r="F166" s="3"/>
      <c r="G166" s="15"/>
      <c r="H166" s="3"/>
      <c r="I166" s="4"/>
      <c r="J166" s="4"/>
      <c r="K166"/>
      <c r="L166"/>
    </row>
    <row r="167" spans="1:10">
      <c r="A167" s="2"/>
      <c r="B167"/>
      <c r="C167"/>
      <c r="D167"/>
      <c r="E167"/>
      <c r="F167" s="3"/>
      <c r="G167" s="15"/>
      <c r="H167" s="3"/>
      <c r="I167" s="4"/>
      <c r="J167" s="4"/>
      <c r="K167"/>
      <c r="L167"/>
    </row>
    <row r="168" spans="1:10">
      <c r="A168" s="2"/>
      <c r="B168"/>
      <c r="C168"/>
      <c r="D168"/>
      <c r="E168"/>
      <c r="F168" s="3"/>
      <c r="G168" s="15"/>
      <c r="H168" s="3"/>
      <c r="I168" s="4"/>
      <c r="J168" s="4"/>
      <c r="K168"/>
      <c r="L168"/>
    </row>
    <row r="169" spans="1:10">
      <c r="A169" s="2"/>
      <c r="B169"/>
      <c r="C169"/>
      <c r="D169"/>
      <c r="E169"/>
      <c r="F169" s="3"/>
      <c r="G169" s="15"/>
      <c r="H169" s="3"/>
      <c r="I169" s="4"/>
      <c r="J169" s="4"/>
      <c r="K169"/>
      <c r="L169"/>
    </row>
    <row r="170" spans="1:10">
      <c r="A170" s="2"/>
      <c r="B170"/>
      <c r="C170"/>
      <c r="D170"/>
      <c r="E170"/>
      <c r="F170" s="3"/>
      <c r="G170" s="15"/>
      <c r="H170" s="3"/>
      <c r="I170" s="4"/>
      <c r="J170" s="4"/>
      <c r="K170"/>
      <c r="L170"/>
    </row>
    <row r="171" spans="1:10">
      <c r="A171" s="2"/>
      <c r="B171"/>
      <c r="C171"/>
      <c r="D171"/>
      <c r="E171"/>
      <c r="F171" s="3"/>
      <c r="G171" s="15"/>
      <c r="H171" s="3"/>
      <c r="I171" s="4"/>
      <c r="J171" s="4"/>
      <c r="K171"/>
      <c r="L171"/>
    </row>
    <row r="172" spans="1:10">
      <c r="A172" s="2"/>
      <c r="B172"/>
      <c r="C172"/>
      <c r="D172"/>
      <c r="E172"/>
      <c r="F172" s="3"/>
      <c r="G172" s="15"/>
      <c r="H172" s="3"/>
      <c r="I172" s="4"/>
      <c r="J172" s="4"/>
      <c r="K172"/>
      <c r="L172"/>
    </row>
    <row r="173" spans="1:10">
      <c r="A173" s="2"/>
      <c r="B173"/>
      <c r="C173"/>
      <c r="D173"/>
      <c r="E173"/>
      <c r="F173" s="3"/>
      <c r="G173" s="15"/>
      <c r="H173" s="3"/>
      <c r="I173" s="4"/>
      <c r="J173" s="4"/>
      <c r="K173"/>
      <c r="L173"/>
    </row>
    <row r="174" spans="1:10">
      <c r="A174" s="2"/>
      <c r="B174"/>
      <c r="C174"/>
      <c r="D174"/>
      <c r="E174"/>
      <c r="F174" s="3"/>
      <c r="G174" s="15"/>
      <c r="H174" s="3"/>
      <c r="I174" s="4"/>
      <c r="J174" s="4"/>
      <c r="K174"/>
      <c r="L174"/>
    </row>
    <row r="175" spans="1:10">
      <c r="A175" s="2"/>
      <c r="B175"/>
      <c r="C175"/>
      <c r="D175"/>
      <c r="E175"/>
      <c r="F175" s="3"/>
      <c r="G175" s="15"/>
      <c r="H175" s="3"/>
      <c r="I175" s="4"/>
      <c r="J175" s="4"/>
      <c r="K175"/>
      <c r="L175"/>
    </row>
    <row r="176" spans="1:10">
      <c r="A176" s="2"/>
      <c r="B176"/>
      <c r="C176"/>
      <c r="D176"/>
      <c r="E176"/>
      <c r="F176" s="3"/>
      <c r="G176" s="15"/>
      <c r="H176" s="3"/>
      <c r="I176" s="4"/>
      <c r="J176" s="4"/>
      <c r="K176"/>
      <c r="L176"/>
    </row>
    <row r="177" spans="1:10">
      <c r="A177" s="2"/>
      <c r="B177"/>
      <c r="C177"/>
      <c r="D177"/>
      <c r="E177"/>
      <c r="F177" s="3"/>
      <c r="G177" s="15"/>
      <c r="H177" s="3"/>
      <c r="I177" s="4"/>
      <c r="J177" s="4"/>
      <c r="K177"/>
      <c r="L177"/>
    </row>
    <row r="178" spans="1:10">
      <c r="A178" s="2"/>
      <c r="B178"/>
      <c r="C178"/>
      <c r="D178"/>
      <c r="E178"/>
      <c r="F178" s="3"/>
      <c r="G178" s="15"/>
      <c r="H178" s="3"/>
      <c r="I178" s="4"/>
      <c r="J178" s="4"/>
      <c r="K178"/>
      <c r="L178"/>
    </row>
    <row r="179" spans="1:10">
      <c r="A179" s="2"/>
      <c r="B179"/>
      <c r="C179"/>
      <c r="D179"/>
      <c r="E179"/>
      <c r="F179" s="3"/>
      <c r="G179" s="15"/>
      <c r="H179" s="3"/>
      <c r="I179" s="4"/>
      <c r="J179" s="4"/>
      <c r="K179"/>
      <c r="L179"/>
    </row>
    <row r="180" spans="1:10">
      <c r="A180" s="2"/>
      <c r="B180"/>
      <c r="C180"/>
      <c r="D180"/>
      <c r="E180"/>
      <c r="F180" s="3"/>
      <c r="G180" s="15"/>
      <c r="H180" s="3"/>
      <c r="I180" s="4"/>
      <c r="J180" s="4"/>
      <c r="K180"/>
      <c r="L180"/>
    </row>
    <row r="181" spans="1:10">
      <c r="A181" s="2"/>
      <c r="B181"/>
      <c r="C181"/>
      <c r="D181"/>
      <c r="E181"/>
      <c r="F181" s="3"/>
      <c r="G181" s="15"/>
      <c r="H181" s="3"/>
      <c r="I181" s="4"/>
      <c r="J181" s="4"/>
      <c r="K181"/>
      <c r="L181"/>
    </row>
    <row r="182" spans="1:10">
      <c r="A182" s="2"/>
      <c r="B182"/>
      <c r="C182"/>
      <c r="D182"/>
      <c r="E182"/>
      <c r="F182" s="3"/>
      <c r="G182" s="15"/>
      <c r="H182" s="3"/>
      <c r="I182" s="4"/>
      <c r="J182" s="4"/>
      <c r="K182"/>
      <c r="L182"/>
    </row>
    <row r="183" spans="1:10">
      <c r="A183" s="2"/>
      <c r="B183"/>
      <c r="C183"/>
      <c r="D183"/>
      <c r="E183"/>
      <c r="F183" s="3"/>
      <c r="G183" s="15"/>
      <c r="H183" s="3"/>
      <c r="I183" s="4"/>
      <c r="J183" s="4"/>
      <c r="K183"/>
      <c r="L183"/>
    </row>
    <row r="184" spans="1:10">
      <c r="A184" s="2"/>
      <c r="B184"/>
      <c r="C184"/>
      <c r="D184"/>
      <c r="E184"/>
      <c r="F184" s="3"/>
      <c r="G184" s="15"/>
      <c r="H184" s="3"/>
      <c r="I184" s="4"/>
      <c r="J184" s="4"/>
      <c r="K184"/>
      <c r="L184"/>
    </row>
    <row r="185" spans="1:10">
      <c r="A185" s="2"/>
      <c r="B185"/>
      <c r="C185"/>
      <c r="D185"/>
      <c r="E185"/>
      <c r="F185" s="3"/>
      <c r="G185" s="15"/>
      <c r="H185" s="3"/>
      <c r="I185" s="4"/>
      <c r="J185" s="4"/>
      <c r="K185"/>
      <c r="L185"/>
    </row>
    <row r="186" spans="1:10">
      <c r="A186" s="2"/>
      <c r="B186"/>
      <c r="C186"/>
      <c r="D186"/>
      <c r="E186"/>
      <c r="F186" s="3"/>
      <c r="G186" s="15"/>
      <c r="H186" s="3"/>
      <c r="I186" s="4"/>
      <c r="J186" s="4"/>
      <c r="K186"/>
      <c r="L186"/>
    </row>
    <row r="187" spans="1:10">
      <c r="A187" s="2"/>
      <c r="B187"/>
      <c r="C187"/>
      <c r="D187"/>
      <c r="E187"/>
      <c r="F187" s="3"/>
      <c r="G187" s="15"/>
      <c r="H187" s="3"/>
      <c r="I187" s="4"/>
      <c r="J187" s="4"/>
      <c r="K187"/>
      <c r="L187"/>
    </row>
    <row r="188" spans="1:10">
      <c r="A188" s="2"/>
      <c r="B188"/>
      <c r="C188"/>
      <c r="D188"/>
      <c r="E188"/>
      <c r="F188" s="3"/>
      <c r="G188" s="15"/>
      <c r="H188" s="3"/>
      <c r="I188" s="4"/>
      <c r="J188" s="4"/>
      <c r="K188"/>
      <c r="L188"/>
    </row>
    <row r="189" spans="1:10">
      <c r="A189" s="2"/>
      <c r="B189"/>
      <c r="C189"/>
      <c r="D189"/>
      <c r="E189"/>
      <c r="F189" s="3"/>
      <c r="G189" s="15"/>
      <c r="H189" s="3"/>
      <c r="I189" s="4"/>
      <c r="J189" s="4"/>
      <c r="K189"/>
      <c r="L189"/>
    </row>
    <row r="190" spans="1:10">
      <c r="A190" s="2"/>
      <c r="B190"/>
      <c r="C190"/>
      <c r="D190"/>
      <c r="E190"/>
      <c r="F190" s="3"/>
      <c r="G190" s="15"/>
      <c r="H190" s="3"/>
      <c r="I190" s="4"/>
      <c r="J190" s="4"/>
      <c r="K190"/>
      <c r="L190"/>
    </row>
    <row r="191" spans="1:10">
      <c r="A191" s="2"/>
      <c r="B191"/>
      <c r="C191"/>
      <c r="D191"/>
      <c r="E191"/>
      <c r="F191" s="3"/>
      <c r="G191" s="15"/>
      <c r="H191" s="3"/>
      <c r="I191" s="4"/>
      <c r="J191" s="4"/>
      <c r="K191"/>
      <c r="L191"/>
    </row>
    <row r="192" spans="1:10">
      <c r="A192" s="2"/>
      <c r="B192"/>
      <c r="C192"/>
      <c r="D192"/>
      <c r="E192"/>
      <c r="F192" s="3"/>
      <c r="G192" s="15"/>
      <c r="H192" s="3"/>
      <c r="I192" s="4"/>
      <c r="J192" s="4"/>
      <c r="K192"/>
      <c r="L192"/>
    </row>
    <row r="193" spans="1:10">
      <c r="A193" s="2"/>
      <c r="B193"/>
      <c r="C193"/>
      <c r="D193"/>
      <c r="E193"/>
      <c r="F193" s="3"/>
      <c r="G193" s="15"/>
      <c r="H193" s="3"/>
      <c r="I193" s="4"/>
      <c r="J193" s="4"/>
      <c r="K193"/>
      <c r="L193"/>
    </row>
    <row r="194" spans="1:10">
      <c r="A194" s="2"/>
      <c r="B194"/>
      <c r="C194"/>
      <c r="D194"/>
      <c r="E194"/>
      <c r="F194" s="3"/>
      <c r="G194" s="15"/>
      <c r="H194" s="3"/>
      <c r="I194" s="4"/>
      <c r="J194" s="4"/>
      <c r="K194"/>
      <c r="L194"/>
    </row>
    <row r="195" spans="1:10">
      <c r="A195" s="2"/>
      <c r="B195"/>
      <c r="C195"/>
      <c r="D195"/>
      <c r="E195"/>
      <c r="F195" s="3"/>
      <c r="G195" s="15"/>
      <c r="H195" s="3"/>
      <c r="I195" s="4"/>
      <c r="J195" s="4"/>
      <c r="K195"/>
      <c r="L195"/>
    </row>
    <row r="196" spans="1:10">
      <c r="A196" s="2"/>
      <c r="B196"/>
      <c r="C196"/>
      <c r="D196"/>
      <c r="E196"/>
      <c r="F196" s="3"/>
      <c r="G196" s="15"/>
      <c r="H196" s="3"/>
      <c r="I196" s="4"/>
      <c r="J196" s="4"/>
      <c r="K196"/>
      <c r="L196"/>
    </row>
    <row r="197" spans="1:10">
      <c r="A197" s="2"/>
      <c r="B197"/>
      <c r="C197"/>
      <c r="D197"/>
      <c r="E197"/>
      <c r="F197" s="3"/>
      <c r="G197" s="15"/>
      <c r="H197" s="3"/>
      <c r="I197" s="4"/>
      <c r="J197" s="4"/>
      <c r="K197"/>
      <c r="L197"/>
    </row>
    <row r="198" spans="1:10">
      <c r="A198" s="2"/>
      <c r="B198"/>
      <c r="C198"/>
      <c r="D198"/>
      <c r="E198"/>
      <c r="F198" s="3"/>
      <c r="G198" s="15"/>
      <c r="H198" s="3"/>
      <c r="I198" s="4"/>
      <c r="J198" s="4"/>
      <c r="K198"/>
      <c r="L198"/>
    </row>
    <row r="199" spans="1:10">
      <c r="A199" s="2"/>
      <c r="B199"/>
      <c r="C199"/>
      <c r="D199"/>
      <c r="E199"/>
      <c r="F199" s="3"/>
      <c r="G199" s="15"/>
      <c r="H199" s="3"/>
      <c r="I199" s="4"/>
      <c r="J199" s="4"/>
      <c r="K199"/>
      <c r="L199"/>
    </row>
    <row r="200" spans="1:10">
      <c r="A200" s="2"/>
      <c r="E200">
        <f>VLOOKUP(TablaMarimba[[#This Row],[Equipo]],Catalogos!$I$4:$J$35,2,FALSE)</f>
      </c>
      <c r="F200" s="3"/>
      <c r="G200" s="15"/>
      <c r="H200" s="3"/>
      <c r="I200" s="4">
        <v>28.3</v>
      </c>
      <c r="J200" s="4"/>
    </row>
    <row r="201" spans="1:10">
      <c r="A201" s="2"/>
      <c r="E201">
        <f>VLOOKUP(TablaMarimba[[#This Row],[Equipo]],Catalogos!$I$4:$J$35,2,FALSE)</f>
      </c>
      <c r="F201" s="3"/>
      <c r="G201" s="15"/>
      <c r="H201" s="3"/>
      <c r="I201" s="4">
        <v>28.3</v>
      </c>
      <c r="J201" s="4"/>
    </row>
    <row r="202" spans="1:10">
      <c r="A202" s="2"/>
      <c r="E202">
        <f>VLOOKUP(TablaMarimba[[#This Row],[Equipo]],Catalogos!$I$4:$J$35,2,FALSE)</f>
      </c>
      <c r="F202" s="3"/>
      <c r="G202" s="15"/>
      <c r="H202" s="3"/>
      <c r="I202" s="4">
        <v>28.3</v>
      </c>
      <c r="J202" s="4"/>
    </row>
    <row r="203" spans="1:10">
      <c r="A203" s="2"/>
      <c r="E203">
        <f>VLOOKUP(TablaMarimba[[#This Row],[Equipo]],Catalogos!$I$4:$J$35,2,FALSE)</f>
      </c>
      <c r="F203" s="3"/>
      <c r="G203" s="15"/>
      <c r="H203" s="3"/>
      <c r="I203" s="4">
        <v>28.3</v>
      </c>
      <c r="J203" s="4"/>
    </row>
    <row r="204" spans="1:10">
      <c r="A204" s="2"/>
      <c r="E204">
        <f>VLOOKUP(TablaMarimba[[#This Row],[Equipo]],Catalogos!$I$4:$J$35,2,FALSE)</f>
      </c>
      <c r="F204" s="3"/>
      <c r="G204" s="15"/>
      <c r="H204" s="3"/>
      <c r="I204" s="4">
        <v>28.3</v>
      </c>
      <c r="J204" s="4"/>
    </row>
    <row r="205" spans="1:10">
      <c r="A205" s="2"/>
      <c r="E205">
        <f>VLOOKUP(TablaMarimba[[#This Row],[Equipo]],Catalogos!$I$4:$J$35,2,FALSE)</f>
      </c>
      <c r="F205" s="3"/>
      <c r="G205" s="15"/>
      <c r="H205" s="3"/>
      <c r="I205" s="4">
        <v>28.3</v>
      </c>
      <c r="J205" s="4"/>
    </row>
    <row r="206" spans="1:10">
      <c r="A206" s="2"/>
      <c r="E206">
        <f>VLOOKUP(TablaMarimba[[#This Row],[Equipo]],Catalogos!$I$4:$J$35,2,FALSE)</f>
      </c>
      <c r="F206" s="3"/>
      <c r="G206" s="15"/>
      <c r="H206" s="3"/>
      <c r="I206" s="4">
        <v>28.3</v>
      </c>
      <c r="J206" s="4"/>
    </row>
  </sheetData>
  <mergeCells count="1">
    <mergeCell ref="A1:L1"/>
  </mergeCells>
  <dataValidations count="1">
    <dataValidation sqref="E5:E206" xr:uid="{00000000-0002-0000-0200-000002000000}"/>
    <dataValidation type="list" allowBlank="true" showInputMessage="undefined" prompt="undefined" promptTitle="undefined" showErrorMessage="undefined" error="undefined" errorTitle="undefined" operator="undefined" sqref="F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2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2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2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2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2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2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2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2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2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2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2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2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2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2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2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2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2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2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2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2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3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3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3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3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3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3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3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3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3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3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3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3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3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3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3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3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3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3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3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3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4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4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4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4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4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4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4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4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4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4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4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4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4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4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4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4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4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4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4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4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5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5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5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5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5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5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5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5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5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5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5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5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5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5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5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5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5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5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5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5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6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6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6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6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6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6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6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6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6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6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6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6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6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6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6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6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6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6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6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6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7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7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7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7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7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7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7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7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7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7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7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7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7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7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7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7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7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7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7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7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8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8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8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8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8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8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8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8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8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8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8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8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8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8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8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8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8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8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8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8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9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9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9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9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9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9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9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9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9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9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9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9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9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9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9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9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9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9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9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9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0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0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0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0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0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0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0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0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0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0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0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0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0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0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0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0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0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0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0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0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1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1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1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1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1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1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1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1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1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1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1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1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1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1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1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1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1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1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1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1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2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2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2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2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2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2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2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2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2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2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2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2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2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2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2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2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2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2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2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2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3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3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3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3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3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3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3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3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3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3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3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3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3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3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3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3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3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3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3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3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4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4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4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4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4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4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4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4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4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4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4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4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4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4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4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4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4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4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4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4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5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5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5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5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5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5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5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5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5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5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5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5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5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5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5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5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5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5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5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5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6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6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6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6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6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6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6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6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6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6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6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6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6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6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6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6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6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6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6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6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7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7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7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7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7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7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7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7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7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7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7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7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7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7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7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7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7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7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7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7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8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8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8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8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8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8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8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8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8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8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8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8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8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8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8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8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8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8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8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8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9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9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9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9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9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9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9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9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9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9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9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9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9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9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9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9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9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9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9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99">
      <formula1>Catalogos!$U$4:$U$50</formula1>
      <formula2/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errorTitle="Equipo no válido" error="undefined" promptTitle="undefined" prompt="undefined" xr:uid="{00000000-0002-0000-0300-000001000000}">
          <x14:formula1>
            <xm:f>Catalogos!$I$4:$I$46</xm:f>
          </x14:formula1>
          <xm:sqref>D5:D1000</xm:sqref>
        </x14:dataValidation>
        <x14:dataValidation type="list" allowBlank="1" showInputMessage="1" showErrorMessage="1" errorTitle="Económico no válido" error="undefined" promptTitle="undefined" prompt="undefined" xr:uid="{00000000-0002-0000-0300-000002000000}">
          <x14:formula1>
            <xm:f>Catalogos!$J$4:$J$46</xm:f>
          </x14:formula1>
          <xm:sqref>E5:E1000</xm:sqref>
        </x14:dataValidation>
        <x14:dataValidation type="list" allowBlank="1" showInputMessage="1" showErrorMessage="1" xr:uid="{3E6D9B6D-EF91-479C-AFA6-53D2BE2844F1}">
          <x14:formula1>
            <xm:f>Catalogos!$I$4:$I$43</xm:f>
          </x14:formula1>
          <xm:sqref>D5:D206</xm:sqref>
        </x14:dataValidation>
        <x14:dataValidation type="list" xr:uid="{AB1258C1-C8B9-41B2-995B-2C88F7526C4E}">
          <x14:formula1>
            <xm:f>Catalogos!$F$4:$F$15</xm:f>
          </x14:formula1>
          <xm:sqref>B5:B1048576</xm:sqref>
        </x14:dataValidation>
        <x14:dataValidation type="list" xr:uid="{CCA1E93C-8DAD-487A-A640-4CBAA6792041}">
          <x14:formula1>
            <xm:f>Catalogos!$B$4:$B$20</xm:f>
          </x14:formula1>
          <xm:sqref>C5:C1048576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3A1CC-637D-4707-AF71-E2568B1AE51D}">
  <sheetPr/>
  <sheetViews>
    <sheetView topLeftCell="A7" zoomScale="90" workbookViewId="0">
      <selection activeCell="B35" sqref="B35"/>
    </sheetView>
  </sheetViews>
  <sheetFormatPr baseColWidth="10" defaultColWidth="8.796875" defaultRowHeight="13.8"/>
  <cols>
    <col min="1" max="1" width="13" customWidth="1"/>
    <col min="2" max="2" width="18" customWidth="1"/>
    <col min="3" max="4" width="22" customWidth="1"/>
    <col min="5" max="5" width="14" customWidth="1"/>
    <col min="6" max="7" width="12" customWidth="1"/>
    <col min="8" max="8" width="16" customWidth="1"/>
    <col min="9" max="9" width="12" customWidth="1"/>
    <col min="10" max="14" width="14" customWidth="1"/>
    <col min="15" max="15" width="18" customWidth="1"/>
    <col min="16" max="16" width="30" customWidth="1"/>
  </cols>
  <sheetData>
    <row r="1" spans="1:16" ht="22.35" customHeight="1">
      <c r="A1" t="s" s="3537">
        <v>220</v>
      </c>
      <c r="B1" s="3538"/>
      <c r="C1" s="3538"/>
      <c r="D1" s="3538"/>
      <c r="E1" s="3538"/>
      <c r="F1" s="3538"/>
      <c r="G1" s="3538"/>
      <c r="H1" s="3538"/>
      <c r="I1" s="3538"/>
      <c r="J1" s="3538"/>
      <c r="K1" s="3538"/>
      <c r="L1" s="3538"/>
      <c r="M1" s="3538"/>
      <c r="N1" s="3538"/>
      <c r="O1" s="3538"/>
      <c r="P1" s="3538"/>
    </row>
    <row r="2" spans="1:16">
      <c r="A2" t="s">
        <v>22</v>
      </c>
      <c r="C2" t="s">
        <v>7</v>
      </c>
      <c r="E2" t="s">
        <v>8</v>
      </c>
      <c r="G2" t="s">
        <v>23</v>
      </c>
      <c r="H2" t="s">
        <v>24</v>
      </c>
      <c r="I2" t="s">
        <v>25</v>
      </c>
    </row>
    <row r="3">
      <c r="A3" t="s">
        <v>482</v>
      </c>
      <c r="B3" t="s">
        <v>12</v>
      </c>
      <c r="C3" t="s">
        <v>483</v>
      </c>
      <c r="D3" t="s">
        <v>484</v>
      </c>
      <c r="E3" t="s">
        <v>485</v>
      </c>
      <c r="F3" t="s">
        <v>454</v>
      </c>
      <c r="G3" t="s">
        <v>486</v>
      </c>
      <c r="H3" t="s">
        <v>18</v>
      </c>
    </row>
    <row r="4" spans="1:16" ht="27.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t="s" s="1">
        <v>248</v>
      </c>
      <c r="N4" t="s" s="1">
        <v>249</v>
      </c>
      <c r="O4" t="s" s="1">
        <v>30</v>
      </c>
      <c r="P4" t="s" s="1">
        <v>20</v>
      </c>
    </row>
    <row r="5" spans="1:16">
      <c r="A5" s="2"/>
      <c r="B5"/>
      <c r="C5"/>
      <c r="D5"/>
      <c r="E5"/>
      <c r="F5" s="3"/>
      <c r="G5" s="15"/>
      <c r="H5" s="3"/>
      <c r="I5" s="4"/>
      <c r="J5" s="4"/>
      <c r="K5" s="4"/>
      <c r="L5" s="4"/>
      <c r="M5" s="4">
        <v>0</v>
      </c>
      <c r="N5" s="4"/>
    </row>
    <row r="6" spans="1:16">
      <c r="A6" s="2"/>
      <c r="B6"/>
      <c r="C6"/>
      <c r="D6"/>
      <c r="E6"/>
      <c r="F6" s="3"/>
      <c r="G6" s="15"/>
      <c r="H6" s="3"/>
      <c r="I6" s="4"/>
      <c r="J6" s="4"/>
      <c r="K6" s="4"/>
      <c r="L6" s="4"/>
      <c r="M6" s="4"/>
      <c r="N6" s="4"/>
    </row>
    <row r="7" spans="1:16">
      <c r="A7" s="2"/>
      <c r="B7"/>
      <c r="C7"/>
      <c r="D7"/>
      <c r="E7"/>
      <c r="F7" s="3"/>
      <c r="G7" s="15"/>
      <c r="H7" s="3"/>
      <c r="I7" s="4"/>
      <c r="J7" s="4"/>
      <c r="K7" s="4"/>
      <c r="L7" s="4"/>
      <c r="M7" s="4"/>
      <c r="N7" s="4"/>
    </row>
    <row r="8" spans="1:16">
      <c r="A8" s="2"/>
      <c r="B8"/>
      <c r="C8"/>
      <c r="D8"/>
      <c r="E8"/>
      <c r="F8" s="3"/>
      <c r="G8" s="15"/>
      <c r="H8" s="3"/>
      <c r="I8" s="4"/>
      <c r="J8" s="4"/>
      <c r="K8" s="4"/>
      <c r="L8" s="4"/>
      <c r="M8" s="4"/>
      <c r="N8" s="4"/>
    </row>
    <row r="9" spans="1:16">
      <c r="A9" s="2"/>
      <c r="B9"/>
      <c r="C9"/>
      <c r="D9"/>
      <c r="E9"/>
      <c r="F9" s="3"/>
      <c r="G9" s="15"/>
      <c r="H9" s="3"/>
      <c r="I9" s="4"/>
      <c r="J9" s="4"/>
      <c r="K9" s="4"/>
      <c r="L9" s="4"/>
      <c r="M9" s="4"/>
      <c r="N9" s="4"/>
    </row>
    <row r="10" spans="1:16">
      <c r="A10" s="2"/>
      <c r="B10"/>
      <c r="C10"/>
      <c r="D10"/>
      <c r="E10"/>
      <c r="F10" s="3"/>
      <c r="G10" s="15"/>
      <c r="H10" s="3"/>
      <c r="I10" s="4"/>
      <c r="J10" s="4"/>
      <c r="K10" s="4"/>
      <c r="L10" s="4"/>
      <c r="M10" s="4">
        <v>25056</v>
      </c>
      <c r="N10" s="4"/>
    </row>
    <row r="11" spans="1:16">
      <c r="A11" s="2"/>
      <c r="B11"/>
      <c r="C11"/>
      <c r="D11"/>
      <c r="E11"/>
      <c r="F11" s="3"/>
      <c r="G11" s="15"/>
      <c r="H11" s="3"/>
      <c r="I11" s="4"/>
      <c r="J11" s="4"/>
      <c r="K11" s="4"/>
      <c r="L11" s="4"/>
      <c r="M11" s="4"/>
      <c r="N11" s="4"/>
    </row>
    <row r="12" spans="1:16">
      <c r="A12" s="2"/>
      <c r="B12"/>
      <c r="C12"/>
      <c r="D12"/>
      <c r="E12"/>
      <c r="F12" s="3"/>
      <c r="G12" s="15"/>
      <c r="H12" s="3"/>
      <c r="I12" s="4"/>
      <c r="J12" s="4"/>
      <c r="K12" s="4"/>
      <c r="L12" s="4"/>
      <c r="M12" s="4"/>
      <c r="N12" s="4"/>
    </row>
    <row r="13" spans="1:16">
      <c r="A13" s="2"/>
      <c r="B13"/>
      <c r="C13"/>
      <c r="D13"/>
      <c r="E13"/>
      <c r="F13" s="3"/>
      <c r="G13" s="15"/>
      <c r="H13" s="3"/>
      <c r="I13" s="4"/>
      <c r="J13" s="4"/>
      <c r="K13" s="4"/>
      <c r="L13" s="4"/>
      <c r="M13" s="4"/>
      <c r="N13" s="4"/>
    </row>
    <row r="14" spans="1:16">
      <c r="A14" s="2"/>
      <c r="B14"/>
      <c r="C14"/>
      <c r="D14"/>
      <c r="E14"/>
      <c r="F14" s="3"/>
      <c r="G14" s="15"/>
      <c r="H14" s="3"/>
      <c r="I14" s="4"/>
      <c r="J14" s="4"/>
      <c r="K14" s="4"/>
      <c r="L14" s="4"/>
      <c r="M14" s="4"/>
      <c r="N14" s="4"/>
    </row>
    <row r="15" spans="1:16">
      <c r="A15" s="2"/>
      <c r="B15"/>
      <c r="C15"/>
      <c r="D15"/>
      <c r="E15"/>
      <c r="F15" s="3"/>
      <c r="G15" s="15"/>
      <c r="H15" s="3"/>
      <c r="I15" s="4"/>
      <c r="J15" s="4"/>
      <c r="K15" s="4"/>
      <c r="L15" s="4"/>
      <c r="M15" s="4"/>
      <c r="N15" s="4"/>
    </row>
    <row r="16" spans="1:16">
      <c r="A16" s="2"/>
      <c r="B16"/>
      <c r="C16"/>
      <c r="D16"/>
      <c r="E16"/>
      <c r="F16" s="3"/>
      <c r="G16" s="15"/>
      <c r="H16" s="3"/>
      <c r="I16" s="4"/>
      <c r="J16" s="4"/>
      <c r="K16" s="4"/>
      <c r="L16" s="4"/>
      <c r="M16" s="4"/>
      <c r="N16" s="4"/>
    </row>
    <row r="17" spans="1:14">
      <c r="A17" s="2"/>
      <c r="B17"/>
      <c r="C17"/>
      <c r="D17"/>
      <c r="E17"/>
      <c r="F17" s="3"/>
      <c r="G17" s="15"/>
      <c r="H17" s="3"/>
      <c r="I17" s="4"/>
      <c r="J17" s="4"/>
      <c r="K17" s="4"/>
      <c r="L17" s="4"/>
      <c r="M17" s="4"/>
      <c r="N17" s="4"/>
    </row>
    <row r="18" spans="1:14">
      <c r="A18" s="2"/>
      <c r="B18"/>
      <c r="C18"/>
      <c r="D18"/>
      <c r="E18"/>
      <c r="F18" s="3"/>
      <c r="G18" s="15"/>
      <c r="H18" s="3"/>
      <c r="I18" s="4"/>
      <c r="J18" s="4"/>
      <c r="K18" s="4"/>
      <c r="L18" s="4"/>
      <c r="M18" s="4"/>
      <c r="N18" s="4"/>
    </row>
    <row r="19" spans="1:14">
      <c r="A19" s="2"/>
      <c r="B19"/>
      <c r="C19"/>
      <c r="D19"/>
      <c r="E19"/>
      <c r="F19" s="3"/>
      <c r="G19" s="15"/>
      <c r="H19" s="3"/>
      <c r="I19" s="4"/>
      <c r="J19" s="4"/>
      <c r="K19" s="4"/>
      <c r="L19" s="4"/>
      <c r="M19" s="4"/>
      <c r="N19" s="4"/>
    </row>
    <row r="20" spans="1:14">
      <c r="A20" s="2"/>
      <c r="B20"/>
      <c r="C20"/>
      <c r="D20"/>
      <c r="E20"/>
      <c r="F20" s="3"/>
      <c r="G20" s="15"/>
      <c r="H20" s="3"/>
      <c r="I20" s="4"/>
      <c r="J20" s="4"/>
      <c r="K20" s="4"/>
      <c r="L20" s="4"/>
      <c r="M20" s="4"/>
      <c r="N20" s="4"/>
    </row>
    <row r="21" spans="1:14">
      <c r="A21" s="2"/>
      <c r="B21"/>
      <c r="C21"/>
      <c r="D21"/>
      <c r="E21"/>
      <c r="F21" s="3"/>
      <c r="G21" s="15"/>
      <c r="H21" s="3"/>
      <c r="I21" s="4"/>
      <c r="J21" s="4"/>
      <c r="K21" s="4"/>
      <c r="L21" s="4"/>
      <c r="M21" s="4"/>
      <c r="N21" s="4"/>
    </row>
    <row r="22" spans="1:14">
      <c r="A22" s="2"/>
      <c r="B22"/>
      <c r="C22"/>
      <c r="D22"/>
      <c r="E22"/>
      <c r="F22" s="3"/>
      <c r="G22" s="15"/>
      <c r="H22" s="3"/>
      <c r="I22" s="4"/>
      <c r="J22" s="4"/>
      <c r="K22" s="4"/>
      <c r="L22" s="4"/>
      <c r="M22" s="4">
        <v>31320</v>
      </c>
      <c r="N22" s="4">
        <v>3000</v>
      </c>
    </row>
    <row r="23" spans="1:14">
      <c r="A23" s="2"/>
      <c r="B23"/>
      <c r="C23"/>
      <c r="D23"/>
      <c r="E23"/>
      <c r="F23" s="3"/>
      <c r="G23" s="15"/>
      <c r="H23" s="3"/>
      <c r="I23" s="4"/>
      <c r="J23" s="4"/>
      <c r="K23" s="4"/>
      <c r="L23" s="4"/>
      <c r="M23" s="4"/>
      <c r="N23" s="4"/>
    </row>
    <row r="24" spans="1:14">
      <c r="A24" s="2"/>
      <c r="B24"/>
      <c r="C24"/>
      <c r="D24"/>
      <c r="E24"/>
      <c r="F24" s="3"/>
      <c r="G24" s="15"/>
      <c r="H24" s="3"/>
      <c r="I24" s="4"/>
      <c r="J24" s="4"/>
      <c r="K24" s="4"/>
      <c r="L24" s="4"/>
      <c r="M24" s="4"/>
      <c r="N24" s="4"/>
    </row>
    <row r="25" spans="1:14">
      <c r="A25" s="2"/>
      <c r="B25"/>
      <c r="C25"/>
      <c r="D25"/>
      <c r="E25"/>
      <c r="F25" s="3"/>
      <c r="G25" s="15"/>
      <c r="H25" s="3"/>
      <c r="I25" s="4"/>
      <c r="J25" s="4"/>
      <c r="K25" s="4"/>
      <c r="L25" s="4"/>
      <c r="M25" s="4"/>
      <c r="N25" s="4">
        <v>1556</v>
      </c>
    </row>
    <row r="26" spans="1:14">
      <c r="A26" s="2"/>
      <c r="B26"/>
      <c r="C26"/>
      <c r="D26"/>
      <c r="E26"/>
      <c r="F26" s="3"/>
      <c r="G26" s="15"/>
      <c r="H26" s="3"/>
      <c r="I26" s="4"/>
      <c r="J26" s="4"/>
      <c r="K26" s="4"/>
      <c r="L26" s="4"/>
      <c r="M26" s="4"/>
      <c r="N26" s="4"/>
    </row>
    <row r="27" spans="1:14">
      <c r="A27" s="2"/>
      <c r="B27"/>
      <c r="C27"/>
      <c r="D27"/>
      <c r="E27"/>
      <c r="F27" s="3"/>
      <c r="G27" s="15"/>
      <c r="H27" s="3"/>
      <c r="I27" s="4"/>
      <c r="J27" s="4"/>
      <c r="K27" s="4"/>
      <c r="L27" s="4"/>
      <c r="M27" s="4"/>
      <c r="N27" s="4"/>
    </row>
    <row r="28" spans="1:14">
      <c r="A28" s="2"/>
      <c r="B28"/>
      <c r="C28"/>
      <c r="D28"/>
      <c r="E28"/>
      <c r="F28" s="3"/>
      <c r="G28" s="15"/>
      <c r="H28" s="3"/>
      <c r="I28" s="4"/>
      <c r="J28" s="4"/>
      <c r="K28" s="4"/>
      <c r="L28" s="4"/>
      <c r="M28" s="4"/>
      <c r="N28" s="4"/>
    </row>
    <row r="29" spans="1:14">
      <c r="A29" s="2"/>
      <c r="B29"/>
      <c r="C29"/>
      <c r="D29"/>
      <c r="E29"/>
      <c r="F29" s="3"/>
      <c r="G29" s="15"/>
      <c r="H29" s="3"/>
      <c r="I29" s="4"/>
      <c r="J29" s="4"/>
      <c r="K29" s="4"/>
      <c r="L29" s="4"/>
      <c r="M29" s="4"/>
      <c r="N29" s="4"/>
    </row>
    <row r="30" spans="1:14">
      <c r="A30" s="2"/>
      <c r="B30"/>
      <c r="C30"/>
      <c r="D30"/>
      <c r="E30"/>
      <c r="F30" s="3"/>
      <c r="G30" s="15"/>
      <c r="H30" s="3"/>
      <c r="I30" s="4"/>
      <c r="J30" s="4"/>
      <c r="K30" s="4"/>
      <c r="L30" s="4"/>
      <c r="M30" s="4"/>
      <c r="N30" s="4"/>
    </row>
    <row r="31" spans="1:14">
      <c r="A31" s="2"/>
      <c r="B31"/>
      <c r="C31"/>
      <c r="D31"/>
      <c r="E31"/>
      <c r="F31" s="3"/>
      <c r="G31" s="15"/>
      <c r="H31" s="3"/>
      <c r="I31" s="4"/>
      <c r="J31" s="4"/>
      <c r="K31" s="4"/>
      <c r="L31" s="4"/>
      <c r="M31" s="4"/>
      <c r="N31" s="4"/>
    </row>
    <row r="32" spans="1:14">
      <c r="A32" s="2"/>
      <c r="B32"/>
      <c r="C32"/>
      <c r="D32"/>
      <c r="E32"/>
      <c r="F32" s="3"/>
      <c r="G32" s="15"/>
      <c r="H32" s="3"/>
      <c r="I32" s="4"/>
      <c r="J32" s="4"/>
      <c r="K32" s="4"/>
      <c r="L32" s="4"/>
      <c r="M32" s="4"/>
      <c r="N32" s="4"/>
    </row>
    <row r="33" spans="1:18">
      <c r="A33" s="2"/>
      <c r="B33"/>
      <c r="C33"/>
      <c r="D33"/>
      <c r="E33"/>
      <c r="F33" s="3"/>
      <c r="G33" s="15"/>
      <c r="H33" s="3"/>
      <c r="I33" s="4"/>
      <c r="J33" s="4"/>
      <c r="K33" s="4"/>
      <c r="L33" s="4"/>
      <c r="M33" s="4"/>
      <c r="N33" s="4">
        <v>3700</v>
      </c>
    </row>
    <row r="34" spans="1:18">
      <c r="A34" s="2"/>
      <c r="B34"/>
      <c r="C34"/>
      <c r="D34"/>
      <c r="E34"/>
      <c r="F34"/>
      <c r="G34" s="15"/>
      <c r="H34" s="3"/>
      <c r="I34" s="4"/>
      <c r="J34" s="4"/>
      <c r="K34" s="4"/>
      <c r="L34" s="4"/>
      <c r="M34" s="4"/>
      <c r="N34" s="4"/>
    </row>
    <row r="35" spans="1:18">
      <c r="A35" s="2"/>
      <c r="B35"/>
      <c r="C35"/>
      <c r="D35"/>
      <c r="E35"/>
      <c r="F35" s="3"/>
      <c r="G35" s="15"/>
      <c r="H35" s="3"/>
      <c r="I35" s="4"/>
      <c r="J35" s="4"/>
      <c r="K35" s="4"/>
      <c r="L35" s="4"/>
      <c r="M35" s="4"/>
      <c r="N35" s="4"/>
    </row>
    <row r="36" spans="1:18">
      <c r="A36" s="2"/>
      <c r="B36"/>
      <c r="C36"/>
      <c r="D36"/>
      <c r="E36"/>
      <c r="F36" s="3"/>
      <c r="G36" s="15"/>
      <c r="H36" s="3"/>
      <c r="I36" s="4"/>
      <c r="J36" s="4"/>
      <c r="K36" s="4"/>
      <c r="L36" s="4"/>
      <c r="M36" s="4"/>
      <c r="N36" s="4"/>
    </row>
    <row r="37" spans="1:18">
      <c r="A37" s="2"/>
      <c r="B37"/>
      <c r="C37"/>
      <c r="D37"/>
      <c r="E37"/>
      <c r="F37" s="3"/>
      <c r="G37" s="15"/>
      <c r="H37" s="3"/>
      <c r="I37" s="4"/>
      <c r="J37" s="4"/>
      <c r="K37" s="4"/>
      <c r="L37" s="4"/>
      <c r="M37" s="4"/>
      <c r="N37" s="4"/>
    </row>
    <row r="38" spans="1:18">
      <c r="A38" s="2"/>
      <c r="B38"/>
      <c r="C38"/>
      <c r="D38"/>
      <c r="E38"/>
      <c r="F38" s="3"/>
      <c r="G38" s="15"/>
      <c r="H38" s="3"/>
      <c r="I38" s="4"/>
      <c r="J38" s="4"/>
      <c r="K38" s="4"/>
      <c r="L38" s="4"/>
      <c r="M38" s="4"/>
      <c r="N38" s="4"/>
    </row>
    <row r="39" spans="1:18">
      <c r="A39" s="2"/>
      <c r="B39"/>
      <c r="C39"/>
      <c r="D39"/>
      <c r="E39"/>
      <c r="F39" s="3"/>
      <c r="G39" s="15"/>
      <c r="H39" s="3"/>
      <c r="I39" s="4"/>
      <c r="J39" s="4"/>
      <c r="K39" s="4"/>
      <c r="L39" s="4"/>
      <c r="M39" s="4"/>
      <c r="N39" s="4"/>
    </row>
    <row r="40" spans="1:18">
      <c r="A40" s="2"/>
      <c r="B40"/>
      <c r="C40"/>
      <c r="D40"/>
      <c r="E40"/>
      <c r="F40" s="3"/>
      <c r="G40" s="15"/>
      <c r="H40" s="3"/>
      <c r="I40" s="4"/>
      <c r="J40" s="4"/>
      <c r="K40" s="4"/>
      <c r="L40" s="4"/>
      <c r="M40" s="4"/>
      <c r="N40" s="4"/>
    </row>
    <row r="41" spans="1:18">
      <c r="A41" s="2"/>
      <c r="B41"/>
      <c r="C41"/>
      <c r="D41"/>
      <c r="E41"/>
      <c r="F41" s="3"/>
      <c r="G41" s="15"/>
      <c r="H41" s="3"/>
      <c r="I41" s="4"/>
      <c r="J41" s="4"/>
      <c r="K41" s="4"/>
      <c r="L41" s="4"/>
      <c r="M41" s="4"/>
      <c r="N41" s="4"/>
    </row>
    <row r="42" spans="1:18">
      <c r="A42" s="2"/>
      <c r="B42"/>
      <c r="C42"/>
      <c r="D42"/>
      <c r="E42"/>
      <c r="F42" s="3"/>
      <c r="G42" s="15"/>
      <c r="H42" s="3"/>
      <c r="I42" s="4"/>
      <c r="J42" s="4"/>
      <c r="K42" s="4"/>
      <c r="L42" s="4"/>
      <c r="M42" s="4"/>
      <c r="N42" s="4"/>
    </row>
    <row r="43" spans="1:18">
      <c r="A43" s="2"/>
      <c r="B43"/>
      <c r="C43"/>
      <c r="D43"/>
      <c r="E43"/>
      <c r="F43" s="3"/>
      <c r="G43" s="15"/>
      <c r="H43" s="3"/>
      <c r="I43" s="4"/>
      <c r="J43" s="4"/>
      <c r="K43" s="4"/>
      <c r="L43" s="4"/>
      <c r="M43" s="4"/>
      <c r="N43" s="4"/>
      <c r="R43" s="3">
        <f>SUM(G5:G48)</f>
      </c>
    </row>
    <row r="44" spans="1:18">
      <c r="A44" s="2"/>
      <c r="B44"/>
      <c r="C44"/>
      <c r="D44"/>
      <c r="E44"/>
      <c r="F44" s="3"/>
      <c r="G44" s="15"/>
      <c r="H44" s="3"/>
      <c r="I44" s="4"/>
      <c r="J44" s="4"/>
      <c r="K44" s="4"/>
      <c r="L44" s="4"/>
      <c r="M44" s="4"/>
      <c r="N44" s="4"/>
    </row>
    <row r="45" spans="1:18">
      <c r="A45" s="2"/>
      <c r="B45"/>
      <c r="C45"/>
      <c r="D45"/>
      <c r="E45"/>
      <c r="F45" s="3"/>
      <c r="G45" s="15"/>
      <c r="H45" s="3"/>
      <c r="I45" s="4"/>
      <c r="J45" s="4"/>
      <c r="K45" s="4"/>
      <c r="L45" s="4"/>
      <c r="M45" s="4"/>
      <c r="N45" s="4"/>
    </row>
    <row r="46" spans="1:18">
      <c r="A46" s="2"/>
      <c r="B46"/>
      <c r="C46"/>
      <c r="D46"/>
      <c r="E46"/>
      <c r="F46" s="3"/>
      <c r="G46" s="15"/>
      <c r="H46" s="3"/>
      <c r="I46" s="4"/>
      <c r="J46" s="4"/>
      <c r="K46" s="4"/>
      <c r="L46" s="4"/>
      <c r="M46" s="4"/>
      <c r="N46" s="4"/>
    </row>
    <row r="47" spans="1:18">
      <c r="A47" s="2"/>
      <c r="B47"/>
      <c r="C47"/>
      <c r="D47"/>
      <c r="E47"/>
      <c r="F47" s="3"/>
      <c r="G47" s="15"/>
      <c r="H47" s="3"/>
      <c r="I47" s="4"/>
      <c r="J47" s="4"/>
      <c r="K47" s="4"/>
      <c r="L47" s="4"/>
      <c r="M47" s="4"/>
      <c r="N47" s="4"/>
    </row>
    <row r="48" spans="1:18">
      <c r="A48" s="2"/>
      <c r="B48"/>
      <c r="C48"/>
      <c r="D48"/>
      <c r="E48"/>
      <c r="F48" s="3"/>
      <c r="G48" s="15"/>
      <c r="H48" s="3"/>
      <c r="I48" s="4"/>
      <c r="J48" s="4"/>
      <c r="K48" s="4"/>
      <c r="L48" s="4"/>
      <c r="M48" s="4"/>
      <c r="N48" s="4"/>
    </row>
    <row r="49" spans="1:14">
      <c r="A49" s="2"/>
      <c r="B49"/>
      <c r="C49"/>
      <c r="D49"/>
      <c r="E49"/>
      <c r="F49" s="3"/>
      <c r="G49" s="15"/>
      <c r="H49" s="3"/>
      <c r="I49" s="4"/>
      <c r="J49" s="4"/>
      <c r="K49" s="4"/>
      <c r="L49" s="4"/>
      <c r="M49" s="4"/>
      <c r="N49" s="4"/>
    </row>
    <row r="50" spans="1:14">
      <c r="A50" s="2"/>
      <c r="B50"/>
      <c r="C50"/>
      <c r="D50"/>
      <c r="E50"/>
      <c r="F50" s="3"/>
      <c r="G50" s="15"/>
      <c r="H50" s="3"/>
      <c r="I50" s="4"/>
      <c r="J50" s="4"/>
      <c r="K50" s="4"/>
      <c r="L50" s="4"/>
      <c r="M50" s="4"/>
      <c r="N50" s="4"/>
    </row>
    <row r="51" spans="1:14">
      <c r="A51" s="2"/>
      <c r="B51"/>
      <c r="C51"/>
      <c r="D51"/>
      <c r="E51"/>
      <c r="F51" s="3"/>
      <c r="G51" s="15"/>
      <c r="H51" s="3"/>
      <c r="I51" s="4"/>
      <c r="J51" s="4"/>
      <c r="K51" s="4"/>
      <c r="L51" s="4"/>
      <c r="M51" s="4"/>
      <c r="N51" s="4"/>
    </row>
    <row r="52" spans="1:14">
      <c r="A52" s="2"/>
      <c r="B52"/>
      <c r="C52"/>
      <c r="D52"/>
      <c r="E52"/>
      <c r="F52" s="3"/>
      <c r="G52" s="15"/>
      <c r="H52" s="3"/>
      <c r="I52" s="4"/>
      <c r="J52" s="4"/>
      <c r="K52" s="4"/>
      <c r="L52" s="4"/>
      <c r="M52" s="4"/>
      <c r="N52" s="4"/>
    </row>
    <row r="53" spans="1:14">
      <c r="A53" s="2"/>
      <c r="B53"/>
      <c r="C53"/>
      <c r="D53"/>
      <c r="E53"/>
      <c r="F53" s="3"/>
      <c r="G53" s="15"/>
      <c r="H53" s="3"/>
      <c r="I53" s="4"/>
      <c r="J53" s="4"/>
      <c r="K53" s="4"/>
      <c r="L53" s="4"/>
      <c r="M53" s="4"/>
      <c r="N53" s="4"/>
    </row>
    <row r="54" spans="1:14">
      <c r="A54" s="2"/>
      <c r="B54"/>
      <c r="C54"/>
      <c r="D54"/>
      <c r="E54"/>
      <c r="F54" s="3"/>
      <c r="G54" s="15"/>
      <c r="H54" s="3"/>
      <c r="I54" s="4"/>
      <c r="J54" s="4"/>
      <c r="K54" s="4"/>
      <c r="L54" s="4"/>
      <c r="M54" s="4"/>
      <c r="N54" s="4"/>
    </row>
    <row r="55" spans="1:14">
      <c r="A55" s="2"/>
      <c r="B55"/>
      <c r="C55"/>
      <c r="D55"/>
      <c r="E55"/>
      <c r="F55" s="3"/>
      <c r="G55" s="15"/>
      <c r="H55" s="3"/>
      <c r="I55" s="4"/>
      <c r="J55" s="4"/>
      <c r="K55" s="4"/>
      <c r="L55" s="4"/>
      <c r="M55" s="4"/>
      <c r="N55" s="4"/>
    </row>
    <row r="56" spans="1:14">
      <c r="A56" s="2"/>
      <c r="B56"/>
      <c r="C56"/>
      <c r="D56"/>
      <c r="E56"/>
      <c r="F56" s="3"/>
      <c r="G56" s="15"/>
      <c r="H56" s="3"/>
      <c r="I56" s="4"/>
      <c r="J56" s="4"/>
      <c r="K56" s="4"/>
      <c r="L56" s="4"/>
      <c r="M56" s="4"/>
      <c r="N56" s="4"/>
    </row>
    <row r="57" spans="1:14">
      <c r="A57" s="2"/>
      <c r="B57"/>
      <c r="C57"/>
      <c r="D57"/>
      <c r="E57"/>
      <c r="F57" s="3"/>
      <c r="G57" s="15"/>
      <c r="H57" s="3"/>
      <c r="I57" s="4"/>
      <c r="J57" s="4"/>
      <c r="K57" s="4"/>
      <c r="L57" s="4"/>
      <c r="M57" s="4"/>
      <c r="N57" s="4"/>
    </row>
    <row r="58" spans="1:14">
      <c r="A58" s="2"/>
      <c r="B58"/>
      <c r="C58"/>
      <c r="D58"/>
      <c r="E58"/>
      <c r="F58" s="3"/>
      <c r="G58" s="15"/>
      <c r="H58" s="3"/>
      <c r="I58" s="4"/>
      <c r="J58" s="4"/>
      <c r="K58" s="4"/>
      <c r="L58" s="4"/>
      <c r="M58" s="4"/>
      <c r="N58" s="4"/>
    </row>
    <row r="59" spans="1:14">
      <c r="A59" s="2"/>
      <c r="B59"/>
      <c r="C59"/>
      <c r="D59"/>
      <c r="E59"/>
      <c r="F59" s="3"/>
      <c r="G59" s="15"/>
      <c r="H59" s="3"/>
      <c r="I59" s="4"/>
      <c r="J59" s="4"/>
      <c r="K59" s="4"/>
      <c r="L59" s="4"/>
      <c r="M59" s="4"/>
      <c r="N59" s="4"/>
    </row>
    <row r="60" spans="1:14">
      <c r="A60" s="2"/>
      <c r="B60"/>
      <c r="C60"/>
      <c r="D60"/>
      <c r="E60"/>
      <c r="F60" s="3"/>
      <c r="G60" s="15"/>
      <c r="H60" s="3"/>
      <c r="I60" s="4"/>
      <c r="J60" s="4"/>
      <c r="K60" s="4"/>
      <c r="L60" s="4"/>
      <c r="M60" s="4"/>
      <c r="N60" s="4"/>
    </row>
    <row r="61" spans="1:14">
      <c r="A61" s="2"/>
      <c r="B61"/>
      <c r="C61"/>
      <c r="D61"/>
      <c r="E61"/>
      <c r="F61" s="3"/>
      <c r="G61" s="15"/>
      <c r="H61" s="3"/>
      <c r="I61" s="4"/>
      <c r="J61" s="4"/>
      <c r="K61" s="4"/>
      <c r="L61" s="4"/>
      <c r="M61" s="4"/>
      <c r="N61" s="4"/>
    </row>
    <row r="62" spans="1:14">
      <c r="A62" s="2"/>
      <c r="B62"/>
      <c r="C62"/>
      <c r="D62"/>
      <c r="E62"/>
      <c r="F62" s="3"/>
      <c r="G62" s="15"/>
      <c r="H62" s="3"/>
      <c r="I62" s="4"/>
      <c r="J62" s="4"/>
      <c r="K62" s="4"/>
      <c r="L62" s="4"/>
      <c r="M62" s="4"/>
      <c r="N62" s="4"/>
    </row>
    <row r="63" spans="1:14">
      <c r="A63" s="2"/>
      <c r="B63"/>
      <c r="C63"/>
      <c r="D63"/>
      <c r="E63"/>
      <c r="F63" s="3"/>
      <c r="G63" s="15"/>
      <c r="H63" s="3"/>
      <c r="I63" s="4"/>
      <c r="J63" s="4"/>
      <c r="K63" s="4"/>
      <c r="L63" s="4"/>
      <c r="M63" s="4"/>
      <c r="N63" s="4"/>
    </row>
    <row r="64" spans="1:14">
      <c r="A64" s="2"/>
      <c r="B64"/>
      <c r="C64"/>
      <c r="D64"/>
      <c r="E64"/>
      <c r="F64" s="3"/>
      <c r="G64" s="15"/>
      <c r="H64" s="3"/>
      <c r="I64" s="4"/>
      <c r="J64" s="4"/>
      <c r="K64" s="4"/>
      <c r="L64" s="4"/>
      <c r="M64" s="4"/>
      <c r="N64" s="4"/>
    </row>
    <row r="65" spans="1:14">
      <c r="A65" s="2"/>
      <c r="B65"/>
      <c r="C65"/>
      <c r="D65"/>
      <c r="E65"/>
      <c r="F65" s="3"/>
      <c r="G65" s="15"/>
      <c r="H65" s="3"/>
      <c r="I65" s="4"/>
      <c r="J65" s="4"/>
      <c r="K65" s="4"/>
      <c r="L65" s="4"/>
      <c r="M65" s="4"/>
      <c r="N65" s="4"/>
    </row>
    <row r="66" spans="1:14">
      <c r="A66" s="2"/>
      <c r="B66"/>
      <c r="C66"/>
      <c r="D66"/>
      <c r="E66"/>
      <c r="F66" s="3"/>
      <c r="G66" s="15"/>
      <c r="H66" s="3"/>
      <c r="I66" s="4"/>
      <c r="J66" s="4"/>
      <c r="K66" s="4"/>
      <c r="L66" s="4"/>
      <c r="M66" s="4"/>
      <c r="N66" s="4"/>
    </row>
    <row r="67" spans="1:14">
      <c r="A67" s="2"/>
      <c r="B67"/>
      <c r="C67"/>
      <c r="D67"/>
      <c r="E67"/>
      <c r="F67" s="3"/>
      <c r="G67" s="15"/>
      <c r="H67" s="3"/>
      <c r="I67" s="4"/>
      <c r="J67" s="4"/>
      <c r="K67" s="4"/>
      <c r="L67" s="4"/>
      <c r="M67" s="4"/>
      <c r="N67" s="4"/>
    </row>
    <row r="68" spans="1:14">
      <c r="A68" s="2"/>
      <c r="B68"/>
      <c r="C68"/>
      <c r="D68"/>
      <c r="E68"/>
      <c r="F68" s="3"/>
      <c r="G68" s="15"/>
      <c r="H68" s="3"/>
      <c r="I68" s="4"/>
      <c r="J68" s="4"/>
      <c r="K68" s="4"/>
      <c r="L68" s="4"/>
      <c r="M68" s="4"/>
      <c r="N68" s="4"/>
    </row>
    <row r="69" spans="1:14">
      <c r="A69" s="2"/>
      <c r="B69"/>
      <c r="C69"/>
      <c r="D69"/>
      <c r="E69"/>
      <c r="F69" s="3"/>
      <c r="G69" s="15"/>
      <c r="H69" s="3"/>
      <c r="I69" s="4"/>
      <c r="J69" s="4"/>
      <c r="K69" s="4"/>
      <c r="L69" s="4"/>
      <c r="M69" s="4"/>
      <c r="N69" s="4"/>
    </row>
    <row r="70" spans="1:14">
      <c r="A70" s="2"/>
      <c r="B70"/>
      <c r="C70"/>
      <c r="D70"/>
      <c r="E70"/>
      <c r="F70" s="3"/>
      <c r="G70" s="15"/>
      <c r="H70" s="3"/>
      <c r="I70" s="4"/>
      <c r="J70" s="4"/>
      <c r="K70" s="4"/>
      <c r="L70" s="4"/>
      <c r="M70" s="4"/>
      <c r="N70" s="4"/>
    </row>
    <row r="71" spans="1:14">
      <c r="A71" s="2"/>
      <c r="B71"/>
      <c r="C71"/>
      <c r="D71"/>
      <c r="E71"/>
      <c r="F71"/>
      <c r="G71" s="15"/>
      <c r="H71" s="3"/>
      <c r="I71" s="4"/>
      <c r="J71" s="4"/>
      <c r="K71" s="4"/>
      <c r="L71" s="4"/>
      <c r="M71" s="4"/>
      <c r="N71" s="4"/>
    </row>
    <row r="72" spans="1:14">
      <c r="A72" s="2"/>
      <c r="B72"/>
      <c r="C72"/>
      <c r="D72"/>
      <c r="E72"/>
      <c r="F72" s="3"/>
      <c r="G72" s="15"/>
      <c r="H72" s="3"/>
      <c r="I72" s="4"/>
      <c r="J72" s="4"/>
      <c r="K72" s="4"/>
      <c r="L72" s="4"/>
      <c r="M72" s="4"/>
      <c r="N72" s="4"/>
    </row>
    <row r="73" spans="1:14">
      <c r="A73" s="2"/>
      <c r="B73"/>
      <c r="C73"/>
      <c r="D73"/>
      <c r="E73"/>
      <c r="F73" s="3"/>
      <c r="G73" s="15"/>
      <c r="H73" s="3"/>
      <c r="I73" s="4"/>
      <c r="J73" s="4"/>
      <c r="K73" s="4"/>
      <c r="L73" s="4"/>
      <c r="M73" s="4"/>
      <c r="N73" s="4"/>
    </row>
    <row r="74" spans="1:14">
      <c r="A74" s="2"/>
      <c r="B74"/>
      <c r="C74"/>
      <c r="D74"/>
      <c r="E74"/>
      <c r="F74" s="3"/>
      <c r="G74" s="15"/>
      <c r="H74" s="3"/>
      <c r="I74" s="4"/>
      <c r="J74" s="4"/>
      <c r="K74" s="4"/>
      <c r="L74" s="4"/>
      <c r="M74" s="4"/>
      <c r="N74" s="4"/>
    </row>
    <row r="75" spans="1:14">
      <c r="A75" s="2"/>
      <c r="B75"/>
      <c r="C75"/>
      <c r="D75"/>
      <c r="E75"/>
      <c r="F75" s="3"/>
      <c r="G75" s="15"/>
      <c r="H75" s="3"/>
      <c r="I75" s="4"/>
      <c r="J75" s="4"/>
      <c r="K75" s="4"/>
      <c r="L75" s="4"/>
      <c r="M75" s="4"/>
      <c r="N75" s="4"/>
    </row>
    <row r="76" spans="1:14">
      <c r="A76" s="2"/>
      <c r="B76"/>
      <c r="C76"/>
      <c r="D76"/>
      <c r="E76"/>
      <c r="F76" s="3"/>
      <c r="G76" s="15"/>
      <c r="H76" s="3"/>
      <c r="I76" s="4"/>
      <c r="J76" s="4"/>
      <c r="K76" s="4"/>
      <c r="L76" s="4"/>
      <c r="M76" s="4"/>
      <c r="N76" s="4"/>
    </row>
    <row r="77" spans="1:14">
      <c r="A77" s="2"/>
      <c r="B77"/>
      <c r="C77"/>
      <c r="D77"/>
      <c r="E77"/>
      <c r="F77" s="3"/>
      <c r="G77" s="15"/>
      <c r="H77" s="3"/>
      <c r="I77" s="4"/>
      <c r="J77" s="4"/>
      <c r="K77" s="4"/>
      <c r="L77" s="4"/>
      <c r="M77" s="4"/>
      <c r="N77" s="4"/>
    </row>
    <row r="78" spans="1:14">
      <c r="A78" s="2"/>
      <c r="B78"/>
      <c r="C78"/>
      <c r="D78"/>
      <c r="E78"/>
      <c r="F78" s="3"/>
      <c r="G78" s="15"/>
      <c r="H78" s="3"/>
      <c r="I78" s="4"/>
      <c r="J78" s="4"/>
      <c r="K78" s="4"/>
      <c r="L78" s="4"/>
      <c r="M78" s="4"/>
      <c r="N78" s="4"/>
    </row>
    <row r="79" spans="1:14">
      <c r="A79" s="2"/>
      <c r="B79"/>
      <c r="C79"/>
      <c r="D79"/>
      <c r="E79"/>
      <c r="F79" s="3"/>
      <c r="G79" s="15"/>
      <c r="H79" s="3"/>
      <c r="I79" s="4"/>
      <c r="J79" s="4"/>
      <c r="K79" s="4"/>
      <c r="L79" s="4"/>
      <c r="M79" s="4"/>
      <c r="N79" s="4"/>
    </row>
    <row r="80" spans="1:14">
      <c r="A80" s="2"/>
      <c r="B80"/>
      <c r="C80"/>
      <c r="D80"/>
      <c r="E80"/>
      <c r="F80" s="3"/>
      <c r="G80" s="15"/>
      <c r="H80" s="3"/>
      <c r="I80" s="4"/>
      <c r="J80" s="4"/>
      <c r="K80" s="4"/>
      <c r="L80" s="4"/>
      <c r="M80" s="4"/>
      <c r="N80" s="4"/>
    </row>
    <row r="81" spans="1:14">
      <c r="A81" s="2"/>
      <c r="B81"/>
      <c r="C81"/>
      <c r="D81"/>
      <c r="E81"/>
      <c r="F81" s="3"/>
      <c r="G81" s="15"/>
      <c r="H81" s="3"/>
      <c r="I81" s="4"/>
      <c r="J81" s="4"/>
      <c r="K81" s="4"/>
      <c r="L81" s="4"/>
      <c r="M81" s="4"/>
      <c r="N81" s="4"/>
    </row>
    <row r="82" spans="1:14">
      <c r="A82" s="2"/>
      <c r="B82"/>
      <c r="C82"/>
      <c r="D82"/>
      <c r="E82"/>
      <c r="F82" s="3"/>
      <c r="G82" s="15"/>
      <c r="H82" s="3"/>
      <c r="I82" s="4"/>
      <c r="J82" s="4"/>
      <c r="K82" s="4"/>
      <c r="L82" s="4"/>
      <c r="M82" s="4"/>
      <c r="N82" s="4"/>
    </row>
    <row r="83" spans="1:14">
      <c r="A83" s="2"/>
      <c r="B83"/>
      <c r="C83"/>
      <c r="D83"/>
      <c r="E83"/>
      <c r="F83" s="3"/>
      <c r="G83" s="15"/>
      <c r="H83" s="3"/>
      <c r="I83" s="4"/>
      <c r="J83" s="4"/>
      <c r="K83" s="4"/>
      <c r="L83" s="4"/>
      <c r="M83" s="4"/>
      <c r="N83" s="4"/>
    </row>
    <row r="84" spans="1:14">
      <c r="A84" s="2"/>
      <c r="B84"/>
      <c r="C84"/>
      <c r="D84"/>
      <c r="E84"/>
      <c r="F84" s="3"/>
      <c r="G84" s="15"/>
      <c r="H84" s="3"/>
      <c r="I84" s="4"/>
      <c r="J84" s="4"/>
      <c r="K84" s="4"/>
      <c r="L84" s="4"/>
      <c r="M84" s="4"/>
      <c r="N84" s="4"/>
    </row>
    <row r="85" spans="1:14">
      <c r="A85" s="2"/>
      <c r="B85"/>
      <c r="C85"/>
      <c r="D85"/>
      <c r="E85"/>
      <c r="F85" s="3"/>
      <c r="G85" s="15"/>
      <c r="H85" s="3"/>
      <c r="I85" s="4"/>
      <c r="J85" s="4"/>
      <c r="K85" s="4"/>
      <c r="L85" s="4"/>
      <c r="M85" s="4"/>
      <c r="N85" s="4"/>
    </row>
    <row r="86" spans="1:14">
      <c r="A86" s="2"/>
      <c r="B86"/>
      <c r="C86"/>
      <c r="D86"/>
      <c r="E86"/>
      <c r="F86" s="3"/>
      <c r="G86" s="15"/>
      <c r="H86" s="3"/>
      <c r="I86" s="4"/>
      <c r="J86" s="4"/>
      <c r="K86" s="4"/>
      <c r="L86" s="4"/>
      <c r="M86" s="4"/>
      <c r="N86" s="4"/>
    </row>
    <row r="87" spans="1:14">
      <c r="A87" s="2"/>
      <c r="B87"/>
      <c r="C87"/>
      <c r="D87"/>
      <c r="E87"/>
      <c r="F87" s="3"/>
      <c r="G87" s="15"/>
      <c r="H87" s="3"/>
      <c r="I87" s="4"/>
      <c r="J87" s="4"/>
      <c r="K87" s="4"/>
      <c r="L87" s="4"/>
      <c r="M87" s="4"/>
      <c r="N87" s="4"/>
    </row>
    <row r="88" spans="1:14">
      <c r="A88" s="2"/>
      <c r="B88"/>
      <c r="C88"/>
      <c r="D88"/>
      <c r="E88"/>
      <c r="F88" s="3"/>
      <c r="G88" s="15"/>
      <c r="H88" s="3"/>
      <c r="I88" s="4"/>
      <c r="J88" s="4"/>
      <c r="K88" s="4"/>
      <c r="L88" s="4"/>
      <c r="M88" s="4"/>
      <c r="N88" s="4"/>
    </row>
    <row r="89" spans="1:14">
      <c r="A89" s="2"/>
      <c r="B89"/>
      <c r="C89"/>
      <c r="D89"/>
      <c r="E89"/>
      <c r="F89" s="3"/>
      <c r="G89" s="15"/>
      <c r="H89" s="3"/>
      <c r="I89" s="4"/>
      <c r="J89" s="4"/>
      <c r="K89" s="4"/>
      <c r="L89" s="4"/>
      <c r="M89" s="4"/>
      <c r="N89" s="4"/>
    </row>
    <row r="90" spans="1:14">
      <c r="A90" s="2"/>
      <c r="B90"/>
      <c r="C90"/>
      <c r="D90"/>
      <c r="E90"/>
      <c r="F90" s="3"/>
      <c r="G90" s="15"/>
      <c r="H90" s="3"/>
      <c r="I90" s="4"/>
      <c r="J90" s="4"/>
      <c r="K90" s="4"/>
      <c r="L90" s="4"/>
      <c r="M90" s="4"/>
      <c r="N90" s="4"/>
    </row>
    <row r="91" spans="1:14">
      <c r="A91" s="2"/>
      <c r="B91"/>
      <c r="C91"/>
      <c r="D91"/>
      <c r="E91"/>
      <c r="F91" s="3"/>
      <c r="G91" s="15"/>
      <c r="H91" s="3"/>
      <c r="I91" s="4"/>
      <c r="J91" s="4"/>
      <c r="K91" s="4"/>
      <c r="L91" s="4"/>
      <c r="M91" s="4"/>
      <c r="N91" s="4"/>
    </row>
    <row r="92" spans="1:14">
      <c r="A92" s="2"/>
      <c r="B92"/>
      <c r="C92"/>
      <c r="D92"/>
      <c r="E92"/>
      <c r="F92" s="3"/>
      <c r="G92" s="15"/>
      <c r="H92" s="3"/>
      <c r="I92" s="4"/>
      <c r="J92" s="4"/>
      <c r="K92" s="4"/>
      <c r="L92" s="4"/>
      <c r="M92" s="4"/>
      <c r="N92" s="4"/>
    </row>
    <row r="93" spans="1:14">
      <c r="A93" s="2"/>
      <c r="B93"/>
      <c r="C93"/>
      <c r="D93"/>
      <c r="E93"/>
      <c r="F93" s="3"/>
      <c r="G93" s="15"/>
      <c r="H93" s="3"/>
      <c r="I93" s="4"/>
      <c r="J93" s="4"/>
      <c r="K93" s="4"/>
      <c r="L93" s="4"/>
      <c r="M93" s="4"/>
      <c r="N93" s="4"/>
    </row>
    <row r="94" spans="1:14">
      <c r="A94" s="2"/>
      <c r="B94"/>
      <c r="C94"/>
      <c r="D94"/>
      <c r="E94"/>
      <c r="F94" s="3"/>
      <c r="G94" s="15"/>
      <c r="H94" s="3"/>
      <c r="I94" s="4"/>
      <c r="J94" s="4"/>
      <c r="K94" s="4"/>
      <c r="L94" s="4"/>
      <c r="M94" s="4"/>
      <c r="N94" s="4"/>
    </row>
    <row r="95" spans="1:14">
      <c r="A95" s="2"/>
      <c r="B95"/>
      <c r="C95"/>
      <c r="D95"/>
      <c r="E95"/>
      <c r="F95" s="3"/>
      <c r="G95" s="15"/>
      <c r="H95" s="3"/>
      <c r="I95" s="4"/>
      <c r="J95" s="4"/>
      <c r="K95" s="4"/>
      <c r="L95" s="4"/>
      <c r="M95" s="4"/>
      <c r="N95" s="4"/>
    </row>
    <row r="96" spans="1:14">
      <c r="A96" s="2"/>
      <c r="B96"/>
      <c r="C96"/>
      <c r="D96"/>
      <c r="E96"/>
      <c r="F96" s="3"/>
      <c r="G96" s="15"/>
      <c r="H96" s="3"/>
      <c r="I96" s="4"/>
      <c r="J96" s="4"/>
      <c r="K96" s="4"/>
      <c r="L96" s="4"/>
      <c r="M96" s="4"/>
      <c r="N96" s="4"/>
    </row>
    <row r="97" spans="1:14">
      <c r="A97" s="2"/>
      <c r="B97"/>
      <c r="C97"/>
      <c r="D97"/>
      <c r="E97"/>
      <c r="F97" s="3"/>
      <c r="G97" s="15"/>
      <c r="H97" s="3"/>
      <c r="I97" s="4"/>
      <c r="J97" s="4"/>
      <c r="K97" s="4"/>
      <c r="L97" s="4"/>
      <c r="M97" s="4"/>
      <c r="N97" s="4"/>
    </row>
    <row r="98" spans="1:14">
      <c r="A98" s="2"/>
      <c r="B98"/>
      <c r="C98"/>
      <c r="D98"/>
      <c r="E98"/>
      <c r="F98" s="3"/>
      <c r="G98" s="15"/>
      <c r="H98" s="3"/>
      <c r="I98" s="4"/>
      <c r="J98" s="4"/>
      <c r="K98" s="4"/>
      <c r="L98" s="4"/>
      <c r="M98" s="4"/>
      <c r="N98" s="4"/>
    </row>
    <row r="99" spans="1:14">
      <c r="A99" s="2"/>
      <c r="B99"/>
      <c r="C99"/>
      <c r="D99"/>
      <c r="E99"/>
      <c r="F99" s="3"/>
      <c r="G99" s="15"/>
      <c r="H99" s="3"/>
      <c r="I99" s="4"/>
      <c r="J99" s="4"/>
      <c r="K99" s="4"/>
      <c r="L99" s="4"/>
      <c r="M99" s="4"/>
      <c r="N99" s="4"/>
    </row>
    <row r="100" spans="1:14">
      <c r="A100" s="2"/>
      <c r="B100"/>
      <c r="C100"/>
      <c r="D100"/>
      <c r="E100"/>
      <c r="F100" s="3"/>
      <c r="G100" s="15"/>
      <c r="H100" s="3"/>
      <c r="I100" s="4"/>
      <c r="J100" s="4"/>
      <c r="K100" s="4"/>
      <c r="L100" s="4"/>
      <c r="M100" s="4"/>
      <c r="N100" s="4"/>
    </row>
    <row r="101" spans="1:14">
      <c r="A101" s="2"/>
      <c r="B101"/>
      <c r="C101"/>
      <c r="D101"/>
      <c r="E101"/>
      <c r="F101" s="3"/>
      <c r="G101" s="15"/>
      <c r="H101" s="3"/>
      <c r="I101" s="4"/>
      <c r="J101" s="4"/>
      <c r="K101" s="4"/>
      <c r="L101" s="4"/>
      <c r="M101" s="4"/>
      <c r="N101" s="4"/>
    </row>
    <row r="102" spans="1:14">
      <c r="A102" s="2"/>
      <c r="B102"/>
      <c r="C102"/>
      <c r="D102"/>
      <c r="E102"/>
      <c r="F102" s="3"/>
      <c r="G102" s="15"/>
      <c r="H102" s="3"/>
      <c r="I102" s="4"/>
      <c r="J102" s="4"/>
      <c r="K102" s="4"/>
      <c r="L102" s="4"/>
      <c r="M102" s="4"/>
      <c r="N102" s="4"/>
    </row>
    <row r="103" spans="1:14">
      <c r="A103" s="2"/>
      <c r="B103"/>
      <c r="C103"/>
      <c r="D103"/>
      <c r="E103"/>
      <c r="F103" s="3"/>
      <c r="G103" s="15"/>
      <c r="H103" s="3"/>
      <c r="I103" s="4"/>
      <c r="J103" s="4"/>
      <c r="K103" s="4"/>
      <c r="L103" s="4"/>
      <c r="M103" s="4"/>
      <c r="N103" s="4"/>
    </row>
    <row r="104" spans="1:14">
      <c r="A104" s="2"/>
      <c r="B104"/>
      <c r="C104"/>
      <c r="D104"/>
      <c r="E104"/>
      <c r="F104" s="3"/>
      <c r="G104" s="15"/>
      <c r="H104" s="3"/>
      <c r="I104" s="4"/>
      <c r="J104" s="4"/>
      <c r="K104" s="4"/>
      <c r="L104" s="4"/>
      <c r="M104" s="4"/>
      <c r="N104" s="4"/>
    </row>
    <row r="105" spans="1:14">
      <c r="A105" s="2"/>
      <c r="B105"/>
      <c r="C105"/>
      <c r="D105"/>
      <c r="E105"/>
      <c r="F105" s="3"/>
      <c r="G105" s="15"/>
      <c r="H105" s="3"/>
      <c r="I105" s="4"/>
      <c r="J105" s="4"/>
      <c r="K105" s="4"/>
      <c r="L105" s="4"/>
      <c r="M105" s="4"/>
      <c r="N105" s="4"/>
    </row>
    <row r="106" spans="1:14">
      <c r="A106" s="2"/>
      <c r="B106"/>
      <c r="C106"/>
      <c r="D106"/>
      <c r="E106"/>
      <c r="F106" s="3"/>
      <c r="G106" s="15"/>
      <c r="H106" s="3"/>
      <c r="I106" s="4"/>
      <c r="J106" s="4"/>
      <c r="K106" s="4"/>
      <c r="L106" s="4"/>
      <c r="M106" s="4"/>
      <c r="N106" s="4"/>
    </row>
    <row r="107" spans="1:14">
      <c r="A107" s="2"/>
      <c r="B107"/>
      <c r="C107"/>
      <c r="D107"/>
      <c r="E107"/>
      <c r="F107" s="3"/>
      <c r="G107" s="15"/>
      <c r="H107" s="3"/>
      <c r="I107" s="4"/>
      <c r="J107" s="4"/>
      <c r="K107" s="4"/>
      <c r="L107" s="4"/>
      <c r="M107" s="4"/>
      <c r="N107" s="4"/>
    </row>
    <row r="108" spans="1:14">
      <c r="A108" s="2"/>
      <c r="B108"/>
      <c r="C108"/>
      <c r="D108"/>
      <c r="E108"/>
      <c r="F108" s="3"/>
      <c r="G108" s="15"/>
      <c r="H108" s="3"/>
      <c r="I108" s="4"/>
      <c r="J108" s="4"/>
      <c r="K108" s="4"/>
      <c r="L108" s="4"/>
      <c r="M108" s="4"/>
      <c r="N108" s="4"/>
    </row>
    <row r="109" spans="1:14">
      <c r="A109" s="2"/>
      <c r="B109"/>
      <c r="C109"/>
      <c r="D109"/>
      <c r="E109"/>
      <c r="F109" s="3"/>
      <c r="G109" s="15"/>
      <c r="H109" s="3"/>
      <c r="I109" s="4"/>
      <c r="J109" s="4"/>
      <c r="K109" s="4"/>
      <c r="L109" s="4"/>
      <c r="M109" s="4"/>
      <c r="N109" s="4"/>
    </row>
    <row r="110" spans="1:14">
      <c r="A110" s="2"/>
      <c r="B110"/>
      <c r="C110"/>
      <c r="D110"/>
      <c r="E110"/>
      <c r="F110" s="3"/>
      <c r="G110" s="15"/>
      <c r="H110" s="3"/>
      <c r="I110" s="4"/>
      <c r="J110" s="4"/>
      <c r="K110" s="4"/>
      <c r="L110" s="4"/>
      <c r="M110" s="4"/>
      <c r="N110" s="4"/>
    </row>
    <row r="111" spans="1:14">
      <c r="A111" s="2"/>
      <c r="B111"/>
      <c r="C111"/>
      <c r="D111"/>
      <c r="E111"/>
      <c r="F111" s="3"/>
      <c r="G111" s="15"/>
      <c r="H111" s="3"/>
      <c r="I111" s="4"/>
      <c r="J111" s="4"/>
      <c r="K111" s="4"/>
      <c r="L111" s="4"/>
      <c r="M111" s="4"/>
      <c r="N111" s="4"/>
    </row>
    <row r="112" spans="1:14">
      <c r="A112" s="2"/>
      <c r="B112"/>
      <c r="C112"/>
      <c r="D112"/>
      <c r="E112"/>
      <c r="F112" s="3"/>
      <c r="G112" s="15"/>
      <c r="H112" s="3"/>
      <c r="I112" s="4"/>
      <c r="J112" s="4"/>
      <c r="K112" s="4"/>
      <c r="L112" s="4"/>
      <c r="M112" s="4"/>
      <c r="N112" s="4"/>
    </row>
    <row r="113" spans="1:14">
      <c r="A113" s="2"/>
      <c r="B113"/>
      <c r="C113"/>
      <c r="D113"/>
      <c r="E113"/>
      <c r="F113" s="3"/>
      <c r="G113" s="15"/>
      <c r="H113" s="3"/>
      <c r="I113" s="4"/>
      <c r="J113" s="4"/>
      <c r="K113" s="4"/>
      <c r="L113" s="4"/>
      <c r="M113" s="4"/>
      <c r="N113" s="4"/>
    </row>
    <row r="114" spans="1:14">
      <c r="A114" s="2"/>
      <c r="B114"/>
      <c r="C114"/>
      <c r="D114"/>
      <c r="E114"/>
      <c r="F114" s="3"/>
      <c r="G114" s="15"/>
      <c r="H114" s="3"/>
      <c r="I114" s="4"/>
      <c r="J114" s="4"/>
      <c r="K114" s="4"/>
      <c r="L114" s="4"/>
      <c r="M114" s="4"/>
      <c r="N114" s="4"/>
    </row>
    <row r="115" spans="1:14">
      <c r="A115" s="2"/>
      <c r="B115"/>
      <c r="C115"/>
      <c r="D115"/>
      <c r="E115"/>
      <c r="F115" s="3"/>
      <c r="G115" s="15"/>
      <c r="H115" s="3"/>
      <c r="I115" s="4"/>
      <c r="J115" s="4"/>
      <c r="K115" s="4"/>
      <c r="L115" s="4"/>
      <c r="M115" s="4"/>
      <c r="N115" s="4"/>
    </row>
    <row r="116" spans="1:14">
      <c r="A116" s="2"/>
      <c r="B116"/>
      <c r="C116"/>
      <c r="D116"/>
      <c r="E116"/>
      <c r="F116" s="3"/>
      <c r="G116" s="15"/>
      <c r="H116" s="3"/>
      <c r="I116" s="4"/>
      <c r="J116" s="4"/>
      <c r="K116" s="4"/>
      <c r="L116" s="4"/>
      <c r="M116" s="4"/>
      <c r="N116" s="4"/>
    </row>
    <row r="117" spans="1:14">
      <c r="A117" s="2"/>
      <c r="B117"/>
      <c r="C117"/>
      <c r="D117"/>
      <c r="E117"/>
      <c r="F117" s="3"/>
      <c r="G117" s="15"/>
      <c r="H117" s="3"/>
      <c r="I117" s="4"/>
      <c r="J117" s="4"/>
      <c r="K117" s="4"/>
      <c r="L117" s="4"/>
      <c r="M117" s="4"/>
      <c r="N117" s="4"/>
    </row>
    <row r="118" spans="1:14">
      <c r="A118" s="2"/>
      <c r="B118"/>
      <c r="C118"/>
      <c r="D118"/>
      <c r="E118"/>
      <c r="F118" s="3"/>
      <c r="G118" s="15"/>
      <c r="H118" s="3"/>
      <c r="I118" s="4"/>
      <c r="J118" s="4"/>
      <c r="K118" s="4"/>
      <c r="L118" s="4"/>
      <c r="M118" s="4"/>
      <c r="N118" s="4"/>
    </row>
    <row r="119" spans="1:14">
      <c r="A119" s="2"/>
      <c r="B119"/>
      <c r="C119"/>
      <c r="D119"/>
      <c r="E119"/>
      <c r="F119" s="3"/>
      <c r="G119" s="15"/>
      <c r="H119" s="3"/>
      <c r="I119" s="4"/>
      <c r="J119" s="4"/>
      <c r="K119" s="4"/>
      <c r="L119" s="4"/>
      <c r="M119" s="4"/>
      <c r="N119" s="4"/>
    </row>
    <row r="120" spans="1:14">
      <c r="A120" s="2"/>
      <c r="B120"/>
      <c r="C120"/>
      <c r="D120"/>
      <c r="E120"/>
      <c r="F120" s="3"/>
      <c r="G120" s="15"/>
      <c r="H120" s="3"/>
      <c r="I120" s="4"/>
      <c r="J120" s="4"/>
      <c r="K120" s="4"/>
      <c r="L120" s="4"/>
      <c r="M120" s="4"/>
      <c r="N120" s="4"/>
    </row>
    <row r="121" spans="1:14">
      <c r="A121" s="2"/>
      <c r="B121"/>
      <c r="C121"/>
      <c r="D121"/>
      <c r="E121"/>
      <c r="F121" s="3"/>
      <c r="G121" s="15"/>
      <c r="H121" s="3"/>
      <c r="I121" s="4"/>
      <c r="J121" s="4"/>
      <c r="K121" s="4"/>
      <c r="L121" s="4"/>
      <c r="M121" s="4"/>
      <c r="N121" s="4"/>
    </row>
    <row r="122" spans="1:14">
      <c r="A122" s="2"/>
      <c r="B122"/>
      <c r="C122"/>
      <c r="D122"/>
      <c r="E122"/>
      <c r="F122" s="3"/>
      <c r="G122" s="15"/>
      <c r="H122" s="3"/>
      <c r="I122" s="4"/>
      <c r="J122" s="4"/>
      <c r="K122" s="4"/>
      <c r="L122" s="4"/>
      <c r="M122" s="4"/>
      <c r="N122" s="4"/>
    </row>
    <row r="123" spans="1:14">
      <c r="A123" s="2"/>
      <c r="B123"/>
      <c r="C123"/>
      <c r="D123"/>
      <c r="E123"/>
      <c r="F123" s="3"/>
      <c r="G123" s="15"/>
      <c r="H123" s="3"/>
      <c r="I123" s="4"/>
      <c r="J123" s="4"/>
      <c r="K123" s="4"/>
      <c r="L123" s="4"/>
      <c r="M123" s="4"/>
      <c r="N123" s="4"/>
    </row>
    <row r="124" spans="1:14">
      <c r="A124" s="2"/>
      <c r="B124"/>
      <c r="C124"/>
      <c r="D124"/>
      <c r="E124"/>
      <c r="F124" s="3"/>
      <c r="G124" s="15"/>
      <c r="H124" s="3"/>
      <c r="I124" s="4"/>
      <c r="J124" s="4"/>
      <c r="K124" s="4"/>
      <c r="L124" s="4"/>
      <c r="M124" s="4"/>
      <c r="N124" s="4"/>
    </row>
    <row r="125" spans="1:14">
      <c r="A125" s="2"/>
      <c r="B125"/>
      <c r="C125"/>
      <c r="D125"/>
      <c r="E125"/>
      <c r="F125" s="3"/>
      <c r="G125" s="15"/>
      <c r="H125" s="3"/>
      <c r="I125" s="4"/>
      <c r="J125" s="4"/>
      <c r="K125" s="4"/>
      <c r="L125" s="4"/>
      <c r="M125" s="4"/>
      <c r="N125" s="4"/>
    </row>
    <row r="126" spans="1:14">
      <c r="A126" s="2"/>
      <c r="B126"/>
      <c r="C126"/>
      <c r="D126"/>
      <c r="E126"/>
      <c r="F126" s="3"/>
      <c r="G126" s="15"/>
      <c r="H126" s="3"/>
      <c r="I126" s="4"/>
      <c r="J126" s="4"/>
      <c r="K126" s="4"/>
      <c r="L126" s="4"/>
      <c r="M126" s="4"/>
      <c r="N126" s="4"/>
    </row>
    <row r="127" spans="1:14">
      <c r="A127" s="2"/>
      <c r="B127"/>
      <c r="C127"/>
      <c r="D127"/>
      <c r="E127"/>
      <c r="F127" s="3"/>
      <c r="G127" s="15"/>
      <c r="H127" s="3"/>
      <c r="I127" s="4"/>
      <c r="J127" s="4"/>
      <c r="K127" s="4"/>
      <c r="L127" s="4"/>
      <c r="M127" s="4"/>
      <c r="N127" s="4"/>
    </row>
    <row r="128" spans="1:14">
      <c r="A128" s="2"/>
      <c r="B128"/>
      <c r="C128"/>
      <c r="D128"/>
      <c r="E128"/>
      <c r="F128" s="3"/>
      <c r="G128" s="15"/>
      <c r="H128" s="3"/>
      <c r="I128" s="4"/>
      <c r="J128" s="4"/>
      <c r="K128" s="4"/>
      <c r="L128" s="4"/>
      <c r="M128" s="4"/>
      <c r="N128" s="4"/>
    </row>
    <row r="129" spans="1:14">
      <c r="A129" s="2"/>
      <c r="B129"/>
      <c r="C129"/>
      <c r="D129"/>
      <c r="E129"/>
      <c r="F129" s="3"/>
      <c r="G129" s="15"/>
      <c r="H129" s="3"/>
      <c r="I129" s="4"/>
      <c r="J129" s="4"/>
      <c r="K129" s="4"/>
      <c r="L129" s="4"/>
      <c r="M129" s="4"/>
      <c r="N129" s="4"/>
    </row>
    <row r="130" spans="1:14">
      <c r="A130" s="2"/>
      <c r="B130"/>
      <c r="C130"/>
      <c r="D130"/>
      <c r="E130"/>
      <c r="F130" s="3"/>
      <c r="G130" s="15"/>
      <c r="H130" s="3"/>
      <c r="I130" s="4"/>
      <c r="J130" s="4"/>
      <c r="K130" s="4"/>
      <c r="L130" s="4"/>
      <c r="M130" s="4"/>
      <c r="N130" s="4"/>
    </row>
    <row r="131" spans="1:14">
      <c r="A131" s="2"/>
      <c r="B131"/>
      <c r="C131"/>
      <c r="D131"/>
      <c r="E131"/>
      <c r="F131" s="3"/>
      <c r="G131" s="15"/>
      <c r="H131" s="3"/>
      <c r="I131" s="4"/>
      <c r="J131" s="4"/>
      <c r="K131" s="4"/>
      <c r="L131" s="4"/>
      <c r="M131" s="4"/>
      <c r="N131" s="4"/>
    </row>
    <row r="132" spans="1:14">
      <c r="A132" s="2"/>
      <c r="B132"/>
      <c r="C132"/>
      <c r="D132"/>
      <c r="E132"/>
      <c r="F132" s="3"/>
      <c r="G132" s="15"/>
      <c r="H132" s="3"/>
      <c r="I132" s="4"/>
      <c r="J132" s="4"/>
      <c r="K132" s="4"/>
      <c r="L132" s="4"/>
      <c r="M132" s="4"/>
      <c r="N132" s="4"/>
    </row>
    <row r="133" spans="1:14">
      <c r="A133" s="2"/>
      <c r="B133"/>
      <c r="C133"/>
      <c r="D133"/>
      <c r="E133"/>
      <c r="F133" s="3"/>
      <c r="G133" s="15"/>
      <c r="H133" s="3"/>
      <c r="I133" s="4"/>
      <c r="J133" s="4"/>
      <c r="K133" s="4"/>
      <c r="L133" s="4"/>
      <c r="M133" s="4"/>
      <c r="N133" s="4"/>
    </row>
    <row r="134" spans="1:14">
      <c r="A134" s="2"/>
      <c r="B134"/>
      <c r="C134"/>
      <c r="D134"/>
      <c r="E134"/>
      <c r="F134" s="3"/>
      <c r="G134" s="15"/>
      <c r="H134" s="3"/>
      <c r="I134" s="4"/>
      <c r="J134" s="4"/>
      <c r="K134" s="4"/>
      <c r="L134" s="4"/>
      <c r="M134" s="4"/>
      <c r="N134" s="4"/>
    </row>
    <row r="135" spans="1:14">
      <c r="A135" s="2"/>
      <c r="B135"/>
      <c r="C135"/>
      <c r="D135"/>
      <c r="E135"/>
      <c r="F135" s="3"/>
      <c r="G135" s="15"/>
      <c r="H135" s="3"/>
      <c r="I135" s="4"/>
      <c r="J135" s="4"/>
      <c r="K135" s="4"/>
      <c r="L135" s="4"/>
      <c r="M135" s="4"/>
      <c r="N135" s="4"/>
    </row>
    <row r="136" spans="1:14">
      <c r="A136" s="2"/>
      <c r="B136"/>
      <c r="C136"/>
      <c r="D136"/>
      <c r="E136"/>
      <c r="F136" s="3"/>
      <c r="G136" s="15"/>
      <c r="H136" s="3"/>
      <c r="I136" s="4"/>
      <c r="J136" s="4"/>
      <c r="K136" s="4"/>
      <c r="L136" s="4"/>
      <c r="M136" s="4"/>
      <c r="N136" s="4"/>
    </row>
    <row r="137" spans="1:14">
      <c r="A137" s="2"/>
      <c r="B137"/>
      <c r="C137"/>
      <c r="D137"/>
      <c r="E137"/>
      <c r="F137" s="3"/>
      <c r="G137" s="15"/>
      <c r="H137" s="3"/>
      <c r="I137" s="4"/>
      <c r="J137" s="4"/>
      <c r="K137" s="4"/>
      <c r="L137" s="4"/>
      <c r="M137" s="4"/>
      <c r="N137" s="4"/>
    </row>
    <row r="138" spans="1:14">
      <c r="A138" s="2"/>
      <c r="B138"/>
      <c r="C138"/>
      <c r="D138"/>
      <c r="E138"/>
      <c r="F138" s="3"/>
      <c r="G138" s="15"/>
      <c r="H138" s="3"/>
      <c r="I138" s="4"/>
      <c r="J138" s="4"/>
      <c r="K138" s="4"/>
      <c r="L138" s="4"/>
      <c r="M138" s="4"/>
      <c r="N138" s="4"/>
    </row>
    <row r="139" spans="1:14">
      <c r="A139" s="2"/>
      <c r="B139"/>
      <c r="C139"/>
      <c r="D139"/>
      <c r="E139"/>
      <c r="F139" s="3"/>
      <c r="G139" s="15"/>
      <c r="H139" s="3"/>
      <c r="I139" s="4"/>
      <c r="J139" s="4"/>
      <c r="K139" s="4"/>
      <c r="L139" s="4"/>
      <c r="M139" s="4"/>
      <c r="N139" s="4"/>
    </row>
    <row r="140" spans="1:14">
      <c r="A140" s="2"/>
      <c r="B140"/>
      <c r="C140"/>
      <c r="D140"/>
      <c r="E140"/>
      <c r="F140" s="3"/>
      <c r="G140" s="15"/>
      <c r="H140" s="3"/>
      <c r="I140" s="4"/>
      <c r="J140" s="4"/>
      <c r="K140" s="4"/>
      <c r="L140" s="4"/>
      <c r="M140" s="4"/>
      <c r="N140" s="4"/>
    </row>
    <row r="141" spans="1:14">
      <c r="A141" s="2"/>
      <c r="B141"/>
      <c r="C141"/>
      <c r="D141"/>
      <c r="E141"/>
      <c r="F141" s="3"/>
      <c r="G141" s="15"/>
      <c r="H141" s="3"/>
      <c r="I141" s="4"/>
      <c r="J141" s="4"/>
      <c r="K141" s="4"/>
      <c r="L141" s="4"/>
      <c r="M141" s="4"/>
      <c r="N141" s="4"/>
    </row>
    <row r="142" spans="1:14">
      <c r="A142" s="2"/>
      <c r="B142"/>
      <c r="C142"/>
      <c r="D142"/>
      <c r="E142"/>
      <c r="F142" s="3"/>
      <c r="G142" s="15"/>
      <c r="H142" s="3"/>
      <c r="I142" s="4"/>
      <c r="J142" s="4"/>
      <c r="K142" s="4"/>
      <c r="L142" s="4"/>
      <c r="M142" s="4"/>
      <c r="N142" s="4"/>
    </row>
    <row r="143" spans="1:14">
      <c r="A143" s="2"/>
      <c r="B143"/>
      <c r="C143"/>
      <c r="D143"/>
      <c r="E143"/>
      <c r="F143" s="3"/>
      <c r="G143" s="15"/>
      <c r="H143" s="3"/>
      <c r="I143" s="4"/>
      <c r="J143" s="4"/>
      <c r="K143" s="4"/>
      <c r="L143" s="4"/>
      <c r="M143" s="4"/>
      <c r="N143" s="4"/>
    </row>
    <row r="144" spans="1:14">
      <c r="A144" s="2"/>
      <c r="B144"/>
      <c r="C144"/>
      <c r="D144"/>
      <c r="E144"/>
      <c r="F144" s="3"/>
      <c r="G144" s="15"/>
      <c r="H144" s="3"/>
      <c r="I144" s="4"/>
      <c r="J144" s="4"/>
      <c r="K144" s="4"/>
      <c r="L144" s="4"/>
      <c r="M144" s="4"/>
      <c r="N144" s="4"/>
    </row>
    <row r="145" spans="1:14">
      <c r="A145" s="2"/>
      <c r="B145"/>
      <c r="C145"/>
      <c r="D145"/>
      <c r="E145"/>
      <c r="F145" s="3"/>
      <c r="G145" s="15"/>
      <c r="H145" s="3"/>
      <c r="I145" s="4"/>
      <c r="J145" s="4"/>
      <c r="K145" s="4"/>
      <c r="L145" s="4"/>
      <c r="M145" s="4"/>
      <c r="N145" s="4"/>
    </row>
    <row r="146" spans="1:14">
      <c r="A146" s="2"/>
      <c r="B146"/>
      <c r="C146"/>
      <c r="D146"/>
      <c r="E146"/>
      <c r="F146" s="3"/>
      <c r="G146" s="15"/>
      <c r="H146" s="3"/>
      <c r="I146" s="4"/>
      <c r="J146" s="4"/>
      <c r="K146" s="4"/>
      <c r="L146" s="4"/>
      <c r="M146" s="4"/>
      <c r="N146" s="4"/>
    </row>
    <row r="147" spans="1:14">
      <c r="A147" s="2"/>
      <c r="B147"/>
      <c r="C147"/>
      <c r="D147"/>
      <c r="E147"/>
      <c r="F147" s="3"/>
      <c r="G147" s="15"/>
      <c r="H147" s="3"/>
      <c r="I147" s="4"/>
      <c r="J147" s="4"/>
      <c r="K147" s="4"/>
      <c r="L147" s="4"/>
      <c r="M147" s="4"/>
      <c r="N147" s="4"/>
    </row>
    <row r="148" spans="1:14">
      <c r="A148" s="2"/>
      <c r="B148"/>
      <c r="C148"/>
      <c r="D148"/>
      <c r="E148"/>
      <c r="F148" s="3"/>
      <c r="G148" s="15"/>
      <c r="H148" s="3"/>
      <c r="I148" s="4"/>
      <c r="J148" s="4"/>
      <c r="K148" s="4"/>
      <c r="L148" s="4"/>
      <c r="M148" s="4"/>
      <c r="N148" s="4"/>
    </row>
    <row r="149" spans="1:14">
      <c r="A149" s="2"/>
      <c r="B149"/>
      <c r="C149"/>
      <c r="D149"/>
      <c r="E149"/>
      <c r="F149" s="3"/>
      <c r="G149" s="15"/>
      <c r="H149" s="3"/>
      <c r="I149" s="4"/>
      <c r="J149" s="4"/>
      <c r="K149" s="4"/>
      <c r="L149" s="4"/>
      <c r="M149" s="4"/>
      <c r="N149" s="4"/>
    </row>
    <row r="150" spans="1:14">
      <c r="A150" s="2"/>
      <c r="B150"/>
      <c r="C150"/>
      <c r="D150"/>
      <c r="E150"/>
      <c r="F150" s="3"/>
      <c r="G150" s="15"/>
      <c r="H150" s="3"/>
      <c r="I150" s="4"/>
      <c r="J150" s="4"/>
      <c r="K150" s="4"/>
      <c r="L150" s="4"/>
      <c r="M150" s="4"/>
      <c r="N150" s="4"/>
    </row>
    <row r="151" spans="1:14">
      <c r="A151" s="2"/>
      <c r="B151"/>
      <c r="C151"/>
      <c r="D151"/>
      <c r="E151"/>
      <c r="F151" s="3"/>
      <c r="G151" s="15"/>
      <c r="H151" s="3"/>
      <c r="I151" s="4"/>
      <c r="J151" s="4"/>
      <c r="K151" s="4"/>
      <c r="L151" s="4"/>
      <c r="M151" s="4"/>
      <c r="N151" s="4"/>
    </row>
    <row r="152" spans="1:14">
      <c r="A152" s="2"/>
      <c r="B152"/>
      <c r="C152"/>
      <c r="D152"/>
      <c r="E152"/>
      <c r="F152" s="3"/>
      <c r="G152" s="15"/>
      <c r="H152" s="3"/>
      <c r="I152" s="4"/>
      <c r="J152" s="4"/>
      <c r="K152" s="4"/>
      <c r="L152" s="4"/>
      <c r="M152" s="4"/>
      <c r="N152" s="4"/>
    </row>
    <row r="153" spans="1:14">
      <c r="A153" s="2"/>
      <c r="B153"/>
      <c r="C153"/>
      <c r="D153"/>
      <c r="E153"/>
      <c r="F153" s="3"/>
      <c r="G153" s="15"/>
      <c r="H153" s="3"/>
      <c r="I153" s="4"/>
      <c r="J153" s="4"/>
      <c r="K153" s="4"/>
      <c r="L153" s="4"/>
      <c r="M153" s="4"/>
      <c r="N153" s="4"/>
    </row>
    <row r="154" spans="1:14">
      <c r="A154" s="2"/>
      <c r="B154"/>
      <c r="C154"/>
      <c r="D154"/>
      <c r="E154"/>
      <c r="F154" s="3"/>
      <c r="G154" s="15"/>
      <c r="H154" s="3"/>
      <c r="I154" s="4"/>
      <c r="J154" s="4"/>
      <c r="K154" s="4"/>
      <c r="L154" s="4"/>
      <c r="M154" s="4"/>
      <c r="N154" s="4"/>
    </row>
    <row r="155" spans="1:14">
      <c r="A155" s="2"/>
      <c r="B155"/>
      <c r="C155"/>
      <c r="D155"/>
      <c r="E155"/>
      <c r="F155" s="3"/>
      <c r="G155" s="15"/>
      <c r="H155" s="3"/>
      <c r="I155" s="4"/>
      <c r="J155" s="4"/>
      <c r="K155" s="4"/>
      <c r="L155" s="4"/>
      <c r="M155" s="4"/>
      <c r="N155" s="4"/>
    </row>
    <row r="156" spans="1:14">
      <c r="A156" s="2"/>
      <c r="B156"/>
      <c r="C156"/>
      <c r="D156"/>
      <c r="E156"/>
      <c r="F156" s="3"/>
      <c r="G156" s="15"/>
      <c r="H156" s="3"/>
      <c r="I156" s="4"/>
      <c r="J156" s="4"/>
      <c r="K156" s="4"/>
      <c r="L156" s="4"/>
      <c r="M156" s="4"/>
      <c r="N156" s="4"/>
    </row>
    <row r="157" spans="1:14">
      <c r="A157" s="2"/>
      <c r="B157"/>
      <c r="C157"/>
      <c r="D157"/>
      <c r="E157"/>
      <c r="F157" s="3"/>
      <c r="G157" s="15"/>
      <c r="H157" s="3"/>
      <c r="I157" s="4"/>
      <c r="J157" s="4"/>
      <c r="K157" s="4"/>
      <c r="L157" s="4"/>
      <c r="M157" s="4"/>
      <c r="N157" s="4"/>
    </row>
    <row r="158" spans="1:14">
      <c r="A158" s="2"/>
      <c r="B158"/>
      <c r="C158"/>
      <c r="D158"/>
      <c r="E158"/>
      <c r="F158" s="3"/>
      <c r="G158" s="15"/>
      <c r="H158" s="3"/>
      <c r="I158" s="4"/>
      <c r="J158" s="4"/>
      <c r="K158" s="4"/>
      <c r="L158" s="4"/>
      <c r="M158" s="4"/>
      <c r="N158" s="4"/>
    </row>
    <row r="159" spans="1:14">
      <c r="A159" s="2"/>
      <c r="B159"/>
      <c r="C159"/>
      <c r="D159"/>
      <c r="E159"/>
      <c r="F159" s="3"/>
      <c r="G159" s="15"/>
      <c r="H159" s="3"/>
      <c r="I159" s="4"/>
      <c r="J159" s="4"/>
      <c r="K159" s="4"/>
      <c r="L159" s="4"/>
      <c r="M159" s="4"/>
      <c r="N159" s="4"/>
    </row>
    <row r="160" spans="1:14">
      <c r="A160" s="2"/>
      <c r="B160"/>
      <c r="C160"/>
      <c r="D160"/>
      <c r="E160"/>
      <c r="F160" s="3"/>
      <c r="G160" s="15"/>
      <c r="H160" s="3"/>
      <c r="I160" s="4"/>
      <c r="J160" s="4"/>
      <c r="K160" s="4"/>
      <c r="L160" s="4"/>
      <c r="M160" s="4"/>
      <c r="N160" s="4"/>
    </row>
    <row r="161" spans="1:14">
      <c r="A161" s="2"/>
      <c r="B161"/>
      <c r="C161"/>
      <c r="D161"/>
      <c r="E161"/>
      <c r="F161" s="3"/>
      <c r="G161" s="15"/>
      <c r="H161" s="3"/>
      <c r="I161" s="4"/>
      <c r="J161" s="4"/>
      <c r="K161" s="4"/>
      <c r="L161" s="4"/>
      <c r="M161" s="4"/>
      <c r="N161" s="4"/>
    </row>
    <row r="162" spans="1:14">
      <c r="A162" s="2"/>
      <c r="B162"/>
      <c r="C162"/>
      <c r="D162"/>
      <c r="E162"/>
      <c r="F162" s="3"/>
      <c r="G162" s="15"/>
      <c r="H162" s="3"/>
      <c r="I162" s="4"/>
      <c r="J162" s="4"/>
      <c r="K162" s="4"/>
      <c r="L162" s="4"/>
      <c r="M162" s="4"/>
      <c r="N162" s="4"/>
    </row>
    <row r="163" spans="1:14">
      <c r="A163" s="2"/>
      <c r="B163"/>
      <c r="C163"/>
      <c r="D163"/>
      <c r="E163"/>
      <c r="F163" s="3"/>
      <c r="G163" s="15"/>
      <c r="H163" s="3"/>
      <c r="I163" s="4"/>
      <c r="J163" s="4"/>
      <c r="K163" s="4"/>
      <c r="L163" s="4"/>
      <c r="M163" s="4"/>
      <c r="N163" s="4"/>
    </row>
    <row r="164" spans="1:14">
      <c r="A164" s="2"/>
      <c r="B164"/>
      <c r="C164"/>
      <c r="D164"/>
      <c r="E164"/>
      <c r="F164" s="3"/>
      <c r="G164" s="15"/>
      <c r="H164" s="3"/>
      <c r="I164" s="4"/>
      <c r="J164" s="4"/>
      <c r="K164" s="4"/>
      <c r="L164" s="4"/>
      <c r="M164" s="4"/>
      <c r="N164" s="4"/>
    </row>
    <row r="165" spans="1:14">
      <c r="A165" s="2"/>
      <c r="B165"/>
      <c r="C165"/>
      <c r="D165"/>
      <c r="E165"/>
      <c r="F165" s="3"/>
      <c r="G165" s="15"/>
      <c r="H165" s="3"/>
      <c r="I165" s="4"/>
      <c r="J165" s="4"/>
      <c r="K165" s="4"/>
      <c r="L165" s="4"/>
      <c r="M165" s="4"/>
      <c r="N165" s="4"/>
    </row>
    <row r="166" spans="1:14">
      <c r="A166" s="2"/>
      <c r="B166"/>
      <c r="C166"/>
      <c r="D166"/>
      <c r="E166"/>
      <c r="F166" s="3"/>
      <c r="G166" s="15"/>
      <c r="H166" s="3"/>
      <c r="I166" s="4"/>
      <c r="J166" s="4"/>
      <c r="K166" s="4"/>
      <c r="L166" s="4"/>
      <c r="M166" s="4"/>
      <c r="N166" s="4"/>
    </row>
    <row r="167" spans="1:14">
      <c r="A167" s="2"/>
      <c r="B167"/>
      <c r="C167"/>
      <c r="D167"/>
      <c r="E167"/>
      <c r="F167" s="3"/>
      <c r="G167" s="15"/>
      <c r="H167" s="3"/>
      <c r="I167" s="4"/>
      <c r="J167" s="4"/>
      <c r="K167" s="4"/>
      <c r="L167" s="4"/>
      <c r="M167" s="4"/>
      <c r="N167" s="4"/>
    </row>
    <row r="168" spans="1:14">
      <c r="A168" s="2"/>
      <c r="B168"/>
      <c r="C168"/>
      <c r="D168"/>
      <c r="E168"/>
      <c r="F168" s="3"/>
      <c r="G168" s="15"/>
      <c r="H168" s="3"/>
      <c r="I168" s="4"/>
      <c r="J168" s="4"/>
      <c r="K168" s="4"/>
      <c r="L168" s="4"/>
      <c r="M168" s="4"/>
      <c r="N168" s="4"/>
    </row>
    <row r="169" spans="1:14">
      <c r="A169" s="2"/>
      <c r="B169"/>
      <c r="C169"/>
      <c r="D169"/>
      <c r="E169"/>
      <c r="F169" s="3"/>
      <c r="G169" s="15"/>
      <c r="H169" s="3"/>
      <c r="I169" s="4"/>
      <c r="J169" s="4"/>
      <c r="K169" s="4"/>
      <c r="L169" s="4"/>
      <c r="M169" s="4"/>
      <c r="N169" s="4"/>
    </row>
    <row r="170" spans="1:14">
      <c r="A170" s="2"/>
      <c r="B170"/>
      <c r="C170"/>
      <c r="D170"/>
      <c r="E170"/>
      <c r="F170" s="3"/>
      <c r="G170" s="15"/>
      <c r="H170" s="3"/>
      <c r="I170" s="4"/>
      <c r="J170" s="4"/>
      <c r="K170" s="4"/>
      <c r="L170" s="4"/>
      <c r="M170" s="4"/>
      <c r="N170" s="4"/>
    </row>
    <row r="171" spans="1:14">
      <c r="A171" s="2"/>
      <c r="B171"/>
      <c r="C171"/>
      <c r="D171"/>
      <c r="E171"/>
      <c r="F171" s="3"/>
      <c r="G171" s="15"/>
      <c r="H171" s="3"/>
      <c r="I171" s="4"/>
      <c r="J171" s="4"/>
      <c r="K171" s="4"/>
      <c r="L171" s="4"/>
      <c r="M171" s="4"/>
      <c r="N171" s="4"/>
    </row>
    <row r="172" spans="1:14">
      <c r="A172" s="2"/>
      <c r="B172"/>
      <c r="C172"/>
      <c r="D172"/>
      <c r="E172"/>
      <c r="F172" s="3"/>
      <c r="G172" s="15"/>
      <c r="H172" s="3"/>
      <c r="I172" s="4"/>
      <c r="J172" s="4"/>
      <c r="K172" s="4"/>
      <c r="L172" s="4"/>
      <c r="M172" s="4"/>
      <c r="N172" s="4"/>
    </row>
    <row r="173" spans="1:14">
      <c r="A173" s="2"/>
      <c r="B173"/>
      <c r="C173"/>
      <c r="D173"/>
      <c r="E173"/>
      <c r="F173" s="3"/>
      <c r="G173" s="15"/>
      <c r="H173" s="3"/>
      <c r="I173" s="4"/>
      <c r="J173" s="4"/>
      <c r="K173" s="4"/>
      <c r="L173" s="4"/>
      <c r="M173" s="4"/>
      <c r="N173" s="4"/>
    </row>
    <row r="174" spans="1:14">
      <c r="A174" s="2"/>
      <c r="B174"/>
      <c r="C174"/>
      <c r="D174"/>
      <c r="E174"/>
      <c r="F174" s="3"/>
      <c r="G174" s="15"/>
      <c r="H174" s="3"/>
      <c r="I174" s="4"/>
      <c r="J174" s="4"/>
      <c r="K174" s="4"/>
      <c r="L174" s="4"/>
      <c r="M174" s="4"/>
      <c r="N174" s="4"/>
    </row>
    <row r="175" spans="1:14">
      <c r="A175" s="2"/>
      <c r="B175"/>
      <c r="C175"/>
      <c r="D175"/>
      <c r="E175"/>
      <c r="F175" s="3"/>
      <c r="G175" s="15"/>
      <c r="H175" s="3"/>
      <c r="I175" s="4"/>
      <c r="J175" s="4"/>
      <c r="K175" s="4"/>
      <c r="L175" s="4"/>
      <c r="M175" s="4"/>
      <c r="N175" s="4"/>
    </row>
    <row r="176" spans="1:14">
      <c r="A176" s="2"/>
      <c r="B176"/>
      <c r="C176"/>
      <c r="D176"/>
      <c r="E176"/>
      <c r="F176" s="3"/>
      <c r="G176" s="15"/>
      <c r="H176" s="3"/>
      <c r="I176" s="4"/>
      <c r="J176" s="4"/>
      <c r="K176" s="4"/>
      <c r="L176" s="4"/>
      <c r="M176" s="4"/>
      <c r="N176" s="4"/>
    </row>
    <row r="177" spans="1:14">
      <c r="A177" s="2"/>
      <c r="B177"/>
      <c r="C177"/>
      <c r="D177"/>
      <c r="E177"/>
      <c r="F177" s="3"/>
      <c r="G177" s="15"/>
      <c r="H177" s="3"/>
      <c r="I177" s="4"/>
      <c r="J177" s="4"/>
      <c r="K177" s="4"/>
      <c r="L177" s="4"/>
      <c r="M177" s="4"/>
      <c r="N177" s="4"/>
    </row>
    <row r="178" spans="1:14">
      <c r="A178" s="2"/>
      <c r="B178"/>
      <c r="C178"/>
      <c r="D178"/>
      <c r="E178"/>
      <c r="F178" s="3"/>
      <c r="G178" s="15"/>
      <c r="H178" s="3"/>
      <c r="I178" s="4"/>
      <c r="J178" s="4"/>
      <c r="K178" s="4"/>
      <c r="L178" s="4"/>
      <c r="M178" s="4"/>
      <c r="N178" s="4"/>
    </row>
    <row r="179" spans="1:14">
      <c r="A179" s="2"/>
      <c r="B179"/>
      <c r="C179"/>
      <c r="D179"/>
      <c r="E179"/>
      <c r="F179" s="3"/>
      <c r="G179" s="15"/>
      <c r="H179" s="3"/>
      <c r="I179" s="4"/>
      <c r="J179" s="4"/>
      <c r="K179" s="4"/>
      <c r="L179" s="4"/>
      <c r="M179" s="4"/>
      <c r="N179" s="4"/>
    </row>
    <row r="180" spans="1:14">
      <c r="A180" s="2"/>
      <c r="B180"/>
      <c r="C180"/>
      <c r="D180"/>
      <c r="E180"/>
      <c r="F180" s="3"/>
      <c r="G180" s="15"/>
      <c r="H180" s="3"/>
      <c r="I180" s="4"/>
      <c r="J180" s="4"/>
      <c r="K180" s="4"/>
      <c r="L180" s="4"/>
      <c r="M180" s="4"/>
      <c r="N180" s="4"/>
    </row>
    <row r="181" spans="1:14">
      <c r="A181" s="2"/>
      <c r="B181"/>
      <c r="C181"/>
      <c r="D181"/>
      <c r="E181"/>
      <c r="F181" s="3"/>
      <c r="G181" s="15"/>
      <c r="H181" s="3"/>
      <c r="I181" s="4"/>
      <c r="J181" s="4"/>
      <c r="K181" s="4"/>
      <c r="L181" s="4"/>
      <c r="M181" s="4"/>
      <c r="N181" s="4"/>
    </row>
    <row r="182" spans="1:14">
      <c r="A182" s="2"/>
      <c r="B182"/>
      <c r="C182"/>
      <c r="D182"/>
      <c r="E182"/>
      <c r="F182" s="3"/>
      <c r="G182" s="15"/>
      <c r="H182" s="3"/>
      <c r="I182" s="4"/>
      <c r="J182" s="4"/>
      <c r="K182" s="4"/>
      <c r="L182" s="4"/>
      <c r="M182" s="4"/>
      <c r="N182" s="4"/>
    </row>
    <row r="183" spans="1:14">
      <c r="A183" s="2"/>
      <c r="B183"/>
      <c r="C183"/>
      <c r="D183"/>
      <c r="E183"/>
      <c r="F183" s="3"/>
      <c r="G183" s="15"/>
      <c r="H183" s="3"/>
      <c r="I183" s="4"/>
      <c r="J183" s="4"/>
      <c r="K183" s="4"/>
      <c r="L183" s="4"/>
      <c r="M183" s="4"/>
      <c r="N183" s="4"/>
    </row>
    <row r="184" spans="1:14">
      <c r="A184" s="2"/>
      <c r="B184"/>
      <c r="C184"/>
      <c r="D184"/>
      <c r="E184"/>
      <c r="F184" s="3"/>
      <c r="G184" s="15"/>
      <c r="H184" s="3"/>
      <c r="I184" s="4"/>
      <c r="J184" s="4"/>
      <c r="K184" s="4"/>
      <c r="L184" s="4"/>
      <c r="M184" s="4"/>
      <c r="N184" s="4"/>
    </row>
    <row r="185" spans="1:14">
      <c r="A185" s="2"/>
      <c r="B185"/>
      <c r="C185"/>
      <c r="D185"/>
      <c r="E185"/>
      <c r="F185" s="3"/>
      <c r="G185" s="15"/>
      <c r="H185" s="3"/>
      <c r="I185" s="4"/>
      <c r="J185" s="4"/>
      <c r="K185" s="4"/>
      <c r="L185" s="4"/>
      <c r="M185" s="4"/>
      <c r="N185" s="4"/>
    </row>
    <row r="186" spans="1:14">
      <c r="A186" s="2"/>
      <c r="B186"/>
      <c r="C186"/>
      <c r="D186"/>
      <c r="E186"/>
      <c r="F186" s="3"/>
      <c r="G186" s="15"/>
      <c r="H186" s="3"/>
      <c r="I186" s="4"/>
      <c r="J186" s="4"/>
      <c r="K186" s="4"/>
      <c r="L186" s="4"/>
      <c r="M186" s="4"/>
      <c r="N186" s="4"/>
    </row>
    <row r="187" spans="1:14">
      <c r="A187" s="2"/>
      <c r="B187"/>
      <c r="C187"/>
      <c r="D187"/>
      <c r="E187"/>
      <c r="F187" s="3"/>
      <c r="G187" s="15"/>
      <c r="H187" s="3"/>
      <c r="I187" s="4"/>
      <c r="J187" s="4"/>
      <c r="K187" s="4"/>
      <c r="L187" s="4"/>
      <c r="M187" s="4"/>
      <c r="N187" s="4"/>
    </row>
    <row r="188" spans="1:14">
      <c r="A188" s="2"/>
      <c r="B188"/>
      <c r="C188"/>
      <c r="D188"/>
      <c r="E188"/>
      <c r="F188" s="3"/>
      <c r="G188" s="15"/>
      <c r="H188" s="3"/>
      <c r="I188" s="4"/>
      <c r="J188" s="4"/>
      <c r="K188" s="4"/>
      <c r="L188" s="4"/>
      <c r="M188" s="4"/>
      <c r="N188" s="4"/>
    </row>
    <row r="189" spans="1:14">
      <c r="A189" s="2"/>
      <c r="B189"/>
      <c r="C189"/>
      <c r="D189"/>
      <c r="E189"/>
      <c r="F189" s="3"/>
      <c r="G189" s="15"/>
      <c r="H189" s="3"/>
      <c r="I189" s="4"/>
      <c r="J189" s="4"/>
      <c r="K189" s="4"/>
      <c r="L189" s="4"/>
      <c r="M189" s="4"/>
      <c r="N189" s="4"/>
    </row>
    <row r="190" spans="1:14">
      <c r="A190" s="2"/>
      <c r="B190"/>
      <c r="C190"/>
      <c r="D190"/>
      <c r="E190"/>
      <c r="F190" s="3"/>
      <c r="G190" s="15"/>
      <c r="H190" s="3"/>
      <c r="I190" s="4"/>
      <c r="J190" s="4"/>
      <c r="K190" s="4"/>
      <c r="L190" s="4"/>
      <c r="M190" s="4"/>
      <c r="N190" s="4"/>
    </row>
    <row r="191" spans="1:14">
      <c r="A191" s="2"/>
      <c r="B191"/>
      <c r="C191"/>
      <c r="D191"/>
      <c r="E191"/>
      <c r="F191" s="3"/>
      <c r="G191" s="15"/>
      <c r="H191" s="3"/>
      <c r="I191" s="4"/>
      <c r="J191" s="4"/>
      <c r="K191" s="4"/>
      <c r="L191" s="4"/>
      <c r="M191" s="4"/>
      <c r="N191" s="4"/>
    </row>
    <row r="192" spans="1:14">
      <c r="A192" s="2"/>
      <c r="B192"/>
      <c r="C192"/>
      <c r="D192"/>
      <c r="E192"/>
      <c r="F192" s="3"/>
      <c r="G192" s="15"/>
      <c r="H192" s="3"/>
      <c r="I192" s="4"/>
      <c r="J192" s="4"/>
      <c r="K192" s="4"/>
      <c r="L192" s="4"/>
      <c r="M192" s="4"/>
      <c r="N192" s="4"/>
    </row>
    <row r="193" spans="1:14">
      <c r="A193" s="2"/>
      <c r="B193"/>
      <c r="C193"/>
      <c r="D193"/>
      <c r="E193"/>
      <c r="F193" s="3"/>
      <c r="G193" s="15"/>
      <c r="H193" s="3"/>
      <c r="I193" s="4"/>
      <c r="J193" s="4"/>
      <c r="K193" s="4"/>
      <c r="L193" s="4"/>
      <c r="M193" s="4"/>
      <c r="N193" s="4"/>
    </row>
    <row r="194" spans="1:14">
      <c r="A194" s="2"/>
      <c r="B194"/>
      <c r="C194"/>
      <c r="D194"/>
      <c r="E194"/>
      <c r="F194" s="3"/>
      <c r="G194" s="15"/>
      <c r="H194" s="3"/>
      <c r="I194" s="4"/>
      <c r="J194" s="4"/>
      <c r="K194" s="4"/>
      <c r="L194" s="4"/>
      <c r="M194" s="4"/>
      <c r="N194" s="4"/>
    </row>
    <row r="195" spans="1:14">
      <c r="A195" s="2"/>
      <c r="B195"/>
      <c r="C195"/>
      <c r="D195"/>
      <c r="E195"/>
      <c r="F195" s="3"/>
      <c r="G195" s="15"/>
      <c r="H195" s="3"/>
      <c r="I195" s="4"/>
      <c r="J195" s="4"/>
      <c r="K195" s="4"/>
      <c r="L195" s="4"/>
      <c r="M195" s="4"/>
      <c r="N195" s="4"/>
    </row>
    <row r="196" spans="1:14">
      <c r="A196" s="2"/>
      <c r="B196"/>
      <c r="C196"/>
      <c r="D196"/>
      <c r="E196"/>
      <c r="F196" s="3"/>
      <c r="G196" s="15"/>
      <c r="H196" s="3"/>
      <c r="I196" s="4"/>
      <c r="J196" s="4"/>
      <c r="K196" s="4"/>
      <c r="L196" s="4"/>
      <c r="M196" s="4"/>
      <c r="N196" s="4"/>
    </row>
    <row r="197" spans="1:14">
      <c r="A197" s="2"/>
      <c r="B197"/>
      <c r="C197"/>
      <c r="D197"/>
      <c r="E197"/>
      <c r="F197" s="3"/>
      <c r="G197" s="15"/>
      <c r="H197" s="3"/>
      <c r="I197" s="4"/>
      <c r="J197" s="4"/>
      <c r="K197" s="4"/>
      <c r="L197" s="4"/>
      <c r="M197" s="4"/>
      <c r="N197" s="4"/>
    </row>
    <row r="198" spans="1:14">
      <c r="A198" s="2"/>
      <c r="B198"/>
      <c r="C198"/>
      <c r="D198"/>
      <c r="E198"/>
      <c r="F198" s="3"/>
      <c r="G198" s="15"/>
      <c r="H198" s="3"/>
      <c r="I198" s="4"/>
      <c r="J198" s="4"/>
      <c r="K198" s="4"/>
      <c r="L198" s="4"/>
      <c r="M198" s="4"/>
      <c r="N198" s="4"/>
    </row>
    <row r="199" spans="1:14">
      <c r="A199" s="2"/>
      <c r="B199"/>
      <c r="C199"/>
      <c r="D199"/>
      <c r="E199"/>
      <c r="F199" s="3"/>
      <c r="G199" s="15"/>
      <c r="H199" s="3"/>
      <c r="I199" s="4"/>
      <c r="J199" s="4"/>
      <c r="K199" s="4"/>
      <c r="L199" s="4"/>
      <c r="M199" s="4"/>
      <c r="N199" s="4"/>
    </row>
    <row r="200" spans="1:14">
      <c r="A200" s="2"/>
      <c r="E200">
        <f>VLOOKUP(TablaMarimba6[[#This Row],[Equipo]],Catalogos!$I$4:$J$35,2,FALSE)</f>
      </c>
      <c r="F200" s="3"/>
      <c r="G200" s="15"/>
      <c r="H200" s="3"/>
      <c r="I200" s="4">
        <v>28.3</v>
      </c>
      <c r="J200" s="4"/>
      <c r="K200" s="4"/>
      <c r="L200" s="4">
        <f>(TablaMarimba6[[#This Row],[Saldo inicial(vales)]]-TablaMarimba6[[#This Row],[Importe]])</f>
      </c>
      <c r="M200" s="4"/>
      <c r="N200" s="4"/>
    </row>
    <row r="201" spans="1:14">
      <c r="A201" s="2"/>
      <c r="E201">
        <f>VLOOKUP(TablaMarimba6[[#This Row],[Equipo]],Catalogos!$I$4:$J$35,2,FALSE)</f>
      </c>
      <c r="F201" s="3"/>
      <c r="G201" s="15"/>
      <c r="H201" s="3"/>
      <c r="I201" s="4">
        <v>28.3</v>
      </c>
      <c r="J201" s="4"/>
      <c r="K201" s="4"/>
      <c r="L201" s="4">
        <f>(TablaMarimba6[[#This Row],[Saldo inicial(vales)]]-TablaMarimba6[[#This Row],[Importe]])</f>
      </c>
      <c r="M201" s="4"/>
      <c r="N201" s="4"/>
    </row>
    <row r="202" spans="1:14">
      <c r="A202" s="2"/>
      <c r="E202">
        <f>VLOOKUP(TablaMarimba6[[#This Row],[Equipo]],Catalogos!$I$4:$J$35,2,FALSE)</f>
      </c>
      <c r="F202" s="3"/>
      <c r="G202" s="15"/>
      <c r="H202" s="3"/>
      <c r="I202" s="4">
        <v>28.3</v>
      </c>
      <c r="J202" s="4"/>
      <c r="K202" s="4"/>
      <c r="L202" s="4">
        <f>(TablaMarimba6[[#This Row],[Saldo inicial(vales)]]-TablaMarimba6[[#This Row],[Importe]])</f>
      </c>
      <c r="M202" s="4"/>
      <c r="N202" s="4"/>
    </row>
    <row r="203" spans="1:14">
      <c r="A203" s="2"/>
      <c r="E203">
        <f>VLOOKUP(TablaMarimba6[[#This Row],[Equipo]],Catalogos!$I$4:$J$35,2,FALSE)</f>
      </c>
      <c r="F203" s="3"/>
      <c r="G203" s="15"/>
      <c r="H203" s="3"/>
      <c r="I203" s="4">
        <v>28.3</v>
      </c>
      <c r="J203" s="4"/>
      <c r="K203" s="4"/>
      <c r="L203" s="4">
        <f>(TablaMarimba6[[#This Row],[Saldo inicial(vales)]]-TablaMarimba6[[#This Row],[Importe]])</f>
      </c>
      <c r="M203" s="4"/>
      <c r="N203" s="4"/>
    </row>
    <row r="204" spans="1:14">
      <c r="A204" s="2"/>
      <c r="E204">
        <f>VLOOKUP(TablaMarimba6[[#This Row],[Equipo]],Catalogos!$I$4:$J$35,2,FALSE)</f>
      </c>
      <c r="F204" s="3"/>
      <c r="G204" s="15"/>
      <c r="H204" s="3"/>
      <c r="I204" s="4">
        <v>28.3</v>
      </c>
      <c r="J204" s="4">
        <f t="shared" ref="J204:J206" si="13">IFERROR((F204+G204)*I204,0)</f>
      </c>
      <c r="K204" s="4"/>
      <c r="L204" s="4">
        <f>(TablaMarimba6[[#This Row],[Saldo inicial(vales)]]-TablaMarimba6[[#This Row],[Importe]])</f>
      </c>
      <c r="M204" s="4"/>
      <c r="N204" s="4"/>
    </row>
    <row r="205" spans="1:14">
      <c r="A205" s="2"/>
      <c r="E205">
        <f>VLOOKUP(TablaMarimba6[[#This Row],[Equipo]],Catalogos!$I$4:$J$35,2,FALSE)</f>
      </c>
      <c r="F205" s="3"/>
      <c r="G205" s="15"/>
      <c r="H205" s="3"/>
      <c r="I205" s="4">
        <v>28.3</v>
      </c>
      <c r="J205" s="4">
        <f t="shared" si="13"/>
      </c>
      <c r="K205" s="4"/>
      <c r="L205" s="4">
        <f>(TablaMarimba6[[#This Row],[Saldo inicial(vales)]]-TablaMarimba6[[#This Row],[Importe]])</f>
      </c>
      <c r="M205" s="4"/>
      <c r="N205" s="4"/>
    </row>
    <row r="206" spans="1:14">
      <c r="A206" s="2"/>
      <c r="E206">
        <f>VLOOKUP(TablaMarimba6[[#This Row],[Equipo]],Catalogos!$I$4:$J$35,2,FALSE)</f>
      </c>
      <c r="F206" s="3"/>
      <c r="G206" s="15"/>
      <c r="H206" s="3"/>
      <c r="I206" s="4">
        <v>28.3</v>
      </c>
      <c r="J206" s="4">
        <f t="shared" si="13"/>
      </c>
      <c r="K206" s="4"/>
      <c r="L206" s="4">
        <f>(TablaMarimba6[[#This Row],[Saldo inicial(vales)]]-TablaMarimba6[[#This Row],[Importe]])</f>
      </c>
      <c r="M206" s="4"/>
      <c r="N206" s="4"/>
    </row>
  </sheetData>
  <mergeCells count="1">
    <mergeCell ref="A1:P1"/>
  </mergeCells>
  <phoneticPr fontId="4" type="noConversion"/>
  <dataValidations count="1">
    <dataValidation sqref="E35:E206 E5:E33" xr:uid="{597FAB9B-4AE1-4589-AFC7-A047EBDF2DEF}"/>
    <dataValidation type="list" allowBlank="true" showInputMessage="undefined" prompt="undefined" promptTitle="undefined" showErrorMessage="undefined" error="undefined" errorTitle="undefined" operator="undefined" sqref="F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2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2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2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2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2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2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2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2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2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2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2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2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2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2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2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2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2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2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2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2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3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3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3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3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3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3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3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3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3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3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3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3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3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3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3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3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3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3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3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3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4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4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4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4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4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4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4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4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4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4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4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4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4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4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4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4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4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4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4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4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5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5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5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5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5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5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5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5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5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5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5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5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5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5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5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5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5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5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5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5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6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6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6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6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6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6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6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6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6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6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6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6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6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6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6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6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6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6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6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6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7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7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7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7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7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7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7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7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7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7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7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7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7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7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7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7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7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7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7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7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8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8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8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8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8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8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8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8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8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8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8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8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8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8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8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8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8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8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8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8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9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9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9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9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9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9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9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9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9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9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9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9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9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9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9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9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9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9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9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9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0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0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0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0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0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0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0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0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0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0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0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0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0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0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0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0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0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0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0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0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1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1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1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1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1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1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1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1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1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1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1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1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1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1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1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1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1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1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1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1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2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2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2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2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2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2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2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2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2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2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2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2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2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2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2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2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2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2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2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2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3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3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3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3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3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3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3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3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3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3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3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3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3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3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3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3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3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3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3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3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4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4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4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4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4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4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4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4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4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4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4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4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4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4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4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4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4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4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4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4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5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5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5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5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5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5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5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5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5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5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5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5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5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5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5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5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5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5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5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5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6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6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6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6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6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6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6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6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6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6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6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6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6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6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6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6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6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6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6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6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7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7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7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7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7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7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7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7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7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7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7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7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7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7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7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7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7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7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7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7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8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8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8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8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8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8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8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8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8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8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8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8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8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8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8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8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8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8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8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8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9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9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9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9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9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9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9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9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9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9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9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9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9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9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9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9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9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9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9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99">
      <formula1>Catalogos!$U$4:$U$50</formula1>
      <formula2/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errorTitle="Económico no válido" error="undefined" promptTitle="undefined" prompt="undefined" xr:uid="{00000000-0002-0000-0400-000002000000}">
          <x14:formula1>
            <xm:f>Catalogos!$J$4:$J$46</xm:f>
          </x14:formula1>
          <xm:sqref>E5:E1000</xm:sqref>
        </x14:dataValidation>
        <x14:dataValidation type="list" xr:uid="{248232D5-147E-4FF7-B345-8C08FF393CE6}">
          <x14:formula1>
            <xm:f>Catalogos!$F$4:$F$19</xm:f>
          </x14:formula1>
          <xm:sqref>B35:B1048576 B5:B33</xm:sqref>
        </x14:dataValidation>
        <x14:dataValidation type="list" xr:uid="{F753C10F-5F1B-4FF7-A00D-136B1E9554D9}">
          <x14:formula1>
            <xm:f>Catalogos!$B$4:$B$14</xm:f>
          </x14:formula1>
          <xm:sqref>C35:C1048576 C5:C33</xm:sqref>
        </x14:dataValidation>
        <x14:dataValidation type="list" allowBlank="1" showInputMessage="1" showErrorMessage="1" xr:uid="{7BD9E114-76CB-4DD6-AA73-BED3812F7D73}">
          <x14:formula1>
            <xm:f>Catalogos!$I$4:$I$78</xm:f>
          </x14:formula1>
          <xm:sqref>D5:D1048576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/>
  <sheetViews>
    <sheetView zoomScale="88" workbookViewId="0">
      <selection activeCell="C307" sqref="C307"/>
    </sheetView>
  </sheetViews>
  <sheetFormatPr baseColWidth="10" defaultColWidth="8.796875" defaultRowHeight="13.8"/>
  <cols>
    <col min="1" max="1" width="13" customWidth="1"/>
    <col min="2" max="2" width="20" customWidth="1"/>
    <col min="3" max="3" width="17" customWidth="1"/>
    <col min="4" max="4" width="22" customWidth="1"/>
    <col min="5" max="6" width="14" customWidth="1"/>
    <col min="7" max="7" width="12" customWidth="1"/>
    <col min="8" max="8" width="14" customWidth="1"/>
    <col min="9" max="9" width="25" customWidth="1"/>
    <col min="10" max="10" width="16" customWidth="1"/>
    <col min="11" max="11" width="30" customWidth="1"/>
  </cols>
  <sheetData>
    <row r="1" spans="1:13" ht="22.35" customHeight="1">
      <c r="A1" t="s" s="3537">
        <v>31</v>
      </c>
      <c r="B1" s="3538"/>
      <c r="C1" s="3538"/>
      <c r="D1" s="3538"/>
      <c r="E1" s="3538"/>
      <c r="F1" s="3538"/>
      <c r="G1" s="3538"/>
      <c r="H1" s="3538"/>
      <c r="I1" s="3538"/>
      <c r="J1" s="3538"/>
      <c r="K1" s="3538"/>
    </row>
    <row r="2" spans="1:13">
      <c r="A2" t="s">
        <v>32</v>
      </c>
      <c r="C2" t="s">
        <v>7</v>
      </c>
      <c r="E2" t="s">
        <v>8</v>
      </c>
      <c r="G2" t="s">
        <v>33</v>
      </c>
      <c r="I2" t="s">
        <v>25</v>
      </c>
    </row>
    <row r="3">
      <c r="A3" t="s">
        <v>482</v>
      </c>
      <c r="B3" t="s">
        <v>12</v>
      </c>
      <c r="C3" t="s">
        <v>483</v>
      </c>
      <c r="D3" t="s">
        <v>484</v>
      </c>
      <c r="E3" t="s">
        <v>485</v>
      </c>
      <c r="F3" t="s">
        <v>454</v>
      </c>
      <c r="G3" t="s">
        <v>486</v>
      </c>
      <c r="H3" t="s">
        <v>18</v>
      </c>
    </row>
    <row r="4" spans="1:13" ht="27.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/>
    </row>
    <row r="5" spans="1:13" hidden="1">
      <c r="A5" s="2"/>
      <c r="B5"/>
      <c r="C5"/>
      <c r="D5"/>
      <c r="E5"/>
      <c r="F5" s="3"/>
      <c r="G5" s="4"/>
      <c r="H5" s="4"/>
      <c r="I5"/>
      <c r="J5"/>
      <c r="K5"/>
      <c r="L5"/>
    </row>
    <row r="6" spans="1:13" hidden="1">
      <c r="A6" s="2"/>
      <c r="B6"/>
      <c r="C6"/>
      <c r="D6"/>
      <c r="E6"/>
      <c r="F6" s="3"/>
      <c r="G6" s="4"/>
      <c r="H6" s="4"/>
      <c r="I6"/>
      <c r="J6"/>
      <c r="K6"/>
      <c r="L6"/>
    </row>
    <row r="7" spans="1:13" hidden="1">
      <c r="A7" s="2"/>
      <c r="B7"/>
      <c r="C7"/>
      <c r="D7"/>
      <c r="E7"/>
      <c r="F7" s="3"/>
      <c r="G7" s="4"/>
      <c r="H7" s="4"/>
      <c r="I7"/>
      <c r="J7"/>
      <c r="K7"/>
      <c r="L7"/>
    </row>
    <row r="8" spans="1:13" hidden="1">
      <c r="A8" s="2"/>
      <c r="B8"/>
      <c r="C8"/>
      <c r="D8"/>
      <c r="E8"/>
      <c r="F8" s="3"/>
      <c r="G8" s="4"/>
      <c r="H8" s="4"/>
      <c r="I8"/>
      <c r="J8"/>
      <c r="K8"/>
      <c r="L8"/>
    </row>
    <row r="9" spans="1:13" hidden="1">
      <c r="A9" s="2"/>
      <c r="B9"/>
      <c r="C9"/>
      <c r="D9"/>
      <c r="E9"/>
      <c r="F9" s="3"/>
      <c r="G9" s="4"/>
      <c r="H9" s="4"/>
      <c r="I9"/>
      <c r="J9"/>
      <c r="K9"/>
      <c r="L9"/>
    </row>
    <row r="10" spans="1:13" hidden="1">
      <c r="A10" s="2"/>
      <c r="B10"/>
      <c r="C10"/>
      <c r="D10"/>
      <c r="E10"/>
      <c r="F10" s="3"/>
      <c r="G10" s="4"/>
      <c r="H10" s="4"/>
      <c r="I10"/>
      <c r="J10"/>
      <c r="K10"/>
      <c r="L10"/>
    </row>
    <row r="11" spans="1:13" hidden="1">
      <c r="A11" s="2"/>
      <c r="B11"/>
      <c r="C11"/>
      <c r="D11"/>
      <c r="E11"/>
      <c r="F11" s="3"/>
      <c r="G11" s="4"/>
      <c r="H11" s="4"/>
      <c r="I11"/>
      <c r="J11"/>
      <c r="K11"/>
      <c r="L11"/>
    </row>
    <row r="12" spans="1:13" hidden="1">
      <c r="A12" s="2"/>
      <c r="B12"/>
      <c r="C12"/>
      <c r="D12"/>
      <c r="E12"/>
      <c r="F12" s="3"/>
      <c r="G12" s="4"/>
      <c r="H12" s="4"/>
      <c r="I12"/>
      <c r="J12"/>
      <c r="K12"/>
      <c r="L12"/>
    </row>
    <row r="13" spans="1:13" hidden="1">
      <c r="A13" s="2"/>
      <c r="B13"/>
      <c r="C13"/>
      <c r="D13"/>
      <c r="E13"/>
      <c r="F13" s="3"/>
      <c r="G13" s="4"/>
      <c r="H13" s="4"/>
      <c r="I13"/>
      <c r="J13"/>
      <c r="K13"/>
      <c r="L13"/>
    </row>
    <row r="14" spans="1:13" hidden="1">
      <c r="A14" s="2"/>
      <c r="B14"/>
      <c r="C14"/>
      <c r="D14"/>
      <c r="E14"/>
      <c r="F14" s="3"/>
      <c r="G14" s="4"/>
      <c r="H14" s="4"/>
      <c r="I14"/>
      <c r="J14"/>
      <c r="K14"/>
      <c r="L14"/>
      <c r="M14" s="3">
        <f>SUM(F5:F64)</f>
      </c>
    </row>
    <row r="15" spans="1:13" hidden="1">
      <c r="A15" s="2"/>
      <c r="B15"/>
      <c r="C15"/>
      <c r="D15"/>
      <c r="E15"/>
      <c r="F15" s="3"/>
      <c r="G15" s="4"/>
      <c r="H15" s="4"/>
      <c r="I15"/>
      <c r="J15"/>
      <c r="K15"/>
      <c r="L15"/>
    </row>
    <row r="16" spans="1:13" hidden="1">
      <c r="A16" s="2"/>
      <c r="B16"/>
      <c r="C16"/>
      <c r="D16"/>
      <c r="E16"/>
      <c r="F16" s="3"/>
      <c r="G16" s="4"/>
      <c r="H16" s="4"/>
      <c r="I16"/>
      <c r="J16"/>
      <c r="K16"/>
      <c r="L16"/>
    </row>
    <row r="17" spans="1:8" hidden="1">
      <c r="A17" s="2"/>
      <c r="B17"/>
      <c r="C17"/>
      <c r="D17"/>
      <c r="E17"/>
      <c r="F17" s="3"/>
      <c r="G17" s="4"/>
      <c r="H17" s="4"/>
      <c r="I17"/>
      <c r="J17"/>
      <c r="K17"/>
      <c r="L17"/>
    </row>
    <row r="18" spans="1:8" hidden="1">
      <c r="A18" s="2"/>
      <c r="B18"/>
      <c r="C18"/>
      <c r="D18"/>
      <c r="E18"/>
      <c r="F18" s="3"/>
      <c r="G18" s="4"/>
      <c r="H18" s="4"/>
      <c r="I18"/>
      <c r="J18"/>
      <c r="K18"/>
      <c r="L18"/>
    </row>
    <row r="19" spans="1:8" hidden="1">
      <c r="A19" s="2"/>
      <c r="B19"/>
      <c r="C19"/>
      <c r="D19"/>
      <c r="E19"/>
      <c r="F19" s="3"/>
      <c r="G19" s="4"/>
      <c r="H19" s="4"/>
      <c r="I19"/>
      <c r="J19"/>
      <c r="K19"/>
      <c r="L19"/>
    </row>
    <row r="20" spans="1:8" hidden="1">
      <c r="A20" s="2"/>
      <c r="B20"/>
      <c r="C20"/>
      <c r="D20"/>
      <c r="E20"/>
      <c r="F20" s="3"/>
      <c r="G20" s="4"/>
      <c r="H20" s="4"/>
      <c r="I20"/>
      <c r="J20"/>
      <c r="K20"/>
      <c r="L20"/>
    </row>
    <row r="21" spans="1:8" hidden="1">
      <c r="A21" s="2"/>
      <c r="B21"/>
      <c r="C21"/>
      <c r="D21"/>
      <c r="E21"/>
      <c r="F21" s="3"/>
      <c r="G21" s="4"/>
      <c r="H21" s="4"/>
      <c r="I21"/>
      <c r="J21"/>
      <c r="K21"/>
      <c r="L21"/>
    </row>
    <row r="22" spans="1:8" hidden="1">
      <c r="A22" s="2"/>
      <c r="B22"/>
      <c r="C22"/>
      <c r="D22"/>
      <c r="E22"/>
      <c r="F22" s="3"/>
      <c r="G22" s="4"/>
      <c r="H22" s="4"/>
      <c r="I22"/>
      <c r="J22"/>
      <c r="K22"/>
      <c r="L22"/>
    </row>
    <row r="23" spans="1:8" hidden="1">
      <c r="A23" s="2"/>
      <c r="B23"/>
      <c r="C23"/>
      <c r="D23"/>
      <c r="E23"/>
      <c r="F23" s="3"/>
      <c r="G23" s="4"/>
      <c r="H23" s="4"/>
      <c r="I23"/>
      <c r="J23"/>
      <c r="K23"/>
      <c r="L23"/>
    </row>
    <row r="24" spans="1:8" hidden="1">
      <c r="A24" s="2"/>
      <c r="B24"/>
      <c r="C24"/>
      <c r="D24"/>
      <c r="E24"/>
      <c r="F24" s="3"/>
      <c r="G24" s="4"/>
      <c r="H24" s="4"/>
      <c r="I24"/>
      <c r="J24"/>
      <c r="K24"/>
      <c r="L24"/>
    </row>
    <row r="25" spans="1:8" hidden="1">
      <c r="A25" s="2"/>
      <c r="B25"/>
      <c r="C25"/>
      <c r="D25"/>
      <c r="E25"/>
      <c r="F25" s="3"/>
      <c r="G25" s="4"/>
      <c r="H25" s="4"/>
      <c r="I25"/>
      <c r="J25"/>
      <c r="K25"/>
      <c r="L25"/>
    </row>
    <row r="26" spans="1:8" hidden="1">
      <c r="A26" s="2"/>
      <c r="B26"/>
      <c r="C26"/>
      <c r="D26"/>
      <c r="E26"/>
      <c r="F26" s="3"/>
      <c r="G26" s="4"/>
      <c r="H26" s="4"/>
      <c r="I26"/>
      <c r="J26"/>
      <c r="K26"/>
      <c r="L26"/>
    </row>
    <row r="27" spans="1:8" hidden="1">
      <c r="A27" s="2"/>
      <c r="B27"/>
      <c r="C27"/>
      <c r="D27"/>
      <c r="E27"/>
      <c r="F27" s="3"/>
      <c r="G27" s="4"/>
      <c r="H27" s="4"/>
      <c r="I27"/>
      <c r="J27"/>
      <c r="K27"/>
      <c r="L27"/>
    </row>
    <row r="28" spans="1:8" hidden="1">
      <c r="A28" s="2"/>
      <c r="B28"/>
      <c r="C28"/>
      <c r="D28"/>
      <c r="E28"/>
      <c r="F28" s="3"/>
      <c r="G28" s="4"/>
      <c r="H28" s="4"/>
      <c r="I28"/>
      <c r="J28"/>
      <c r="K28"/>
      <c r="L28"/>
    </row>
    <row r="29" spans="1:8" hidden="1">
      <c r="A29" s="2"/>
      <c r="B29"/>
      <c r="C29"/>
      <c r="D29"/>
      <c r="E29"/>
      <c r="F29" s="3"/>
      <c r="G29" s="4"/>
      <c r="H29" s="4"/>
      <c r="I29"/>
      <c r="J29"/>
      <c r="K29"/>
      <c r="L29"/>
    </row>
    <row r="30" spans="1:8" hidden="1">
      <c r="A30" s="2"/>
      <c r="B30"/>
      <c r="C30"/>
      <c r="D30"/>
      <c r="E30"/>
      <c r="F30" s="3"/>
      <c r="G30" s="4"/>
      <c r="H30" s="4"/>
      <c r="I30"/>
      <c r="J30"/>
      <c r="K30"/>
      <c r="L30"/>
    </row>
    <row r="31" spans="1:8" hidden="1">
      <c r="A31" s="2"/>
      <c r="B31"/>
      <c r="C31"/>
      <c r="D31"/>
      <c r="E31"/>
      <c r="F31" s="3"/>
      <c r="G31" s="4"/>
      <c r="H31" s="4"/>
      <c r="I31"/>
      <c r="J31"/>
      <c r="K31"/>
      <c r="L31"/>
    </row>
    <row r="32" spans="1:8" hidden="1">
      <c r="A32" s="2"/>
      <c r="B32"/>
      <c r="C32"/>
      <c r="D32"/>
      <c r="E32"/>
      <c r="F32" s="3"/>
      <c r="G32" s="4"/>
      <c r="H32" s="4"/>
      <c r="I32"/>
      <c r="J32"/>
      <c r="K32"/>
      <c r="L32"/>
    </row>
    <row r="33" spans="1:11" hidden="1">
      <c r="A33" s="2"/>
      <c r="B33"/>
      <c r="C33"/>
      <c r="D33"/>
      <c r="E33"/>
      <c r="F33" s="3"/>
      <c r="G33" s="4"/>
      <c r="H33" s="4"/>
      <c r="I33"/>
      <c r="J33"/>
      <c r="K33"/>
      <c r="L33"/>
    </row>
    <row r="34" spans="1:11" hidden="1">
      <c r="A34" s="2"/>
      <c r="B34"/>
      <c r="C34"/>
      <c r="D34"/>
      <c r="E34"/>
      <c r="F34" s="3"/>
      <c r="G34" s="4"/>
      <c r="H34" s="4"/>
      <c r="I34"/>
      <c r="J34"/>
      <c r="K34"/>
      <c r="L34"/>
    </row>
    <row r="35" spans="1:11" hidden="1">
      <c r="A35" s="2"/>
      <c r="B35"/>
      <c r="C35"/>
      <c r="D35"/>
      <c r="E35"/>
      <c r="F35" s="3"/>
      <c r="G35" s="4"/>
      <c r="H35" s="4"/>
      <c r="I35"/>
      <c r="J35"/>
      <c r="K35"/>
      <c r="L35"/>
    </row>
    <row r="36" spans="1:11" hidden="1">
      <c r="A36" s="2"/>
      <c r="B36"/>
      <c r="C36"/>
      <c r="D36"/>
      <c r="E36"/>
      <c r="F36" s="3"/>
      <c r="G36" s="4"/>
      <c r="H36" s="4"/>
      <c r="I36"/>
      <c r="J36"/>
      <c r="K36"/>
      <c r="L36"/>
    </row>
    <row r="37" spans="1:11" hidden="1">
      <c r="A37" s="2"/>
      <c r="B37"/>
      <c r="C37"/>
      <c r="D37"/>
      <c r="E37"/>
      <c r="F37" s="3"/>
      <c r="G37" s="4"/>
      <c r="H37" s="4"/>
      <c r="I37"/>
      <c r="J37"/>
      <c r="K37"/>
      <c r="L37"/>
    </row>
    <row r="38" spans="1:11" hidden="1">
      <c r="A38" s="2"/>
      <c r="B38"/>
      <c r="C38"/>
      <c r="D38"/>
      <c r="E38"/>
      <c r="F38" s="3"/>
      <c r="G38" s="4"/>
      <c r="H38" s="4"/>
      <c r="I38"/>
      <c r="J38"/>
      <c r="K38"/>
      <c r="L38"/>
    </row>
    <row r="39" spans="1:11" hidden="1">
      <c r="A39" s="2"/>
      <c r="B39"/>
      <c r="C39"/>
      <c r="D39"/>
      <c r="E39"/>
      <c r="F39" s="3"/>
      <c r="G39" s="4"/>
      <c r="H39" s="4"/>
      <c r="I39"/>
      <c r="J39"/>
      <c r="K39"/>
      <c r="L39"/>
    </row>
    <row r="40" spans="1:11" hidden="1">
      <c r="A40" s="2"/>
      <c r="B40"/>
      <c r="C40"/>
      <c r="D40"/>
      <c r="E40"/>
      <c r="F40" s="3"/>
      <c r="G40" s="4"/>
      <c r="H40" s="4"/>
      <c r="I40"/>
      <c r="J40"/>
      <c r="K40"/>
      <c r="L40"/>
    </row>
    <row r="41" spans="1:11" hidden="1">
      <c r="A41" s="2"/>
      <c r="B41"/>
      <c r="C41"/>
      <c r="D41"/>
      <c r="E41"/>
      <c r="F41" s="3"/>
      <c r="G41" s="4"/>
      <c r="H41" s="4"/>
      <c r="I41"/>
      <c r="J41"/>
      <c r="K41"/>
      <c r="L41"/>
    </row>
    <row r="42" spans="1:11" hidden="1">
      <c r="A42" s="2"/>
      <c r="B42"/>
      <c r="C42"/>
      <c r="D42"/>
      <c r="E42"/>
      <c r="F42" s="3"/>
      <c r="G42" s="4"/>
      <c r="H42" s="4"/>
      <c r="I42"/>
      <c r="J42"/>
      <c r="K42"/>
      <c r="L42"/>
    </row>
    <row r="43" spans="1:11" hidden="1">
      <c r="A43" s="2"/>
      <c r="B43"/>
      <c r="C43"/>
      <c r="D43"/>
      <c r="E43"/>
      <c r="F43" s="3"/>
      <c r="G43" s="4"/>
      <c r="H43" s="4"/>
      <c r="I43"/>
      <c r="J43"/>
      <c r="K43"/>
      <c r="L43"/>
    </row>
    <row r="44" spans="1:11" hidden="1">
      <c r="A44" s="2"/>
      <c r="B44"/>
      <c r="C44"/>
      <c r="D44"/>
      <c r="E44"/>
      <c r="F44" s="3"/>
      <c r="G44" s="4"/>
      <c r="H44" s="4"/>
      <c r="I44"/>
      <c r="J44"/>
      <c r="K44"/>
      <c r="L44"/>
    </row>
    <row r="45" spans="1:11" hidden="1">
      <c r="A45" s="2"/>
      <c r="B45"/>
      <c r="C45"/>
      <c r="D45"/>
      <c r="E45"/>
      <c r="F45" s="3"/>
      <c r="G45" s="4"/>
      <c r="H45" s="4"/>
      <c r="I45"/>
      <c r="J45"/>
      <c r="K45"/>
      <c r="L45"/>
    </row>
    <row r="46" spans="1:11" hidden="1">
      <c r="A46" s="2"/>
      <c r="B46"/>
      <c r="C46"/>
      <c r="D46"/>
      <c r="E46"/>
      <c r="F46" s="3"/>
      <c r="G46" s="4"/>
      <c r="H46" s="4"/>
      <c r="I46"/>
      <c r="J46"/>
      <c r="K46"/>
      <c r="L46"/>
    </row>
    <row r="47" spans="1:11" hidden="1">
      <c r="A47" s="2"/>
      <c r="B47"/>
      <c r="C47"/>
      <c r="D47"/>
      <c r="E47"/>
      <c r="F47" s="3"/>
      <c r="G47" s="4"/>
      <c r="H47" s="4"/>
      <c r="I47"/>
      <c r="J47"/>
      <c r="K47"/>
      <c r="L47"/>
    </row>
    <row r="48" spans="1:11" hidden="1">
      <c r="A48" s="2"/>
      <c r="B48"/>
      <c r="C48"/>
      <c r="D48"/>
      <c r="E48"/>
      <c r="F48" s="3"/>
      <c r="G48" s="4"/>
      <c r="H48" s="4"/>
      <c r="I48"/>
      <c r="J48"/>
      <c r="K48"/>
      <c r="L48"/>
    </row>
    <row r="49" spans="1:8" hidden="1">
      <c r="A49" s="2"/>
      <c r="B49"/>
      <c r="C49"/>
      <c r="D49"/>
      <c r="E49"/>
      <c r="F49" s="3"/>
      <c r="G49" s="4"/>
      <c r="H49" s="4"/>
      <c r="I49"/>
      <c r="J49"/>
      <c r="K49"/>
      <c r="L49"/>
    </row>
    <row r="50" spans="1:8" hidden="1">
      <c r="A50" s="2"/>
      <c r="B50"/>
      <c r="C50"/>
      <c r="D50"/>
      <c r="E50"/>
      <c r="F50" s="3"/>
      <c r="G50" s="4"/>
      <c r="H50" s="4"/>
      <c r="I50"/>
      <c r="J50"/>
      <c r="K50"/>
      <c r="L50"/>
    </row>
    <row r="51" spans="1:8" hidden="1">
      <c r="A51" s="2"/>
      <c r="B51"/>
      <c r="C51"/>
      <c r="D51"/>
      <c r="E51"/>
      <c r="F51" s="3"/>
      <c r="G51" s="4"/>
      <c r="H51" s="4"/>
      <c r="I51"/>
      <c r="J51"/>
      <c r="K51"/>
      <c r="L51"/>
    </row>
    <row r="52" spans="1:8" hidden="1">
      <c r="A52" s="2"/>
      <c r="B52"/>
      <c r="C52"/>
      <c r="D52"/>
      <c r="E52"/>
      <c r="F52" s="3"/>
      <c r="G52" s="4"/>
      <c r="H52" s="4"/>
      <c r="I52"/>
      <c r="J52"/>
      <c r="K52"/>
      <c r="L52"/>
    </row>
    <row r="53" spans="1:8" hidden="1">
      <c r="A53" s="2"/>
      <c r="B53"/>
      <c r="C53"/>
      <c r="D53"/>
      <c r="E53"/>
      <c r="F53" s="3"/>
      <c r="G53" s="4"/>
      <c r="H53" s="4"/>
      <c r="I53"/>
      <c r="J53"/>
      <c r="K53"/>
      <c r="L53"/>
    </row>
    <row r="54" spans="1:8" hidden="1">
      <c r="A54" s="2"/>
      <c r="B54"/>
      <c r="C54"/>
      <c r="D54"/>
      <c r="E54"/>
      <c r="F54" s="3"/>
      <c r="G54" s="4"/>
      <c r="H54" s="4"/>
      <c r="I54"/>
      <c r="J54"/>
      <c r="K54"/>
      <c r="L54"/>
    </row>
    <row r="55" spans="1:8" hidden="1">
      <c r="A55" s="2"/>
      <c r="B55"/>
      <c r="C55"/>
      <c r="D55"/>
      <c r="E55"/>
      <c r="F55" s="3"/>
      <c r="G55" s="4"/>
      <c r="H55" s="4"/>
      <c r="I55"/>
      <c r="J55"/>
      <c r="K55"/>
      <c r="L55"/>
    </row>
    <row r="56" spans="1:8" hidden="1">
      <c r="A56" s="2"/>
      <c r="B56"/>
      <c r="C56"/>
      <c r="D56"/>
      <c r="E56"/>
      <c r="F56" s="3"/>
      <c r="G56" s="4"/>
      <c r="H56" s="4"/>
      <c r="I56"/>
      <c r="J56"/>
      <c r="K56"/>
      <c r="L56"/>
    </row>
    <row r="57" spans="1:8" hidden="1">
      <c r="A57" s="2"/>
      <c r="B57"/>
      <c r="C57"/>
      <c r="D57"/>
      <c r="E57"/>
      <c r="F57" s="3"/>
      <c r="G57" s="4"/>
      <c r="H57" s="4"/>
      <c r="I57"/>
      <c r="J57"/>
      <c r="K57"/>
      <c r="L57"/>
    </row>
    <row r="58" spans="1:8" hidden="1">
      <c r="A58" s="2"/>
      <c r="B58"/>
      <c r="C58"/>
      <c r="D58"/>
      <c r="E58"/>
      <c r="F58" s="3"/>
      <c r="G58" s="4"/>
      <c r="H58" s="4"/>
      <c r="I58"/>
      <c r="J58"/>
      <c r="K58"/>
      <c r="L58"/>
    </row>
    <row r="59" spans="1:8" hidden="1">
      <c r="A59" s="2"/>
      <c r="B59"/>
      <c r="C59"/>
      <c r="D59"/>
      <c r="E59"/>
      <c r="F59" s="3"/>
      <c r="G59" s="4"/>
      <c r="H59" s="4"/>
      <c r="I59"/>
      <c r="J59"/>
      <c r="K59"/>
      <c r="L59"/>
    </row>
    <row r="60" spans="1:8" hidden="1">
      <c r="A60" s="2"/>
      <c r="B60"/>
      <c r="C60"/>
      <c r="D60"/>
      <c r="E60"/>
      <c r="F60" s="3"/>
      <c r="G60" s="4"/>
      <c r="H60" s="4"/>
      <c r="I60"/>
      <c r="J60"/>
      <c r="K60"/>
      <c r="L60"/>
    </row>
    <row r="61" spans="1:8" hidden="1">
      <c r="A61" s="2"/>
      <c r="B61"/>
      <c r="C61"/>
      <c r="D61"/>
      <c r="E61"/>
      <c r="F61" s="3"/>
      <c r="G61" s="4"/>
      <c r="H61" s="4"/>
      <c r="I61"/>
      <c r="J61"/>
      <c r="K61"/>
      <c r="L61"/>
    </row>
    <row r="62" spans="1:8" hidden="1">
      <c r="A62" s="2"/>
      <c r="B62"/>
      <c r="C62"/>
      <c r="D62"/>
      <c r="E62"/>
      <c r="F62" s="3"/>
      <c r="G62" s="4"/>
      <c r="H62" s="4"/>
      <c r="I62"/>
      <c r="J62"/>
      <c r="K62"/>
      <c r="L62"/>
    </row>
    <row r="63" spans="1:8" hidden="1">
      <c r="A63" s="2"/>
      <c r="B63"/>
      <c r="C63"/>
      <c r="D63"/>
      <c r="E63"/>
      <c r="F63" s="3"/>
      <c r="G63" s="4"/>
      <c r="H63" s="4"/>
      <c r="I63"/>
      <c r="J63"/>
      <c r="K63"/>
      <c r="L63"/>
    </row>
    <row r="64" spans="1:8" hidden="1">
      <c r="A64" s="2"/>
      <c r="B64"/>
      <c r="C64"/>
      <c r="D64"/>
      <c r="E64"/>
      <c r="F64" s="3"/>
      <c r="G64" s="4"/>
      <c r="H64" s="4"/>
      <c r="I64"/>
      <c r="J64"/>
      <c r="K64"/>
      <c r="L64"/>
    </row>
    <row r="65" spans="1:8" hidden="1">
      <c r="A65" s="2"/>
      <c r="B65"/>
      <c r="C65"/>
      <c r="D65"/>
      <c r="E65"/>
      <c r="F65" s="3"/>
      <c r="G65" s="4"/>
      <c r="H65" s="4"/>
      <c r="I65"/>
      <c r="J65"/>
      <c r="K65"/>
      <c r="L65"/>
    </row>
    <row r="66" spans="1:8" hidden="1">
      <c r="A66" s="2"/>
      <c r="B66"/>
      <c r="C66"/>
      <c r="D66"/>
      <c r="E66"/>
      <c r="F66" s="3"/>
      <c r="G66" s="4"/>
      <c r="H66" s="4"/>
      <c r="I66"/>
      <c r="J66"/>
      <c r="K66"/>
      <c r="L66"/>
    </row>
    <row r="67" spans="1:8" hidden="1">
      <c r="A67" s="2"/>
      <c r="B67"/>
      <c r="C67"/>
      <c r="D67"/>
      <c r="E67"/>
      <c r="F67" s="3"/>
      <c r="G67" s="4"/>
      <c r="H67" s="4"/>
      <c r="I67"/>
      <c r="J67"/>
      <c r="K67"/>
      <c r="L67"/>
    </row>
    <row r="68" spans="1:8" hidden="1">
      <c r="A68" s="2"/>
      <c r="B68"/>
      <c r="C68"/>
      <c r="D68"/>
      <c r="E68"/>
      <c r="F68" s="3"/>
      <c r="G68" s="4"/>
      <c r="H68" s="4"/>
      <c r="I68"/>
      <c r="J68"/>
      <c r="K68"/>
      <c r="L68"/>
    </row>
    <row r="69" spans="1:8" hidden="1">
      <c r="A69" s="2"/>
      <c r="B69"/>
      <c r="C69"/>
      <c r="D69"/>
      <c r="E69"/>
      <c r="F69" s="3"/>
      <c r="G69" s="4"/>
      <c r="H69" s="4"/>
      <c r="I69"/>
      <c r="J69"/>
      <c r="K69"/>
      <c r="L69"/>
    </row>
    <row r="70" spans="1:8">
      <c r="A70" s="2"/>
      <c r="B70"/>
      <c r="C70"/>
      <c r="D70"/>
      <c r="E70"/>
      <c r="F70" s="3"/>
      <c r="G70" s="4"/>
      <c r="H70" s="4"/>
      <c r="I70"/>
      <c r="J70"/>
      <c r="K70"/>
      <c r="L70"/>
    </row>
    <row r="71" spans="1:8" hidden="1">
      <c r="A71" s="2"/>
      <c r="B71"/>
      <c r="C71"/>
      <c r="D71"/>
      <c r="E71"/>
      <c r="F71" s="3"/>
      <c r="G71" s="4"/>
      <c r="H71" s="4"/>
      <c r="I71"/>
      <c r="J71"/>
      <c r="K71"/>
      <c r="L71"/>
    </row>
    <row r="72" spans="1:8" hidden="1">
      <c r="A72" s="2"/>
      <c r="B72"/>
      <c r="C72"/>
      <c r="D72"/>
      <c r="E72"/>
      <c r="F72" s="3"/>
      <c r="G72" s="4"/>
      <c r="H72" s="4"/>
      <c r="I72"/>
      <c r="J72"/>
      <c r="K72"/>
      <c r="L72"/>
    </row>
    <row r="73" spans="1:8">
      <c r="A73" s="2"/>
      <c r="B73"/>
      <c r="C73"/>
      <c r="D73"/>
      <c r="E73"/>
      <c r="F73" s="3"/>
      <c r="G73" s="4"/>
      <c r="H73" s="4"/>
      <c r="I73"/>
      <c r="J73"/>
      <c r="K73"/>
      <c r="L73"/>
    </row>
    <row r="74" spans="1:8" hidden="1">
      <c r="A74" s="2"/>
      <c r="B74"/>
      <c r="C74"/>
      <c r="D74"/>
      <c r="E74"/>
      <c r="F74" s="3"/>
      <c r="G74" s="4"/>
      <c r="H74" s="4"/>
      <c r="I74"/>
      <c r="J74"/>
      <c r="K74"/>
      <c r="L74"/>
    </row>
    <row r="75" spans="1:8" hidden="1">
      <c r="A75" s="2"/>
      <c r="B75"/>
      <c r="C75"/>
      <c r="D75"/>
      <c r="E75"/>
      <c r="F75" s="3"/>
      <c r="G75" s="4"/>
      <c r="H75" s="4"/>
      <c r="I75"/>
      <c r="J75"/>
      <c r="K75"/>
      <c r="L75"/>
    </row>
    <row r="76" spans="1:8">
      <c r="A76" s="2"/>
      <c r="B76"/>
      <c r="C76"/>
      <c r="D76"/>
      <c r="E76"/>
      <c r="F76" s="3"/>
      <c r="G76" s="4"/>
      <c r="H76" s="4"/>
      <c r="I76"/>
      <c r="J76"/>
      <c r="K76"/>
      <c r="L76"/>
    </row>
    <row r="77" spans="1:8">
      <c r="A77" s="2"/>
      <c r="B77"/>
      <c r="C77"/>
      <c r="D77"/>
      <c r="E77"/>
      <c r="F77" s="3"/>
      <c r="G77" s="4"/>
      <c r="H77" s="4"/>
      <c r="I77"/>
      <c r="J77"/>
      <c r="K77"/>
      <c r="L77"/>
    </row>
    <row r="78" spans="1:8">
      <c r="A78" s="2"/>
      <c r="B78"/>
      <c r="C78"/>
      <c r="D78"/>
      <c r="E78"/>
      <c r="F78" s="3"/>
      <c r="G78" s="4"/>
      <c r="H78" s="4"/>
      <c r="I78"/>
      <c r="J78"/>
      <c r="K78"/>
      <c r="L78"/>
    </row>
    <row r="79" spans="1:8">
      <c r="A79" s="2"/>
      <c r="B79"/>
      <c r="C79"/>
      <c r="D79"/>
      <c r="E79"/>
      <c r="F79" s="3"/>
      <c r="G79" s="4"/>
      <c r="H79" s="4"/>
      <c r="I79"/>
      <c r="J79"/>
      <c r="K79"/>
      <c r="L79"/>
    </row>
    <row r="80" spans="1:8" hidden="1">
      <c r="A80" s="2"/>
      <c r="B80"/>
      <c r="C80"/>
      <c r="D80"/>
      <c r="E80"/>
      <c r="F80" s="3"/>
      <c r="G80" s="4"/>
      <c r="H80" s="4"/>
      <c r="I80"/>
      <c r="J80"/>
      <c r="K80"/>
      <c r="L80"/>
    </row>
    <row r="81" spans="1:8" hidden="1">
      <c r="A81" s="2"/>
      <c r="B81"/>
      <c r="C81"/>
      <c r="D81"/>
      <c r="E81"/>
      <c r="F81" s="3"/>
      <c r="G81" s="4"/>
      <c r="H81" s="4"/>
      <c r="I81"/>
      <c r="J81"/>
      <c r="K81"/>
      <c r="L81"/>
    </row>
    <row r="82" spans="1:8" hidden="1">
      <c r="A82" s="2"/>
      <c r="B82"/>
      <c r="C82"/>
      <c r="D82"/>
      <c r="E82"/>
      <c r="F82" s="3"/>
      <c r="G82" s="4"/>
      <c r="H82" s="4"/>
      <c r="I82"/>
      <c r="J82"/>
      <c r="K82"/>
      <c r="L82"/>
    </row>
    <row r="83" spans="1:8" hidden="1">
      <c r="A83" s="2"/>
      <c r="B83"/>
      <c r="C83"/>
      <c r="D83"/>
      <c r="E83"/>
      <c r="F83" s="3"/>
      <c r="G83" s="4"/>
      <c r="H83" s="4"/>
      <c r="I83"/>
      <c r="J83"/>
      <c r="K83"/>
      <c r="L83"/>
    </row>
    <row r="84" spans="1:8" hidden="1">
      <c r="A84" s="2"/>
      <c r="B84"/>
      <c r="C84"/>
      <c r="D84"/>
      <c r="E84"/>
      <c r="F84" s="3"/>
      <c r="G84" s="4"/>
      <c r="H84" s="4"/>
      <c r="I84"/>
      <c r="J84"/>
      <c r="K84"/>
      <c r="L84"/>
    </row>
    <row r="85" spans="1:8" hidden="1">
      <c r="A85" s="2"/>
      <c r="B85"/>
      <c r="C85"/>
      <c r="D85"/>
      <c r="E85"/>
      <c r="F85" s="3"/>
      <c r="G85" s="4"/>
      <c r="H85" s="4"/>
      <c r="I85"/>
      <c r="J85"/>
      <c r="K85"/>
      <c r="L85"/>
    </row>
    <row r="86" spans="1:8" hidden="1">
      <c r="A86" s="2"/>
      <c r="B86"/>
      <c r="C86"/>
      <c r="D86"/>
      <c r="E86"/>
      <c r="F86" s="3"/>
      <c r="G86" s="4"/>
      <c r="H86" s="4"/>
      <c r="I86"/>
      <c r="J86"/>
      <c r="K86"/>
      <c r="L86"/>
    </row>
    <row r="87" spans="1:8">
      <c r="A87" s="2"/>
      <c r="B87"/>
      <c r="C87"/>
      <c r="D87"/>
      <c r="E87"/>
      <c r="F87" s="3"/>
      <c r="G87" s="4"/>
      <c r="H87" s="4"/>
      <c r="I87"/>
      <c r="J87"/>
      <c r="K87"/>
      <c r="L87"/>
    </row>
    <row r="88" spans="1:8" hidden="1">
      <c r="A88" s="2"/>
      <c r="B88"/>
      <c r="C88"/>
      <c r="D88"/>
      <c r="E88"/>
      <c r="F88" s="3"/>
      <c r="G88" s="4"/>
      <c r="H88" s="4"/>
      <c r="I88"/>
      <c r="J88"/>
      <c r="K88"/>
      <c r="L88"/>
    </row>
    <row r="89" spans="1:8" hidden="1">
      <c r="A89" s="2"/>
      <c r="B89"/>
      <c r="C89"/>
      <c r="D89"/>
      <c r="E89"/>
      <c r="F89" s="3"/>
      <c r="G89" s="4"/>
      <c r="H89" s="4"/>
      <c r="I89"/>
      <c r="J89"/>
      <c r="K89"/>
      <c r="L89"/>
    </row>
    <row r="90" spans="1:8">
      <c r="A90" s="2"/>
      <c r="B90"/>
      <c r="C90"/>
      <c r="D90"/>
      <c r="E90"/>
      <c r="F90" s="3"/>
      <c r="G90" s="4"/>
      <c r="H90" s="4"/>
      <c r="I90"/>
      <c r="J90"/>
      <c r="K90"/>
      <c r="L90"/>
    </row>
    <row r="91" spans="1:8">
      <c r="A91" s="2"/>
      <c r="B91"/>
      <c r="C91"/>
      <c r="D91"/>
      <c r="E91"/>
      <c r="F91" s="3"/>
      <c r="G91" s="4"/>
      <c r="H91" s="4"/>
      <c r="I91"/>
      <c r="J91"/>
      <c r="K91"/>
      <c r="L91"/>
    </row>
    <row r="92" spans="1:8">
      <c r="A92" s="2"/>
      <c r="B92"/>
      <c r="C92"/>
      <c r="D92"/>
      <c r="E92"/>
      <c r="F92" s="3"/>
      <c r="G92" s="4"/>
      <c r="H92" s="4"/>
      <c r="I92"/>
      <c r="J92"/>
      <c r="K92"/>
      <c r="L92"/>
    </row>
    <row r="93" spans="1:8" hidden="1">
      <c r="A93" s="2"/>
      <c r="B93"/>
      <c r="C93"/>
      <c r="D93"/>
      <c r="E93"/>
      <c r="F93" s="3"/>
      <c r="G93" s="4"/>
      <c r="H93" s="4"/>
      <c r="I93"/>
      <c r="J93"/>
      <c r="K93"/>
      <c r="L93"/>
    </row>
    <row r="94" spans="1:8" hidden="1">
      <c r="A94" s="2"/>
      <c r="B94"/>
      <c r="C94"/>
      <c r="D94"/>
      <c r="E94"/>
      <c r="F94" s="3"/>
      <c r="G94" s="4"/>
      <c r="H94" s="4"/>
      <c r="I94"/>
      <c r="J94"/>
      <c r="K94"/>
      <c r="L94"/>
    </row>
    <row r="95" spans="1:8" hidden="1">
      <c r="A95" s="2"/>
      <c r="B95"/>
      <c r="C95"/>
      <c r="D95"/>
      <c r="E95"/>
      <c r="F95" s="3"/>
      <c r="G95" s="4"/>
      <c r="H95" s="4"/>
      <c r="I95"/>
      <c r="J95"/>
      <c r="K95"/>
      <c r="L95"/>
    </row>
    <row r="96" spans="1:8" hidden="1">
      <c r="A96" s="2"/>
      <c r="B96"/>
      <c r="C96"/>
      <c r="D96"/>
      <c r="E96"/>
      <c r="F96" s="3"/>
      <c r="G96" s="4"/>
      <c r="H96" s="4"/>
      <c r="I96"/>
      <c r="J96"/>
      <c r="K96"/>
      <c r="L96"/>
    </row>
    <row r="97" spans="1:8" hidden="1">
      <c r="A97" s="2"/>
      <c r="B97"/>
      <c r="C97"/>
      <c r="D97"/>
      <c r="E97"/>
      <c r="F97" s="3"/>
      <c r="G97" s="4"/>
      <c r="H97" s="4"/>
      <c r="I97"/>
      <c r="J97"/>
      <c r="K97"/>
      <c r="L97"/>
    </row>
    <row r="98" spans="1:8" hidden="1">
      <c r="A98" s="2"/>
      <c r="B98"/>
      <c r="C98"/>
      <c r="D98"/>
      <c r="E98"/>
      <c r="F98" s="3"/>
      <c r="G98" s="4"/>
      <c r="H98" s="4"/>
      <c r="I98"/>
      <c r="J98"/>
      <c r="K98"/>
      <c r="L98"/>
    </row>
    <row r="99" spans="1:8">
      <c r="A99" s="2"/>
      <c r="B99"/>
      <c r="C99"/>
      <c r="D99"/>
      <c r="E99"/>
      <c r="F99" s="3"/>
      <c r="G99" s="4"/>
      <c r="H99" s="4"/>
      <c r="I99"/>
      <c r="J99"/>
      <c r="K99"/>
      <c r="L99"/>
    </row>
    <row r="100" spans="1:8" hidden="1">
      <c r="A100" s="2"/>
      <c r="B100"/>
      <c r="C100"/>
      <c r="D100"/>
      <c r="E100"/>
      <c r="F100" s="3"/>
      <c r="G100" s="4"/>
      <c r="H100" s="4"/>
      <c r="I100"/>
      <c r="J100"/>
      <c r="K100"/>
      <c r="L100"/>
    </row>
    <row r="101" spans="1:8" hidden="1">
      <c r="A101" s="2"/>
      <c r="B101"/>
      <c r="C101"/>
      <c r="D101"/>
      <c r="E101"/>
      <c r="F101" s="3"/>
      <c r="G101" s="4"/>
      <c r="H101" s="4"/>
      <c r="I101"/>
      <c r="J101"/>
      <c r="K101"/>
      <c r="L101"/>
    </row>
    <row r="102" spans="1:8" hidden="1">
      <c r="A102" s="2"/>
      <c r="B102"/>
      <c r="C102"/>
      <c r="D102"/>
      <c r="E102"/>
      <c r="F102" s="3"/>
      <c r="G102" s="4"/>
      <c r="H102" s="4"/>
      <c r="I102"/>
      <c r="J102"/>
      <c r="K102"/>
      <c r="L102"/>
    </row>
    <row r="103" spans="1:8" hidden="1">
      <c r="A103" s="2"/>
      <c r="B103"/>
      <c r="C103"/>
      <c r="D103"/>
      <c r="E103"/>
      <c r="F103" s="3"/>
      <c r="G103" s="4"/>
      <c r="H103" s="4"/>
      <c r="I103"/>
      <c r="J103"/>
      <c r="K103"/>
      <c r="L103"/>
    </row>
    <row r="104" spans="1:8" hidden="1">
      <c r="A104" s="2"/>
      <c r="B104"/>
      <c r="C104"/>
      <c r="D104"/>
      <c r="E104"/>
      <c r="F104" s="3"/>
      <c r="G104" s="4"/>
      <c r="H104" s="4"/>
      <c r="I104"/>
      <c r="J104"/>
      <c r="K104"/>
      <c r="L104"/>
    </row>
    <row r="105" spans="1:8" hidden="1">
      <c r="A105" s="2"/>
      <c r="B105"/>
      <c r="C105"/>
      <c r="D105"/>
      <c r="E105"/>
      <c r="F105" s="3"/>
      <c r="G105" s="4"/>
      <c r="H105" s="4"/>
      <c r="I105"/>
      <c r="J105"/>
      <c r="K105"/>
      <c r="L105"/>
    </row>
    <row r="106" spans="1:8">
      <c r="A106" s="2"/>
      <c r="B106"/>
      <c r="C106"/>
      <c r="D106"/>
      <c r="E106"/>
      <c r="F106" s="3"/>
      <c r="G106" s="4"/>
      <c r="H106" s="4"/>
      <c r="I106"/>
      <c r="J106"/>
      <c r="K106"/>
      <c r="L106"/>
    </row>
    <row r="107" spans="1:8" hidden="1">
      <c r="A107" s="2"/>
      <c r="B107"/>
      <c r="C107"/>
      <c r="D107"/>
      <c r="E107"/>
      <c r="F107" s="3"/>
      <c r="G107" s="4"/>
      <c r="H107" s="4"/>
      <c r="I107"/>
      <c r="J107"/>
      <c r="K107"/>
      <c r="L107"/>
    </row>
    <row r="108" spans="1:8">
      <c r="A108" s="2"/>
      <c r="B108"/>
      <c r="C108"/>
      <c r="D108"/>
      <c r="E108"/>
      <c r="F108" s="3"/>
      <c r="G108" s="4"/>
      <c r="H108" s="4"/>
      <c r="I108"/>
      <c r="J108"/>
      <c r="K108"/>
      <c r="L108"/>
    </row>
    <row r="109" spans="1:8">
      <c r="A109" s="2"/>
      <c r="B109"/>
      <c r="C109"/>
      <c r="D109"/>
      <c r="E109"/>
      <c r="F109" s="3"/>
      <c r="G109" s="4"/>
      <c r="H109" s="4"/>
      <c r="I109"/>
      <c r="J109"/>
      <c r="K109"/>
      <c r="L109"/>
    </row>
    <row r="110" spans="1:8">
      <c r="A110" s="2"/>
      <c r="B110"/>
      <c r="C110"/>
      <c r="D110"/>
      <c r="E110"/>
      <c r="F110" s="3"/>
      <c r="G110" s="4"/>
      <c r="H110" s="4"/>
      <c r="I110"/>
      <c r="J110"/>
      <c r="K110"/>
      <c r="L110"/>
    </row>
    <row r="111" spans="1:8">
      <c r="A111" s="2"/>
      <c r="B111"/>
      <c r="C111"/>
      <c r="D111"/>
      <c r="E111"/>
      <c r="F111" s="3"/>
      <c r="G111" s="4"/>
      <c r="H111" s="4"/>
      <c r="I111"/>
      <c r="J111"/>
      <c r="K111"/>
      <c r="L111"/>
    </row>
    <row r="112" spans="1:8">
      <c r="A112" s="2"/>
      <c r="B112"/>
      <c r="C112"/>
      <c r="D112"/>
      <c r="E112"/>
      <c r="F112" s="3"/>
      <c r="G112" s="4"/>
      <c r="H112" s="4"/>
      <c r="I112"/>
      <c r="J112"/>
      <c r="K112"/>
      <c r="L112"/>
    </row>
    <row r="113" spans="1:8">
      <c r="A113" s="2"/>
      <c r="B113"/>
      <c r="C113"/>
      <c r="D113"/>
      <c r="E113"/>
      <c r="F113" s="3"/>
      <c r="G113" s="4"/>
      <c r="H113" s="4"/>
      <c r="I113"/>
      <c r="J113"/>
      <c r="K113"/>
      <c r="L113"/>
    </row>
    <row r="114" spans="1:8" hidden="1">
      <c r="A114" s="2"/>
      <c r="B114"/>
      <c r="C114"/>
      <c r="D114"/>
      <c r="E114"/>
      <c r="F114" s="3"/>
      <c r="G114" s="4"/>
      <c r="H114" s="4"/>
      <c r="I114"/>
      <c r="J114"/>
      <c r="K114"/>
      <c r="L114"/>
    </row>
    <row r="115" spans="1:8" hidden="1">
      <c r="A115" s="2"/>
      <c r="B115"/>
      <c r="C115"/>
      <c r="D115"/>
      <c r="E115"/>
      <c r="F115" s="3"/>
      <c r="G115" s="4"/>
      <c r="H115" s="4"/>
      <c r="I115"/>
      <c r="J115"/>
      <c r="K115"/>
      <c r="L115"/>
    </row>
    <row r="116" spans="1:8" hidden="1">
      <c r="A116" s="2"/>
      <c r="B116"/>
      <c r="C116"/>
      <c r="D116"/>
      <c r="E116"/>
      <c r="F116" s="3"/>
      <c r="G116" s="4"/>
      <c r="H116" s="4"/>
      <c r="I116"/>
      <c r="J116"/>
      <c r="K116"/>
      <c r="L116"/>
    </row>
    <row r="117" spans="1:8" hidden="1">
      <c r="A117" s="2"/>
      <c r="B117"/>
      <c r="C117"/>
      <c r="D117"/>
      <c r="E117"/>
      <c r="F117" s="3"/>
      <c r="G117" s="4"/>
      <c r="H117" s="4"/>
      <c r="I117"/>
      <c r="J117"/>
      <c r="K117"/>
      <c r="L117"/>
    </row>
    <row r="118" spans="1:8" hidden="1">
      <c r="A118" s="2"/>
      <c r="B118"/>
      <c r="C118"/>
      <c r="D118"/>
      <c r="E118"/>
      <c r="F118" s="3"/>
      <c r="G118" s="4"/>
      <c r="H118" s="4"/>
      <c r="I118"/>
      <c r="J118"/>
      <c r="K118"/>
      <c r="L118"/>
    </row>
    <row r="119" spans="1:8" hidden="1">
      <c r="A119" s="2"/>
      <c r="B119"/>
      <c r="C119"/>
      <c r="D119"/>
      <c r="E119"/>
      <c r="F119" s="3"/>
      <c r="G119" s="4"/>
      <c r="H119" s="4"/>
      <c r="I119"/>
      <c r="J119"/>
      <c r="K119"/>
      <c r="L119"/>
    </row>
    <row r="120" spans="1:8" hidden="1">
      <c r="A120" s="2"/>
      <c r="B120"/>
      <c r="C120"/>
      <c r="D120"/>
      <c r="E120"/>
      <c r="F120" s="3"/>
      <c r="G120" s="4"/>
      <c r="H120" s="4"/>
      <c r="I120"/>
      <c r="J120"/>
      <c r="K120"/>
      <c r="L120"/>
    </row>
    <row r="121" spans="1:8" hidden="1">
      <c r="A121" s="2"/>
      <c r="B121"/>
      <c r="C121"/>
      <c r="D121"/>
      <c r="E121"/>
      <c r="F121" s="3"/>
      <c r="G121" s="4"/>
      <c r="H121" s="4"/>
      <c r="I121"/>
      <c r="J121"/>
      <c r="K121"/>
      <c r="L121"/>
    </row>
    <row r="122" spans="1:8" hidden="1">
      <c r="A122" s="2"/>
      <c r="B122"/>
      <c r="C122"/>
      <c r="D122"/>
      <c r="E122"/>
      <c r="F122" s="3"/>
      <c r="G122" s="4"/>
      <c r="H122" s="4"/>
      <c r="I122"/>
      <c r="J122"/>
      <c r="K122"/>
      <c r="L122"/>
    </row>
    <row r="123" spans="1:8" hidden="1">
      <c r="A123" s="2"/>
      <c r="B123"/>
      <c r="C123"/>
      <c r="D123"/>
      <c r="E123"/>
      <c r="F123" s="3"/>
      <c r="G123" s="4"/>
      <c r="H123" s="4"/>
      <c r="I123"/>
      <c r="J123"/>
      <c r="K123"/>
      <c r="L123"/>
    </row>
    <row r="124" spans="1:8" hidden="1">
      <c r="A124" s="2"/>
      <c r="B124"/>
      <c r="C124"/>
      <c r="D124"/>
      <c r="E124"/>
      <c r="F124" s="3"/>
      <c r="G124" s="4"/>
      <c r="H124" s="4"/>
      <c r="I124"/>
      <c r="J124"/>
      <c r="K124"/>
      <c r="L124"/>
    </row>
    <row r="125" spans="1:8" hidden="1">
      <c r="A125" s="2"/>
      <c r="B125"/>
      <c r="C125"/>
      <c r="D125"/>
      <c r="E125"/>
      <c r="F125" s="3"/>
      <c r="G125" s="4"/>
      <c r="H125" s="4"/>
      <c r="I125"/>
      <c r="J125"/>
      <c r="K125"/>
      <c r="L125"/>
    </row>
    <row r="126" spans="1:8" hidden="1">
      <c r="A126" s="2"/>
      <c r="B126"/>
      <c r="C126"/>
      <c r="D126"/>
      <c r="E126"/>
      <c r="F126" s="3"/>
      <c r="G126" s="4"/>
      <c r="H126" s="4"/>
      <c r="I126"/>
      <c r="J126"/>
      <c r="K126"/>
      <c r="L126"/>
    </row>
    <row r="127" spans="1:8" hidden="1">
      <c r="A127" s="2"/>
      <c r="B127"/>
      <c r="C127"/>
      <c r="D127"/>
      <c r="E127"/>
      <c r="F127" s="3"/>
      <c r="G127" s="4"/>
      <c r="H127" s="4"/>
      <c r="I127"/>
      <c r="J127"/>
      <c r="K127"/>
      <c r="L127"/>
    </row>
    <row r="128" spans="1:8" hidden="1">
      <c r="A128" s="2"/>
      <c r="B128"/>
      <c r="C128"/>
      <c r="D128"/>
      <c r="E128"/>
      <c r="F128" s="3"/>
      <c r="G128" s="4"/>
      <c r="H128" s="4"/>
      <c r="I128"/>
      <c r="J128"/>
      <c r="K128"/>
      <c r="L128"/>
    </row>
    <row r="129" spans="1:8" hidden="1">
      <c r="A129" s="2"/>
      <c r="B129"/>
      <c r="C129"/>
      <c r="D129"/>
      <c r="E129"/>
      <c r="F129" s="3"/>
      <c r="G129" s="4"/>
      <c r="H129" s="4"/>
      <c r="I129"/>
      <c r="J129"/>
      <c r="K129"/>
      <c r="L129"/>
    </row>
    <row r="130" spans="1:8" hidden="1">
      <c r="A130" s="2"/>
      <c r="B130"/>
      <c r="C130"/>
      <c r="D130"/>
      <c r="E130"/>
      <c r="F130" s="3"/>
      <c r="G130" s="4"/>
      <c r="H130" s="4"/>
      <c r="I130"/>
      <c r="J130"/>
      <c r="K130"/>
      <c r="L130"/>
    </row>
    <row r="131" spans="1:8" hidden="1">
      <c r="A131" s="2"/>
      <c r="B131"/>
      <c r="C131"/>
      <c r="D131"/>
      <c r="E131"/>
      <c r="F131" s="3"/>
      <c r="G131" s="4"/>
      <c r="H131" s="4"/>
      <c r="I131"/>
      <c r="J131"/>
      <c r="K131"/>
      <c r="L131"/>
    </row>
    <row r="132" spans="1:8" hidden="1">
      <c r="A132" s="2"/>
      <c r="B132"/>
      <c r="C132"/>
      <c r="D132"/>
      <c r="E132"/>
      <c r="F132" s="3"/>
      <c r="G132" s="4"/>
      <c r="H132" s="4"/>
      <c r="I132"/>
      <c r="J132"/>
      <c r="K132"/>
      <c r="L132"/>
    </row>
    <row r="133" spans="1:8" hidden="1">
      <c r="A133" s="2"/>
      <c r="B133"/>
      <c r="C133"/>
      <c r="D133"/>
      <c r="E133"/>
      <c r="F133" s="3"/>
      <c r="G133" s="4"/>
      <c r="H133" s="4"/>
      <c r="I133"/>
      <c r="J133"/>
      <c r="K133"/>
      <c r="L133"/>
    </row>
    <row r="134" spans="1:8" hidden="1">
      <c r="A134" s="2"/>
      <c r="B134"/>
      <c r="C134"/>
      <c r="D134"/>
      <c r="E134"/>
      <c r="F134" s="3"/>
      <c r="G134" s="4"/>
      <c r="H134" s="4"/>
      <c r="I134"/>
      <c r="J134"/>
      <c r="K134"/>
      <c r="L134"/>
    </row>
    <row r="135" spans="1:8" hidden="1">
      <c r="A135" s="2"/>
      <c r="B135"/>
      <c r="C135"/>
      <c r="D135"/>
      <c r="E135"/>
      <c r="F135" s="3"/>
      <c r="G135" s="4"/>
      <c r="H135" s="4"/>
      <c r="I135"/>
      <c r="J135"/>
      <c r="K135"/>
      <c r="L135"/>
    </row>
    <row r="136" spans="1:8" hidden="1">
      <c r="A136" s="2"/>
      <c r="B136"/>
      <c r="C136"/>
      <c r="D136"/>
      <c r="E136"/>
      <c r="F136" s="3"/>
      <c r="G136" s="4"/>
      <c r="H136" s="4"/>
      <c r="I136"/>
      <c r="J136"/>
      <c r="K136"/>
      <c r="L136"/>
    </row>
    <row r="137" spans="1:8" hidden="1">
      <c r="A137" s="2"/>
      <c r="B137"/>
      <c r="C137"/>
      <c r="D137"/>
      <c r="E137"/>
      <c r="F137" s="3"/>
      <c r="G137" s="4"/>
      <c r="H137" s="4"/>
      <c r="I137"/>
      <c r="J137"/>
      <c r="K137"/>
      <c r="L137"/>
    </row>
    <row r="138" spans="1:8" hidden="1">
      <c r="A138" s="2"/>
      <c r="B138"/>
      <c r="C138"/>
      <c r="D138"/>
      <c r="E138"/>
      <c r="F138" s="3"/>
      <c r="G138" s="4"/>
      <c r="H138" s="4"/>
      <c r="I138"/>
      <c r="J138"/>
      <c r="K138"/>
      <c r="L138"/>
    </row>
    <row r="139" spans="1:8" hidden="1">
      <c r="A139" s="2"/>
      <c r="B139"/>
      <c r="C139"/>
      <c r="D139"/>
      <c r="E139"/>
      <c r="F139" s="3"/>
      <c r="G139" s="4"/>
      <c r="H139" s="4"/>
      <c r="I139"/>
      <c r="J139"/>
      <c r="K139"/>
      <c r="L139"/>
    </row>
    <row r="140" spans="1:8" hidden="1">
      <c r="A140" s="2"/>
      <c r="B140"/>
      <c r="C140"/>
      <c r="D140"/>
      <c r="E140"/>
      <c r="F140" s="3"/>
      <c r="G140" s="4"/>
      <c r="H140" s="4"/>
      <c r="I140"/>
      <c r="J140"/>
      <c r="K140"/>
      <c r="L140"/>
    </row>
    <row r="141" spans="1:8" hidden="1">
      <c r="A141" s="2"/>
      <c r="B141"/>
      <c r="C141"/>
      <c r="D141"/>
      <c r="E141"/>
      <c r="F141" s="3"/>
      <c r="G141" s="4"/>
      <c r="H141" s="4"/>
      <c r="I141"/>
      <c r="J141"/>
      <c r="K141"/>
      <c r="L141"/>
    </row>
    <row r="142" spans="1:8" hidden="1">
      <c r="A142" s="2"/>
      <c r="B142"/>
      <c r="C142"/>
      <c r="D142"/>
      <c r="E142"/>
      <c r="F142" s="3"/>
      <c r="G142" s="4"/>
      <c r="H142" s="4"/>
      <c r="I142"/>
      <c r="J142"/>
      <c r="K142"/>
      <c r="L142"/>
    </row>
    <row r="143" spans="1:8" hidden="1">
      <c r="A143" s="2"/>
      <c r="B143"/>
      <c r="C143"/>
      <c r="D143"/>
      <c r="E143"/>
      <c r="F143" s="3"/>
      <c r="G143" s="4"/>
      <c r="H143" s="4"/>
      <c r="I143"/>
      <c r="J143"/>
      <c r="K143"/>
      <c r="L143"/>
    </row>
    <row r="144" spans="1:8" hidden="1">
      <c r="A144" s="2"/>
      <c r="B144"/>
      <c r="C144"/>
      <c r="D144"/>
      <c r="E144"/>
      <c r="F144" s="3"/>
      <c r="G144" s="4"/>
      <c r="H144" s="4"/>
      <c r="I144"/>
      <c r="J144"/>
      <c r="K144"/>
      <c r="L144"/>
    </row>
    <row r="145" spans="1:8" hidden="1">
      <c r="A145" s="2"/>
      <c r="B145"/>
      <c r="C145"/>
      <c r="D145"/>
      <c r="E145"/>
      <c r="F145" s="3"/>
      <c r="G145" s="4"/>
      <c r="H145" s="4"/>
      <c r="I145"/>
      <c r="J145"/>
      <c r="K145"/>
      <c r="L145"/>
    </row>
    <row r="146" spans="1:8" hidden="1">
      <c r="A146" s="2"/>
      <c r="B146"/>
      <c r="C146"/>
      <c r="D146"/>
      <c r="E146"/>
      <c r="F146" s="3"/>
      <c r="G146" s="4"/>
      <c r="H146" s="4"/>
      <c r="I146"/>
      <c r="J146"/>
      <c r="K146"/>
      <c r="L146"/>
    </row>
    <row r="147" spans="1:8" hidden="1">
      <c r="A147" s="2"/>
      <c r="B147"/>
      <c r="C147"/>
      <c r="D147"/>
      <c r="E147"/>
      <c r="F147" s="3"/>
      <c r="G147" s="4"/>
      <c r="H147" s="4"/>
      <c r="I147"/>
      <c r="J147"/>
      <c r="K147"/>
      <c r="L147"/>
    </row>
    <row r="148" spans="1:8" hidden="1">
      <c r="A148" s="2"/>
      <c r="B148"/>
      <c r="C148"/>
      <c r="D148"/>
      <c r="E148"/>
      <c r="F148" s="3"/>
      <c r="G148" s="4"/>
      <c r="H148" s="4"/>
      <c r="I148"/>
      <c r="J148"/>
      <c r="K148"/>
      <c r="L148"/>
    </row>
    <row r="149" spans="1:8" hidden="1">
      <c r="A149" s="2"/>
      <c r="B149"/>
      <c r="C149"/>
      <c r="D149"/>
      <c r="E149"/>
      <c r="F149" s="3"/>
      <c r="G149" s="4"/>
      <c r="H149" s="4"/>
      <c r="I149"/>
      <c r="J149"/>
      <c r="K149"/>
      <c r="L149"/>
    </row>
    <row r="150" spans="1:8" hidden="1">
      <c r="A150" s="2"/>
      <c r="B150"/>
      <c r="C150"/>
      <c r="D150"/>
      <c r="E150"/>
      <c r="F150" s="3"/>
      <c r="G150" s="4"/>
      <c r="H150" s="4"/>
      <c r="I150"/>
      <c r="J150"/>
      <c r="K150"/>
      <c r="L150"/>
    </row>
    <row r="151" spans="1:8" hidden="1">
      <c r="A151" s="2"/>
      <c r="B151"/>
      <c r="C151"/>
      <c r="D151"/>
      <c r="E151"/>
      <c r="F151" s="3"/>
      <c r="G151" s="4"/>
      <c r="H151" s="4"/>
      <c r="I151"/>
      <c r="J151"/>
      <c r="K151"/>
      <c r="L151"/>
    </row>
    <row r="152" spans="1:8" hidden="1">
      <c r="A152" s="2"/>
      <c r="B152"/>
      <c r="C152"/>
      <c r="D152"/>
      <c r="E152"/>
      <c r="F152" s="3"/>
      <c r="G152" s="4"/>
      <c r="H152" s="4"/>
      <c r="I152"/>
      <c r="J152"/>
      <c r="K152"/>
      <c r="L152"/>
    </row>
    <row r="153" spans="1:8" hidden="1">
      <c r="A153" s="2"/>
      <c r="B153"/>
      <c r="C153"/>
      <c r="D153"/>
      <c r="E153"/>
      <c r="F153" s="3"/>
      <c r="G153" s="4"/>
      <c r="H153" s="4"/>
      <c r="I153"/>
      <c r="J153"/>
      <c r="K153"/>
      <c r="L153"/>
    </row>
    <row r="154" spans="1:8" hidden="1">
      <c r="A154" s="2"/>
      <c r="B154"/>
      <c r="C154"/>
      <c r="D154"/>
      <c r="E154"/>
      <c r="F154" s="3"/>
      <c r="G154" s="4"/>
      <c r="H154" s="4"/>
      <c r="I154"/>
      <c r="J154"/>
      <c r="K154"/>
      <c r="L154"/>
    </row>
    <row r="155" spans="1:8" hidden="1">
      <c r="A155" s="2"/>
      <c r="B155"/>
      <c r="C155"/>
      <c r="D155"/>
      <c r="E155"/>
      <c r="F155" s="3"/>
      <c r="G155" s="4"/>
      <c r="H155" s="4"/>
      <c r="I155"/>
      <c r="J155"/>
      <c r="K155"/>
      <c r="L155"/>
    </row>
    <row r="156" spans="1:8" hidden="1">
      <c r="A156" s="2"/>
      <c r="B156"/>
      <c r="C156"/>
      <c r="D156"/>
      <c r="E156"/>
      <c r="F156" s="3"/>
      <c r="G156" s="4"/>
      <c r="H156" s="4"/>
      <c r="I156"/>
      <c r="J156"/>
      <c r="K156"/>
      <c r="L156"/>
    </row>
    <row r="157" spans="1:8" hidden="1">
      <c r="A157" s="2"/>
      <c r="B157"/>
      <c r="C157"/>
      <c r="D157"/>
      <c r="E157"/>
      <c r="F157" s="3"/>
      <c r="G157" s="4"/>
      <c r="H157" s="4"/>
      <c r="I157"/>
      <c r="J157"/>
      <c r="K157"/>
      <c r="L157"/>
    </row>
    <row r="158" spans="1:8" hidden="1">
      <c r="A158" s="2"/>
      <c r="B158"/>
      <c r="C158"/>
      <c r="D158"/>
      <c r="E158"/>
      <c r="F158" s="3"/>
      <c r="G158" s="4"/>
      <c r="H158" s="4"/>
      <c r="I158"/>
      <c r="J158"/>
      <c r="K158"/>
      <c r="L158"/>
    </row>
    <row r="159" spans="1:8" hidden="1">
      <c r="A159" s="2"/>
      <c r="B159"/>
      <c r="C159"/>
      <c r="D159"/>
      <c r="E159"/>
      <c r="F159" s="3"/>
      <c r="G159" s="4"/>
      <c r="H159" s="4"/>
      <c r="I159"/>
      <c r="J159"/>
      <c r="K159"/>
      <c r="L159"/>
    </row>
    <row r="160" spans="1:8" hidden="1">
      <c r="A160" s="2"/>
      <c r="B160"/>
      <c r="C160"/>
      <c r="D160"/>
      <c r="E160"/>
      <c r="F160" s="3"/>
      <c r="G160" s="4"/>
      <c r="H160" s="4"/>
      <c r="I160"/>
      <c r="J160"/>
      <c r="K160"/>
      <c r="L160"/>
    </row>
    <row r="161" spans="1:8" hidden="1">
      <c r="A161" s="2"/>
      <c r="B161"/>
      <c r="C161"/>
      <c r="D161"/>
      <c r="E161"/>
      <c r="F161" s="3"/>
      <c r="G161" s="4"/>
      <c r="H161" s="4"/>
      <c r="I161"/>
      <c r="J161"/>
      <c r="K161"/>
      <c r="L161"/>
    </row>
    <row r="162" spans="1:8" hidden="1">
      <c r="A162" s="2"/>
      <c r="B162"/>
      <c r="C162"/>
      <c r="D162"/>
      <c r="E162"/>
      <c r="F162" s="3"/>
      <c r="G162" s="4"/>
      <c r="H162" s="4"/>
      <c r="I162"/>
      <c r="J162"/>
      <c r="K162"/>
      <c r="L162"/>
    </row>
    <row r="163" spans="1:8" hidden="1">
      <c r="A163" s="2"/>
      <c r="B163"/>
      <c r="C163"/>
      <c r="D163"/>
      <c r="E163"/>
      <c r="F163" s="3"/>
      <c r="G163" s="4"/>
      <c r="H163" s="4"/>
      <c r="I163"/>
      <c r="J163"/>
      <c r="K163"/>
      <c r="L163"/>
    </row>
    <row r="164" spans="1:8" hidden="1">
      <c r="A164" s="2"/>
      <c r="B164"/>
      <c r="C164"/>
      <c r="D164"/>
      <c r="E164"/>
      <c r="F164" s="3"/>
      <c r="G164" s="4"/>
      <c r="H164" s="4"/>
      <c r="I164"/>
      <c r="J164"/>
      <c r="K164"/>
      <c r="L164"/>
    </row>
    <row r="165" spans="1:8" hidden="1">
      <c r="A165" s="2"/>
      <c r="B165"/>
      <c r="C165"/>
      <c r="D165"/>
      <c r="E165"/>
      <c r="F165" s="3"/>
      <c r="G165" s="4"/>
      <c r="H165" s="4"/>
      <c r="I165"/>
      <c r="J165"/>
      <c r="K165"/>
      <c r="L165"/>
    </row>
    <row r="166" spans="1:8" hidden="1">
      <c r="A166" s="2"/>
      <c r="B166"/>
      <c r="C166"/>
      <c r="D166"/>
      <c r="E166"/>
      <c r="F166" s="3"/>
      <c r="G166" s="4"/>
      <c r="H166" s="4"/>
      <c r="I166"/>
      <c r="J166"/>
      <c r="K166"/>
      <c r="L166"/>
    </row>
    <row r="167" spans="1:8" hidden="1">
      <c r="A167" s="2"/>
      <c r="B167"/>
      <c r="C167"/>
      <c r="D167"/>
      <c r="E167"/>
      <c r="F167" s="3"/>
      <c r="G167" s="4"/>
      <c r="H167" s="4"/>
      <c r="I167"/>
      <c r="J167"/>
      <c r="K167"/>
      <c r="L167"/>
    </row>
    <row r="168" spans="1:8" hidden="1">
      <c r="A168" s="2"/>
      <c r="B168"/>
      <c r="C168"/>
      <c r="D168"/>
      <c r="E168"/>
      <c r="F168" s="3"/>
      <c r="G168" s="4"/>
      <c r="H168" s="4"/>
      <c r="I168"/>
      <c r="J168"/>
      <c r="K168"/>
      <c r="L168"/>
    </row>
    <row r="169" spans="1:8" hidden="1">
      <c r="A169" s="2"/>
      <c r="B169"/>
      <c r="C169"/>
      <c r="D169"/>
      <c r="E169"/>
      <c r="F169" s="3"/>
      <c r="G169" s="4"/>
      <c r="H169" s="4"/>
      <c r="I169"/>
      <c r="J169"/>
      <c r="K169"/>
      <c r="L169"/>
    </row>
    <row r="170" spans="1:8" hidden="1">
      <c r="A170" s="2"/>
      <c r="B170"/>
      <c r="C170"/>
      <c r="D170"/>
      <c r="E170"/>
      <c r="F170" s="3"/>
      <c r="G170" s="4"/>
      <c r="H170" s="4"/>
      <c r="I170"/>
      <c r="J170"/>
      <c r="K170"/>
      <c r="L170"/>
    </row>
    <row r="171" spans="1:8" hidden="1">
      <c r="A171" s="2"/>
      <c r="B171"/>
      <c r="C171"/>
      <c r="D171"/>
      <c r="E171"/>
      <c r="F171" s="3"/>
      <c r="G171" s="4"/>
      <c r="H171" s="4"/>
      <c r="I171"/>
      <c r="J171"/>
      <c r="K171"/>
      <c r="L171"/>
    </row>
    <row r="172" spans="1:8" hidden="1">
      <c r="A172" s="2"/>
      <c r="B172"/>
      <c r="C172"/>
      <c r="D172"/>
      <c r="E172"/>
      <c r="F172" s="3"/>
      <c r="G172" s="4"/>
      <c r="H172" s="4"/>
      <c r="I172"/>
      <c r="J172"/>
      <c r="K172"/>
      <c r="L172"/>
    </row>
    <row r="173" spans="1:8" hidden="1">
      <c r="A173" s="2"/>
      <c r="B173"/>
      <c r="C173"/>
      <c r="D173"/>
      <c r="E173"/>
      <c r="F173" s="3"/>
      <c r="G173" s="4"/>
      <c r="H173" s="4"/>
      <c r="I173"/>
      <c r="J173"/>
      <c r="K173"/>
      <c r="L173"/>
    </row>
    <row r="174" spans="1:8" hidden="1">
      <c r="A174" s="2"/>
      <c r="B174"/>
      <c r="C174"/>
      <c r="D174"/>
      <c r="E174"/>
      <c r="F174" s="3"/>
      <c r="G174" s="4"/>
      <c r="H174" s="4"/>
      <c r="I174"/>
      <c r="J174"/>
      <c r="K174"/>
      <c r="L174"/>
    </row>
    <row r="175" spans="1:8" hidden="1">
      <c r="A175" s="2"/>
      <c r="B175"/>
      <c r="C175"/>
      <c r="D175"/>
      <c r="E175"/>
      <c r="F175" s="3"/>
      <c r="G175" s="4"/>
      <c r="H175" s="4"/>
      <c r="I175"/>
      <c r="J175"/>
      <c r="K175"/>
      <c r="L175"/>
    </row>
    <row r="176" spans="1:8" hidden="1">
      <c r="A176" s="2"/>
      <c r="B176"/>
      <c r="C176"/>
      <c r="D176"/>
      <c r="E176"/>
      <c r="F176" s="3"/>
      <c r="G176" s="4"/>
      <c r="H176" s="4"/>
      <c r="I176"/>
      <c r="J176"/>
      <c r="K176"/>
      <c r="L176"/>
    </row>
    <row r="177" spans="1:8" hidden="1">
      <c r="A177" s="2"/>
      <c r="B177"/>
      <c r="C177"/>
      <c r="D177"/>
      <c r="E177"/>
      <c r="F177" s="3"/>
      <c r="G177" s="4"/>
      <c r="H177" s="4"/>
      <c r="I177"/>
      <c r="J177"/>
      <c r="K177"/>
      <c r="L177"/>
    </row>
    <row r="178" spans="1:8" hidden="1">
      <c r="A178" s="2"/>
      <c r="B178"/>
      <c r="C178"/>
      <c r="D178"/>
      <c r="E178"/>
      <c r="F178" s="3"/>
      <c r="G178" s="4"/>
      <c r="H178" s="4"/>
      <c r="I178"/>
      <c r="J178"/>
      <c r="K178"/>
      <c r="L178"/>
    </row>
    <row r="179" spans="1:8" hidden="1">
      <c r="A179" s="2"/>
      <c r="B179"/>
      <c r="C179"/>
      <c r="D179"/>
      <c r="E179"/>
      <c r="F179" s="3"/>
      <c r="G179" s="4"/>
      <c r="H179" s="4"/>
      <c r="I179"/>
      <c r="J179"/>
      <c r="K179"/>
      <c r="L179"/>
    </row>
    <row r="180" spans="1:8" hidden="1">
      <c r="A180" s="2"/>
      <c r="B180"/>
      <c r="C180"/>
      <c r="D180"/>
      <c r="E180"/>
      <c r="F180" s="3"/>
      <c r="G180" s="4"/>
      <c r="H180" s="4"/>
      <c r="I180"/>
      <c r="J180"/>
      <c r="K180"/>
      <c r="L180"/>
    </row>
    <row r="181" spans="1:8" hidden="1">
      <c r="A181" s="2"/>
      <c r="B181"/>
      <c r="C181"/>
      <c r="D181"/>
      <c r="E181"/>
      <c r="F181" s="3"/>
      <c r="G181" s="4"/>
      <c r="H181" s="4"/>
      <c r="I181"/>
      <c r="J181"/>
      <c r="K181"/>
      <c r="L181"/>
    </row>
    <row r="182" spans="1:8" hidden="1">
      <c r="A182" s="2"/>
      <c r="B182"/>
      <c r="C182"/>
      <c r="D182"/>
      <c r="E182"/>
      <c r="F182" s="3"/>
      <c r="G182" s="4"/>
      <c r="H182" s="4"/>
      <c r="I182"/>
      <c r="J182"/>
      <c r="K182"/>
      <c r="L182"/>
    </row>
    <row r="183" spans="1:8" hidden="1">
      <c r="A183" s="2"/>
      <c r="B183"/>
      <c r="C183"/>
      <c r="D183"/>
      <c r="E183"/>
      <c r="F183" s="3"/>
      <c r="G183" s="4"/>
      <c r="H183" s="4"/>
      <c r="I183"/>
      <c r="J183"/>
      <c r="K183"/>
      <c r="L183"/>
    </row>
    <row r="184" spans="1:8" hidden="1">
      <c r="A184" s="2"/>
      <c r="B184"/>
      <c r="C184"/>
      <c r="D184"/>
      <c r="E184"/>
      <c r="F184" s="3"/>
      <c r="G184" s="4"/>
      <c r="H184" s="4"/>
      <c r="I184"/>
      <c r="J184"/>
      <c r="K184"/>
      <c r="L184"/>
    </row>
    <row r="185" spans="1:8" hidden="1">
      <c r="A185" s="2"/>
      <c r="B185"/>
      <c r="C185"/>
      <c r="D185"/>
      <c r="E185"/>
      <c r="F185" s="3"/>
      <c r="G185" s="4"/>
      <c r="H185" s="4"/>
      <c r="I185"/>
      <c r="J185"/>
      <c r="K185"/>
      <c r="L185"/>
    </row>
    <row r="186" spans="1:8" hidden="1">
      <c r="A186" s="2"/>
      <c r="B186"/>
      <c r="C186"/>
      <c r="D186"/>
      <c r="E186"/>
      <c r="F186" s="3"/>
      <c r="G186" s="4"/>
      <c r="H186" s="4"/>
      <c r="I186"/>
      <c r="J186"/>
      <c r="K186"/>
      <c r="L186"/>
    </row>
    <row r="187" spans="1:8" hidden="1">
      <c r="A187" s="2"/>
      <c r="B187"/>
      <c r="C187"/>
      <c r="D187"/>
      <c r="E187"/>
      <c r="F187" s="3"/>
      <c r="G187" s="4"/>
      <c r="H187" s="4"/>
      <c r="I187"/>
      <c r="J187"/>
      <c r="K187"/>
      <c r="L187"/>
    </row>
    <row r="188" spans="1:8" hidden="1">
      <c r="A188" s="2"/>
      <c r="B188"/>
      <c r="C188"/>
      <c r="D188"/>
      <c r="E188"/>
      <c r="F188" s="3"/>
      <c r="G188" s="4"/>
      <c r="H188" s="4"/>
      <c r="I188"/>
      <c r="J188"/>
      <c r="K188"/>
      <c r="L188"/>
    </row>
    <row r="189" spans="1:8" hidden="1">
      <c r="A189" s="2"/>
      <c r="B189"/>
      <c r="C189"/>
      <c r="D189"/>
      <c r="E189"/>
      <c r="F189" s="3"/>
      <c r="G189" s="4"/>
      <c r="H189" s="4"/>
      <c r="I189"/>
      <c r="J189"/>
      <c r="K189"/>
      <c r="L189"/>
    </row>
    <row r="190" spans="1:8" hidden="1">
      <c r="A190" s="2"/>
      <c r="B190"/>
      <c r="C190"/>
      <c r="D190"/>
      <c r="E190"/>
      <c r="F190" s="3"/>
      <c r="G190" s="4"/>
      <c r="H190" s="4"/>
      <c r="I190"/>
      <c r="J190"/>
      <c r="K190"/>
      <c r="L190"/>
    </row>
    <row r="191" spans="1:8" hidden="1">
      <c r="A191" s="2"/>
      <c r="B191"/>
      <c r="C191"/>
      <c r="D191"/>
      <c r="E191"/>
      <c r="F191" s="3"/>
      <c r="G191" s="4"/>
      <c r="H191" s="4"/>
      <c r="I191"/>
      <c r="J191"/>
      <c r="K191"/>
      <c r="L191"/>
    </row>
    <row r="192" spans="1:8" hidden="1">
      <c r="A192" s="2"/>
      <c r="B192"/>
      <c r="C192"/>
      <c r="D192"/>
      <c r="E192"/>
      <c r="F192" s="3"/>
      <c r="G192" s="4"/>
      <c r="H192" s="4"/>
      <c r="I192"/>
      <c r="J192"/>
      <c r="K192"/>
      <c r="L192"/>
    </row>
    <row r="193" spans="1:8" hidden="1">
      <c r="A193" s="2"/>
      <c r="B193"/>
      <c r="C193"/>
      <c r="D193"/>
      <c r="E193"/>
      <c r="F193" s="3"/>
      <c r="G193" s="4"/>
      <c r="H193" s="4"/>
      <c r="I193"/>
      <c r="J193"/>
      <c r="K193"/>
      <c r="L193"/>
    </row>
    <row r="194" spans="1:8" hidden="1">
      <c r="A194" s="2"/>
      <c r="B194"/>
      <c r="C194"/>
      <c r="D194"/>
      <c r="E194"/>
      <c r="F194" s="3"/>
      <c r="G194" s="4"/>
      <c r="H194" s="4"/>
      <c r="I194"/>
      <c r="J194"/>
      <c r="K194"/>
      <c r="L194"/>
    </row>
    <row r="195" spans="1:8" hidden="1">
      <c r="A195" s="2"/>
      <c r="B195"/>
      <c r="C195"/>
      <c r="D195"/>
      <c r="E195"/>
      <c r="F195" s="3"/>
      <c r="G195" s="4"/>
      <c r="H195" s="4"/>
      <c r="I195"/>
      <c r="J195"/>
      <c r="K195"/>
      <c r="L195"/>
    </row>
    <row r="196" spans="1:8" hidden="1">
      <c r="A196" s="2"/>
      <c r="B196"/>
      <c r="C196"/>
      <c r="D196"/>
      <c r="E196"/>
      <c r="F196" s="3"/>
      <c r="G196" s="4"/>
      <c r="H196" s="4"/>
      <c r="I196"/>
      <c r="J196"/>
      <c r="K196"/>
      <c r="L196"/>
    </row>
    <row r="197" spans="1:8" hidden="1">
      <c r="A197" s="2"/>
      <c r="B197"/>
      <c r="C197"/>
      <c r="D197"/>
      <c r="E197"/>
      <c r="F197" s="3"/>
      <c r="G197" s="4"/>
      <c r="H197" s="4"/>
      <c r="I197"/>
      <c r="J197"/>
      <c r="K197"/>
      <c r="L197"/>
    </row>
    <row r="198" spans="1:8" hidden="1">
      <c r="A198" s="2"/>
      <c r="B198"/>
      <c r="C198"/>
      <c r="D198"/>
      <c r="E198"/>
      <c r="F198" s="3"/>
      <c r="G198" s="4"/>
      <c r="H198" s="4"/>
      <c r="I198"/>
      <c r="J198"/>
      <c r="K198"/>
      <c r="L198"/>
    </row>
    <row r="199" spans="1:8" hidden="1">
      <c r="A199" s="2"/>
      <c r="B199"/>
      <c r="C199"/>
      <c r="D199"/>
      <c r="E199"/>
      <c r="F199" s="3"/>
      <c r="G199" s="4"/>
      <c r="H199" s="4"/>
      <c r="I199"/>
      <c r="J199"/>
      <c r="K199"/>
      <c r="L199"/>
    </row>
    <row r="200" spans="1:8" hidden="1">
      <c r="A200" s="2"/>
      <c r="E200">
        <f>VLOOKUP(TablaObra[[#This Row],[Equipo]],Catalogos!$I$4:$J$46,2,FALSE)</f>
      </c>
      <c r="F200" s="3"/>
      <c r="G200" s="4"/>
      <c r="H200" s="4"/>
    </row>
    <row r="201" spans="1:8" hidden="1">
      <c r="A201" s="2"/>
      <c r="E201">
        <f>VLOOKUP(TablaObra[[#This Row],[Equipo]],Catalogos!$I$4:$J$46,2,FALSE)</f>
      </c>
      <c r="F201" s="3"/>
      <c r="G201" s="4"/>
      <c r="H201" s="4"/>
    </row>
    <row r="202" spans="1:8" hidden="1">
      <c r="A202" s="2"/>
      <c r="E202">
        <f>VLOOKUP(TablaObra[[#This Row],[Equipo]],Catalogos!$I$4:$J$46,2,FALSE)</f>
      </c>
      <c r="F202" s="3"/>
      <c r="G202" s="4"/>
      <c r="H202" s="4"/>
    </row>
    <row r="203" spans="1:8" hidden="1">
      <c r="A203" s="2"/>
      <c r="E203">
        <f>VLOOKUP(TablaObra[[#This Row],[Equipo]],Catalogos!$I$4:$J$46,2,FALSE)</f>
      </c>
      <c r="F203" s="3"/>
      <c r="G203" s="4"/>
      <c r="H203" s="4"/>
    </row>
    <row r="204" spans="1:8" hidden="1">
      <c r="A204" s="2"/>
      <c r="E204">
        <f>VLOOKUP(TablaObra[[#This Row],[Equipo]],Catalogos!$I$4:$J$46,2,FALSE)</f>
      </c>
      <c r="F204" s="3"/>
      <c r="G204" s="4"/>
      <c r="H204" s="4"/>
    </row>
    <row r="205" spans="1:8" hidden="1">
      <c r="A205" s="2"/>
      <c r="E205">
        <f>VLOOKUP(TablaObra[[#This Row],[Equipo]],Catalogos!$I$4:$J$46,2,FALSE)</f>
      </c>
      <c r="F205" s="3"/>
      <c r="G205" s="4"/>
      <c r="H205" s="4"/>
    </row>
    <row r="206" spans="1:8" hidden="1">
      <c r="A206" s="2"/>
      <c r="E206">
        <f>VLOOKUP(TablaObra[[#This Row],[Equipo]],Catalogos!$I$4:$J$46,2,FALSE)</f>
      </c>
      <c r="F206" s="3"/>
      <c r="G206" s="4"/>
      <c r="H206" s="4"/>
    </row>
    <row r="207" spans="1:8" hidden="1">
      <c r="A207" s="2"/>
      <c r="E207">
        <f>VLOOKUP(TablaObra[[#This Row],[Equipo]],Catalogos!$I$4:$J$46,2,FALSE)</f>
      </c>
      <c r="F207" s="3"/>
      <c r="G207" s="4"/>
      <c r="H207" s="4"/>
    </row>
    <row r="208" spans="1:8" hidden="1">
      <c r="A208" s="2"/>
      <c r="E208">
        <f>VLOOKUP(TablaObra[[#This Row],[Equipo]],Catalogos!$I$4:$J$46,2,FALSE)</f>
      </c>
      <c r="F208" s="3"/>
      <c r="G208" s="4"/>
      <c r="H208" s="4"/>
    </row>
    <row r="209" spans="1:8" hidden="1">
      <c r="A209" s="2"/>
      <c r="E209">
        <f>VLOOKUP(TablaObra[[#This Row],[Equipo]],Catalogos!$I$4:$J$46,2,FALSE)</f>
      </c>
      <c r="F209" s="3"/>
      <c r="G209" s="4"/>
      <c r="H209" s="4"/>
    </row>
    <row r="210" spans="1:8" hidden="1">
      <c r="A210" s="2"/>
      <c r="E210">
        <f>VLOOKUP(TablaObra[[#This Row],[Equipo]],Catalogos!$I$4:$J$46,2,FALSE)</f>
      </c>
      <c r="F210" s="3"/>
      <c r="G210" s="4"/>
      <c r="H210" s="4"/>
    </row>
    <row r="211" spans="1:8" hidden="1">
      <c r="A211" s="2"/>
      <c r="E211">
        <f>VLOOKUP(TablaObra[[#This Row],[Equipo]],Catalogos!$I$4:$J$46,2,FALSE)</f>
      </c>
      <c r="F211" s="3"/>
      <c r="G211" s="4"/>
      <c r="H211" s="4"/>
    </row>
    <row r="212" spans="1:8" hidden="1">
      <c r="A212" s="2"/>
      <c r="E212">
        <f>VLOOKUP(TablaObra[[#This Row],[Equipo]],Catalogos!$I$4:$J$46,2,FALSE)</f>
      </c>
      <c r="F212" s="3"/>
      <c r="G212" s="4"/>
      <c r="H212" s="4"/>
    </row>
    <row r="213" spans="1:8" hidden="1">
      <c r="A213" s="2"/>
      <c r="E213">
        <f>VLOOKUP(TablaObra[[#This Row],[Equipo]],Catalogos!$I$4:$J$46,2,FALSE)</f>
      </c>
      <c r="F213" s="3"/>
      <c r="G213" s="4"/>
      <c r="H213" s="4"/>
    </row>
    <row r="214" spans="1:8" hidden="1">
      <c r="A214" s="2"/>
      <c r="E214">
        <f>VLOOKUP(TablaObra[[#This Row],[Equipo]],Catalogos!$I$4:$J$46,2,FALSE)</f>
      </c>
      <c r="F214" s="3"/>
      <c r="G214" s="4"/>
      <c r="H214" s="4"/>
    </row>
    <row r="215" spans="1:8" hidden="1">
      <c r="A215" s="2"/>
      <c r="E215">
        <f>VLOOKUP(TablaObra[[#This Row],[Equipo]],Catalogos!$I$4:$J$46,2,FALSE)</f>
      </c>
      <c r="F215" s="3"/>
      <c r="G215" s="4"/>
      <c r="H215" s="4"/>
    </row>
    <row r="216" spans="1:8" hidden="1">
      <c r="A216" s="2"/>
      <c r="E216">
        <f>VLOOKUP(TablaObra[[#This Row],[Equipo]],Catalogos!$I$4:$J$46,2,FALSE)</f>
      </c>
      <c r="F216" s="3"/>
      <c r="G216" s="4"/>
      <c r="H216" s="4"/>
    </row>
    <row r="217" spans="1:8" hidden="1">
      <c r="A217" s="2"/>
      <c r="E217">
        <f>VLOOKUP(TablaObra[[#This Row],[Equipo]],Catalogos!$I$4:$J$46,2,FALSE)</f>
      </c>
      <c r="F217" s="3"/>
      <c r="G217" s="4"/>
      <c r="H217" s="4"/>
    </row>
    <row r="218" spans="1:8" hidden="1">
      <c r="A218" s="2"/>
      <c r="E218">
        <f>VLOOKUP(TablaObra[[#This Row],[Equipo]],Catalogos!$I$4:$J$46,2,FALSE)</f>
      </c>
      <c r="F218" s="3"/>
      <c r="G218" s="4"/>
      <c r="H218" s="4"/>
    </row>
    <row r="219" spans="1:8" hidden="1">
      <c r="A219" s="2"/>
      <c r="E219">
        <f>VLOOKUP(TablaObra[[#This Row],[Equipo]],Catalogos!$I$4:$J$46,2,FALSE)</f>
      </c>
      <c r="F219" s="3"/>
      <c r="G219" s="4"/>
      <c r="H219" s="4"/>
    </row>
    <row r="220" spans="1:8" hidden="1">
      <c r="A220" s="2"/>
      <c r="E220">
        <f>VLOOKUP(TablaObra[[#This Row],[Equipo]],Catalogos!$I$4:$J$46,2,FALSE)</f>
      </c>
      <c r="F220" s="3"/>
      <c r="G220" s="4"/>
      <c r="H220" s="4"/>
    </row>
    <row r="221" spans="1:8" hidden="1">
      <c r="A221" s="2"/>
      <c r="E221">
        <f>VLOOKUP(TablaObra[[#This Row],[Equipo]],Catalogos!$I$4:$J$46,2,FALSE)</f>
      </c>
      <c r="F221" s="3"/>
      <c r="G221" s="4"/>
      <c r="H221" s="4"/>
    </row>
    <row r="222" spans="1:8" hidden="1">
      <c r="A222" s="2"/>
      <c r="E222">
        <f>VLOOKUP(TablaObra[[#This Row],[Equipo]],Catalogos!$I$4:$J$46,2,FALSE)</f>
      </c>
      <c r="F222" s="3"/>
      <c r="G222" s="4"/>
      <c r="H222" s="4"/>
    </row>
    <row r="223" spans="1:8" hidden="1">
      <c r="A223" s="2"/>
      <c r="E223">
        <f>VLOOKUP(TablaObra[[#This Row],[Equipo]],Catalogos!$I$4:$J$46,2,FALSE)</f>
      </c>
      <c r="F223" s="3"/>
      <c r="G223" s="4"/>
      <c r="H223" s="4"/>
    </row>
    <row r="224" spans="1:8" hidden="1">
      <c r="A224" s="2"/>
      <c r="E224">
        <f>VLOOKUP(TablaObra[[#This Row],[Equipo]],Catalogos!$I$4:$J$46,2,FALSE)</f>
      </c>
      <c r="F224" s="3"/>
      <c r="G224" s="4"/>
      <c r="H224" s="4"/>
    </row>
    <row r="225" spans="1:8" hidden="1">
      <c r="A225" s="2"/>
      <c r="E225">
        <f>VLOOKUP(TablaObra[[#This Row],[Equipo]],Catalogos!$I$4:$J$46,2,FALSE)</f>
      </c>
      <c r="F225" s="3"/>
      <c r="G225" s="4"/>
      <c r="H225" s="4"/>
    </row>
    <row r="226" spans="1:8" hidden="1">
      <c r="A226" s="2"/>
      <c r="E226">
        <f>VLOOKUP(TablaObra[[#This Row],[Equipo]],Catalogos!$I$4:$J$46,2,FALSE)</f>
      </c>
      <c r="F226" s="3"/>
      <c r="G226" s="4"/>
      <c r="H226" s="4"/>
    </row>
    <row r="227" spans="1:8" hidden="1">
      <c r="A227" s="2"/>
      <c r="E227">
        <f>VLOOKUP(TablaObra[[#This Row],[Equipo]],Catalogos!$I$4:$J$46,2,FALSE)</f>
      </c>
      <c r="F227" s="3"/>
      <c r="G227" s="4"/>
      <c r="H227" s="4"/>
    </row>
    <row r="228" spans="1:8" hidden="1">
      <c r="A228" s="2"/>
      <c r="E228">
        <f>VLOOKUP(TablaObra[[#This Row],[Equipo]],Catalogos!$I$4:$J$46,2,FALSE)</f>
      </c>
      <c r="F228" s="3"/>
      <c r="G228" s="4"/>
      <c r="H228" s="4"/>
    </row>
    <row r="229" spans="1:8" hidden="1">
      <c r="A229" s="2"/>
      <c r="E229">
        <f>VLOOKUP(TablaObra[[#This Row],[Equipo]],Catalogos!$I$4:$J$46,2,FALSE)</f>
      </c>
      <c r="F229" s="3"/>
      <c r="G229" s="4"/>
      <c r="H229" s="4"/>
    </row>
    <row r="230" spans="1:8" hidden="1">
      <c r="A230" s="2"/>
      <c r="E230">
        <f>VLOOKUP(TablaObra[[#This Row],[Equipo]],Catalogos!$I$4:$J$46,2,FALSE)</f>
      </c>
      <c r="F230" s="3"/>
      <c r="G230" s="4"/>
      <c r="H230" s="4"/>
    </row>
    <row r="231" spans="1:8" hidden="1">
      <c r="A231" s="2"/>
      <c r="E231">
        <f>VLOOKUP(TablaObra[[#This Row],[Equipo]],Catalogos!$I$4:$J$46,2,FALSE)</f>
      </c>
      <c r="F231" s="3"/>
      <c r="G231" s="4"/>
      <c r="H231" s="4"/>
    </row>
    <row r="232" spans="1:8" hidden="1">
      <c r="A232" s="2"/>
      <c r="E232">
        <f>VLOOKUP(TablaObra[[#This Row],[Equipo]],Catalogos!$I$4:$J$46,2,FALSE)</f>
      </c>
      <c r="F232" s="3"/>
      <c r="G232" s="4"/>
      <c r="H232" s="4"/>
    </row>
    <row r="233" spans="1:8" hidden="1">
      <c r="A233" s="2"/>
      <c r="E233">
        <f>VLOOKUP(TablaObra[[#This Row],[Equipo]],Catalogos!$I$4:$J$46,2,FALSE)</f>
      </c>
      <c r="F233" s="3"/>
      <c r="G233" s="4"/>
      <c r="H233" s="4"/>
    </row>
    <row r="234" spans="1:8" hidden="1">
      <c r="A234" s="2"/>
      <c r="E234">
        <f>VLOOKUP(TablaObra[[#This Row],[Equipo]],Catalogos!$I$4:$J$46,2,FALSE)</f>
      </c>
      <c r="F234" s="3"/>
      <c r="G234" s="4"/>
      <c r="H234" s="4"/>
    </row>
    <row r="235" spans="1:8" hidden="1">
      <c r="A235" s="2"/>
      <c r="E235">
        <f>VLOOKUP(TablaObra[[#This Row],[Equipo]],Catalogos!$I$4:$J$46,2,FALSE)</f>
      </c>
      <c r="F235" s="3"/>
      <c r="G235" s="4"/>
      <c r="H235" s="4"/>
    </row>
    <row r="236" spans="1:8" hidden="1">
      <c r="A236" s="2"/>
      <c r="E236">
        <f>VLOOKUP(TablaObra[[#This Row],[Equipo]],Catalogos!$I$4:$J$46,2,FALSE)</f>
      </c>
      <c r="F236" s="3"/>
      <c r="G236" s="4"/>
      <c r="H236" s="4"/>
    </row>
    <row r="237" spans="1:8" hidden="1">
      <c r="A237" s="2"/>
      <c r="E237">
        <f>VLOOKUP(TablaObra[[#This Row],[Equipo]],Catalogos!$I$4:$J$46,2,FALSE)</f>
      </c>
      <c r="F237" s="3"/>
      <c r="G237" s="4"/>
      <c r="H237" s="4"/>
    </row>
    <row r="238" spans="1:8" hidden="1">
      <c r="A238" s="2"/>
      <c r="E238">
        <f>VLOOKUP(TablaObra[[#This Row],[Equipo]],Catalogos!$I$4:$J$46,2,FALSE)</f>
      </c>
      <c r="F238" s="3"/>
      <c r="G238" s="4"/>
      <c r="H238" s="4"/>
    </row>
    <row r="239" spans="1:8" hidden="1">
      <c r="A239" s="2"/>
      <c r="E239">
        <f>VLOOKUP(TablaObra[[#This Row],[Equipo]],Catalogos!$I$4:$J$46,2,FALSE)</f>
      </c>
      <c r="F239" s="3"/>
      <c r="G239" s="4"/>
      <c r="H239" s="4"/>
    </row>
    <row r="240" spans="1:8" hidden="1">
      <c r="A240" s="2"/>
      <c r="E240">
        <f>VLOOKUP(TablaObra[[#This Row],[Equipo]],Catalogos!$I$4:$J$46,2,FALSE)</f>
      </c>
      <c r="F240" s="3"/>
      <c r="G240" s="4"/>
      <c r="H240" s="4"/>
    </row>
    <row r="241" spans="1:8" hidden="1">
      <c r="A241" s="2"/>
      <c r="E241">
        <f>VLOOKUP(TablaObra[[#This Row],[Equipo]],Catalogos!$I$4:$J$46,2,FALSE)</f>
      </c>
      <c r="F241" s="3"/>
      <c r="G241" s="4"/>
      <c r="H241" s="4"/>
    </row>
    <row r="242" spans="1:8" hidden="1">
      <c r="A242" s="2"/>
      <c r="E242">
        <f>VLOOKUP(TablaObra[[#This Row],[Equipo]],Catalogos!$I$4:$J$46,2,FALSE)</f>
      </c>
      <c r="F242" s="3"/>
      <c r="G242" s="4"/>
      <c r="H242" s="4"/>
    </row>
    <row r="243" spans="1:8" hidden="1">
      <c r="A243" s="2"/>
      <c r="E243">
        <f>VLOOKUP(TablaObra[[#This Row],[Equipo]],Catalogos!$I$4:$J$46,2,FALSE)</f>
      </c>
      <c r="F243" s="3"/>
      <c r="G243" s="4"/>
      <c r="H243" s="4"/>
    </row>
    <row r="244" spans="1:8" hidden="1">
      <c r="A244" s="2"/>
      <c r="E244">
        <f>VLOOKUP(TablaObra[[#This Row],[Equipo]],Catalogos!$I$4:$J$46,2,FALSE)</f>
      </c>
      <c r="F244" s="3"/>
      <c r="G244" s="4"/>
      <c r="H244" s="4"/>
    </row>
    <row r="245" spans="1:8" hidden="1">
      <c r="A245" s="2"/>
      <c r="E245">
        <f>VLOOKUP(TablaObra[[#This Row],[Equipo]],Catalogos!$I$4:$J$46,2,FALSE)</f>
      </c>
      <c r="F245" s="3"/>
      <c r="G245" s="4"/>
      <c r="H245" s="4"/>
    </row>
    <row r="246" spans="1:8" hidden="1">
      <c r="A246" s="2"/>
      <c r="E246">
        <f>VLOOKUP(TablaObra[[#This Row],[Equipo]],Catalogos!$I$4:$J$46,2,FALSE)</f>
      </c>
      <c r="F246" s="3"/>
      <c r="G246" s="4"/>
      <c r="H246" s="4"/>
    </row>
    <row r="247" spans="1:8" hidden="1">
      <c r="A247" s="2"/>
      <c r="E247">
        <f>VLOOKUP(TablaObra[[#This Row],[Equipo]],Catalogos!$I$4:$J$46,2,FALSE)</f>
      </c>
      <c r="F247" s="3"/>
      <c r="G247" s="4"/>
      <c r="H247" s="4"/>
    </row>
    <row r="248" spans="1:8" hidden="1">
      <c r="A248" s="2"/>
      <c r="E248">
        <f>VLOOKUP(TablaObra[[#This Row],[Equipo]],Catalogos!$I$4:$J$46,2,FALSE)</f>
      </c>
      <c r="F248" s="3"/>
      <c r="G248" s="4"/>
      <c r="H248" s="4"/>
    </row>
    <row r="249" spans="1:8" hidden="1">
      <c r="A249" s="2"/>
      <c r="E249">
        <f>VLOOKUP(TablaObra[[#This Row],[Equipo]],Catalogos!$I$4:$J$46,2,FALSE)</f>
      </c>
      <c r="F249" s="3"/>
      <c r="G249" s="4"/>
      <c r="H249" s="4"/>
    </row>
    <row r="250" spans="1:8" hidden="1">
      <c r="A250" s="2"/>
      <c r="E250">
        <f>VLOOKUP(TablaObra[[#This Row],[Equipo]],Catalogos!$I$4:$J$46,2,FALSE)</f>
      </c>
      <c r="F250" s="3"/>
      <c r="G250" s="4"/>
      <c r="H250" s="4"/>
    </row>
    <row r="251" spans="1:8" hidden="1">
      <c r="A251" s="2"/>
      <c r="E251">
        <f>VLOOKUP(TablaObra[[#This Row],[Equipo]],Catalogos!$I$4:$J$46,2,FALSE)</f>
      </c>
      <c r="F251" s="3"/>
      <c r="G251" s="4"/>
      <c r="H251" s="4"/>
    </row>
    <row r="252" spans="1:8" hidden="1">
      <c r="A252" s="2"/>
      <c r="E252">
        <f>VLOOKUP(TablaObra[[#This Row],[Equipo]],Catalogos!$I$4:$J$46,2,FALSE)</f>
      </c>
      <c r="F252" s="3"/>
      <c r="G252" s="4"/>
      <c r="H252" s="4"/>
    </row>
    <row r="253" spans="1:8" hidden="1">
      <c r="A253" s="2"/>
      <c r="E253">
        <f>VLOOKUP(TablaObra[[#This Row],[Equipo]],Catalogos!$I$4:$J$46,2,FALSE)</f>
      </c>
      <c r="F253" s="3"/>
      <c r="G253" s="4"/>
      <c r="H253" s="4"/>
    </row>
    <row r="254" spans="1:8" hidden="1">
      <c r="A254" s="2"/>
      <c r="E254">
        <f>VLOOKUP(TablaObra[[#This Row],[Equipo]],Catalogos!$I$4:$J$46,2,FALSE)</f>
      </c>
      <c r="F254" s="3"/>
      <c r="G254" s="4"/>
      <c r="H254" s="4"/>
    </row>
    <row r="255" spans="1:8" hidden="1">
      <c r="A255" s="2"/>
      <c r="E255">
        <f>VLOOKUP(TablaObra[[#This Row],[Equipo]],Catalogos!$I$4:$J$46,2,FALSE)</f>
      </c>
      <c r="F255" s="3"/>
      <c r="G255" s="4"/>
      <c r="H255" s="4"/>
    </row>
    <row r="256" spans="1:8" hidden="1">
      <c r="A256" s="2"/>
      <c r="E256">
        <f>VLOOKUP(TablaObra[[#This Row],[Equipo]],Catalogos!$I$4:$J$46,2,FALSE)</f>
      </c>
      <c r="F256" s="3"/>
      <c r="G256" s="4"/>
      <c r="H256" s="4"/>
    </row>
    <row r="257" spans="1:8" hidden="1">
      <c r="A257" s="2"/>
      <c r="E257">
        <f>VLOOKUP(TablaObra[[#This Row],[Equipo]],Catalogos!$I$4:$J$46,2,FALSE)</f>
      </c>
      <c r="F257" s="3"/>
      <c r="G257" s="4"/>
      <c r="H257" s="4"/>
    </row>
    <row r="258" spans="1:8" hidden="1">
      <c r="A258" s="2"/>
      <c r="E258">
        <f>VLOOKUP(TablaObra[[#This Row],[Equipo]],Catalogos!$I$4:$J$46,2,FALSE)</f>
      </c>
      <c r="F258" s="3"/>
      <c r="G258" s="4"/>
      <c r="H258" s="4"/>
    </row>
    <row r="259" spans="1:8" hidden="1">
      <c r="A259" s="2"/>
      <c r="E259">
        <f>VLOOKUP(TablaObra[[#This Row],[Equipo]],Catalogos!$I$4:$J$46,2,FALSE)</f>
      </c>
      <c r="F259" s="3"/>
      <c r="G259" s="4"/>
      <c r="H259" s="4"/>
    </row>
    <row r="260" spans="1:8" hidden="1">
      <c r="A260" s="2"/>
      <c r="E260">
        <f>VLOOKUP(TablaObra[[#This Row],[Equipo]],Catalogos!$I$4:$J$46,2,FALSE)</f>
      </c>
      <c r="F260" s="3"/>
      <c r="G260" s="4"/>
      <c r="H260" s="4"/>
    </row>
    <row r="261" spans="1:8" hidden="1">
      <c r="A261" s="2"/>
      <c r="E261">
        <f>VLOOKUP(TablaObra[[#This Row],[Equipo]],Catalogos!$I$4:$J$46,2,FALSE)</f>
      </c>
      <c r="F261" s="3"/>
      <c r="G261" s="4"/>
      <c r="H261" s="4">
        <f t="shared" ref="H261:H304" si="4">IFERROR(F261*G261,0)</f>
      </c>
    </row>
    <row r="262" spans="1:8" hidden="1">
      <c r="A262" s="2"/>
      <c r="E262">
        <f>VLOOKUP(TablaObra[[#This Row],[Equipo]],Catalogos!$I$4:$J$46,2,FALSE)</f>
      </c>
      <c r="F262" s="3"/>
      <c r="G262" s="4"/>
      <c r="H262" s="4">
        <f t="shared" si="4"/>
      </c>
    </row>
    <row r="263" spans="1:8" hidden="1">
      <c r="A263" s="2"/>
      <c r="E263">
        <f>VLOOKUP(TablaObra[[#This Row],[Equipo]],Catalogos!$I$4:$J$46,2,FALSE)</f>
      </c>
      <c r="F263" s="3"/>
      <c r="G263" s="4"/>
      <c r="H263" s="4">
        <f t="shared" si="4"/>
      </c>
    </row>
    <row r="264" spans="1:8" hidden="1">
      <c r="A264" s="2"/>
      <c r="E264">
        <f>VLOOKUP(TablaObra[[#This Row],[Equipo]],Catalogos!$I$4:$J$46,2,FALSE)</f>
      </c>
      <c r="F264" s="3"/>
      <c r="G264" s="4"/>
      <c r="H264" s="4">
        <f t="shared" si="4"/>
      </c>
    </row>
    <row r="265" spans="1:8" hidden="1">
      <c r="A265" s="2"/>
      <c r="E265">
        <f>VLOOKUP(TablaObra[[#This Row],[Equipo]],Catalogos!$I$4:$J$46,2,FALSE)</f>
      </c>
      <c r="F265" s="3"/>
      <c r="G265" s="4"/>
      <c r="H265" s="4">
        <f t="shared" si="4"/>
      </c>
    </row>
    <row r="266" spans="1:8" hidden="1">
      <c r="A266" s="2"/>
      <c r="E266">
        <f>VLOOKUP(TablaObra[[#This Row],[Equipo]],Catalogos!$I$4:$J$46,2,FALSE)</f>
      </c>
      <c r="F266" s="3"/>
      <c r="G266" s="4"/>
      <c r="H266" s="4">
        <f t="shared" si="4"/>
      </c>
    </row>
    <row r="267" spans="1:8" hidden="1">
      <c r="A267" s="2"/>
      <c r="E267">
        <f>VLOOKUP(TablaObra[[#This Row],[Equipo]],Catalogos!$I$4:$J$46,2,FALSE)</f>
      </c>
      <c r="F267" s="3"/>
      <c r="G267" s="4"/>
      <c r="H267" s="4">
        <f t="shared" si="4"/>
      </c>
    </row>
    <row r="268" spans="1:8" hidden="1">
      <c r="A268" s="2"/>
      <c r="E268">
        <f>VLOOKUP(TablaObra[[#This Row],[Equipo]],Catalogos!$I$4:$J$46,2,FALSE)</f>
      </c>
      <c r="F268" s="3"/>
      <c r="G268" s="4"/>
      <c r="H268" s="4">
        <f t="shared" si="4"/>
      </c>
    </row>
    <row r="269" spans="1:8" hidden="1">
      <c r="A269" s="2"/>
      <c r="E269">
        <f>VLOOKUP(TablaObra[[#This Row],[Equipo]],Catalogos!$I$4:$J$46,2,FALSE)</f>
      </c>
      <c r="F269" s="3"/>
      <c r="G269" s="4"/>
      <c r="H269" s="4">
        <f t="shared" si="4"/>
      </c>
    </row>
    <row r="270" spans="1:8" hidden="1">
      <c r="A270" s="2"/>
      <c r="E270">
        <f>VLOOKUP(TablaObra[[#This Row],[Equipo]],Catalogos!$I$4:$J$46,2,FALSE)</f>
      </c>
      <c r="F270" s="3"/>
      <c r="G270" s="4"/>
      <c r="H270" s="4">
        <f t="shared" si="4"/>
      </c>
    </row>
    <row r="271" spans="1:8" hidden="1">
      <c r="A271" s="2"/>
      <c r="E271">
        <f>VLOOKUP(TablaObra[[#This Row],[Equipo]],Catalogos!$I$4:$J$46,2,FALSE)</f>
      </c>
      <c r="F271" s="3"/>
      <c r="G271" s="4"/>
      <c r="H271" s="4">
        <f t="shared" si="4"/>
      </c>
    </row>
    <row r="272" spans="1:8" hidden="1">
      <c r="A272" s="2"/>
      <c r="E272">
        <f>VLOOKUP(TablaObra[[#This Row],[Equipo]],Catalogos!$I$4:$J$46,2,FALSE)</f>
      </c>
      <c r="F272" s="3"/>
      <c r="G272" s="4"/>
      <c r="H272" s="4">
        <f t="shared" si="4"/>
      </c>
    </row>
    <row r="273" spans="1:8" hidden="1">
      <c r="A273" s="2"/>
      <c r="E273">
        <f>VLOOKUP(TablaObra[[#This Row],[Equipo]],Catalogos!$I$4:$J$46,2,FALSE)</f>
      </c>
      <c r="F273" s="3"/>
      <c r="G273" s="4"/>
      <c r="H273" s="4">
        <f t="shared" si="4"/>
      </c>
    </row>
    <row r="274" spans="1:8" hidden="1">
      <c r="A274" s="2"/>
      <c r="E274">
        <f>VLOOKUP(TablaObra[[#This Row],[Equipo]],Catalogos!$I$4:$J$46,2,FALSE)</f>
      </c>
      <c r="F274" s="3"/>
      <c r="G274" s="4"/>
      <c r="H274" s="4">
        <f t="shared" si="4"/>
      </c>
    </row>
    <row r="275" spans="1:8" hidden="1">
      <c r="A275" s="2"/>
      <c r="E275">
        <f>VLOOKUP(TablaObra[[#This Row],[Equipo]],Catalogos!$I$4:$J$46,2,FALSE)</f>
      </c>
      <c r="F275" s="3"/>
      <c r="G275" s="4"/>
      <c r="H275" s="4">
        <f t="shared" si="4"/>
      </c>
    </row>
    <row r="276" spans="1:8" hidden="1">
      <c r="A276" s="2"/>
      <c r="E276">
        <f>VLOOKUP(TablaObra[[#This Row],[Equipo]],Catalogos!$I$4:$J$46,2,FALSE)</f>
      </c>
      <c r="F276" s="3"/>
      <c r="G276" s="4"/>
      <c r="H276" s="4">
        <f t="shared" si="4"/>
      </c>
    </row>
    <row r="277" spans="1:8" hidden="1">
      <c r="A277" s="2"/>
      <c r="E277">
        <f>VLOOKUP(TablaObra[[#This Row],[Equipo]],Catalogos!$I$4:$J$46,2,FALSE)</f>
      </c>
      <c r="F277" s="3"/>
      <c r="G277" s="4"/>
      <c r="H277" s="4">
        <f t="shared" si="4"/>
      </c>
    </row>
    <row r="278" spans="1:8" hidden="1">
      <c r="A278" s="2"/>
      <c r="E278">
        <f>VLOOKUP(TablaObra[[#This Row],[Equipo]],Catalogos!$I$4:$J$46,2,FALSE)</f>
      </c>
      <c r="F278" s="3"/>
      <c r="G278" s="4"/>
      <c r="H278" s="4">
        <f t="shared" si="4"/>
      </c>
    </row>
    <row r="279" spans="1:8" hidden="1">
      <c r="A279" s="2"/>
      <c r="E279">
        <f>VLOOKUP(TablaObra[[#This Row],[Equipo]],Catalogos!$I$4:$J$46,2,FALSE)</f>
      </c>
      <c r="F279" s="3"/>
      <c r="G279" s="4"/>
      <c r="H279" s="4">
        <f t="shared" si="4"/>
      </c>
    </row>
    <row r="280" spans="1:8" hidden="1">
      <c r="A280" s="2"/>
      <c r="E280">
        <f>VLOOKUP(TablaObra[[#This Row],[Equipo]],Catalogos!$I$4:$J$46,2,FALSE)</f>
      </c>
      <c r="F280" s="3"/>
      <c r="G280" s="4"/>
      <c r="H280" s="4">
        <f t="shared" si="4"/>
      </c>
    </row>
    <row r="281" spans="1:8" hidden="1">
      <c r="A281" s="2"/>
      <c r="E281">
        <f>VLOOKUP(TablaObra[[#This Row],[Equipo]],Catalogos!$I$4:$J$46,2,FALSE)</f>
      </c>
      <c r="F281" s="3"/>
      <c r="G281" s="4"/>
      <c r="H281" s="4">
        <f t="shared" si="4"/>
      </c>
    </row>
    <row r="282" spans="1:8" hidden="1">
      <c r="A282" s="2"/>
      <c r="E282">
        <f>VLOOKUP(TablaObra[[#This Row],[Equipo]],Catalogos!$I$4:$J$46,2,FALSE)</f>
      </c>
      <c r="F282" s="3"/>
      <c r="G282" s="4"/>
      <c r="H282" s="4">
        <f t="shared" si="4"/>
      </c>
    </row>
    <row r="283" spans="1:8" hidden="1">
      <c r="A283" s="2"/>
      <c r="E283">
        <f>VLOOKUP(TablaObra[[#This Row],[Equipo]],Catalogos!$I$4:$J$46,2,FALSE)</f>
      </c>
      <c r="F283" s="3"/>
      <c r="G283" s="4"/>
      <c r="H283" s="4">
        <f t="shared" si="4"/>
      </c>
    </row>
    <row r="284" spans="1:8" hidden="1">
      <c r="A284" s="2"/>
      <c r="E284">
        <f>VLOOKUP(TablaObra[[#This Row],[Equipo]],Catalogos!$I$4:$J$46,2,FALSE)</f>
      </c>
      <c r="F284" s="3"/>
      <c r="G284" s="4"/>
      <c r="H284" s="4">
        <f t="shared" si="4"/>
      </c>
    </row>
    <row r="285" spans="1:8" hidden="1">
      <c r="A285" s="2"/>
      <c r="E285">
        <f>VLOOKUP(TablaObra[[#This Row],[Equipo]],Catalogos!$I$4:$J$46,2,FALSE)</f>
      </c>
      <c r="F285" s="3"/>
      <c r="G285" s="4"/>
      <c r="H285" s="4">
        <f t="shared" si="4"/>
      </c>
    </row>
    <row r="286" spans="1:8" hidden="1">
      <c r="A286" s="2"/>
      <c r="E286">
        <f>VLOOKUP(TablaObra[[#This Row],[Equipo]],Catalogos!$I$4:$J$46,2,FALSE)</f>
      </c>
      <c r="F286" s="3"/>
      <c r="G286" s="4"/>
      <c r="H286" s="4">
        <f t="shared" si="4"/>
      </c>
    </row>
    <row r="287" spans="1:8" hidden="1">
      <c r="A287" s="2"/>
      <c r="E287">
        <f>VLOOKUP(TablaObra[[#This Row],[Equipo]],Catalogos!$I$4:$J$46,2,FALSE)</f>
      </c>
      <c r="F287" s="3"/>
      <c r="G287" s="4"/>
      <c r="H287" s="4">
        <f t="shared" si="4"/>
      </c>
    </row>
    <row r="288" spans="1:8" hidden="1">
      <c r="A288" s="2"/>
      <c r="E288">
        <f>VLOOKUP(TablaObra[[#This Row],[Equipo]],Catalogos!$I$4:$J$46,2,FALSE)</f>
      </c>
      <c r="F288" s="3"/>
      <c r="G288" s="4"/>
      <c r="H288" s="4">
        <f t="shared" si="4"/>
      </c>
    </row>
    <row r="289" spans="1:8" hidden="1">
      <c r="A289" s="2"/>
      <c r="E289">
        <f>VLOOKUP(TablaObra[[#This Row],[Equipo]],Catalogos!$I$4:$J$46,2,FALSE)</f>
      </c>
      <c r="F289" s="3"/>
      <c r="G289" s="4"/>
      <c r="H289" s="4">
        <f t="shared" si="4"/>
      </c>
    </row>
    <row r="290" spans="1:8" hidden="1">
      <c r="A290" s="2"/>
      <c r="E290">
        <f>VLOOKUP(TablaObra[[#This Row],[Equipo]],Catalogos!$I$4:$J$46,2,FALSE)</f>
      </c>
      <c r="F290" s="3"/>
      <c r="G290" s="4"/>
      <c r="H290" s="4">
        <f t="shared" si="4"/>
      </c>
    </row>
    <row r="291" spans="1:8" hidden="1">
      <c r="A291" s="2"/>
      <c r="E291">
        <f>VLOOKUP(TablaObra[[#This Row],[Equipo]],Catalogos!$I$4:$J$46,2,FALSE)</f>
      </c>
      <c r="F291" s="3"/>
      <c r="G291" s="4"/>
      <c r="H291" s="4">
        <f t="shared" si="4"/>
      </c>
    </row>
    <row r="292" spans="1:8" hidden="1">
      <c r="A292" s="2"/>
      <c r="E292">
        <f>VLOOKUP(TablaObra[[#This Row],[Equipo]],Catalogos!$I$4:$J$46,2,FALSE)</f>
      </c>
      <c r="F292" s="3"/>
      <c r="G292" s="4"/>
      <c r="H292" s="4">
        <f t="shared" si="4"/>
      </c>
    </row>
    <row r="293" spans="1:8" hidden="1">
      <c r="A293" s="2"/>
      <c r="E293">
        <f>VLOOKUP(TablaObra[[#This Row],[Equipo]],Catalogos!$I$4:$J$46,2,FALSE)</f>
      </c>
      <c r="F293" s="3"/>
      <c r="G293" s="4"/>
      <c r="H293" s="4">
        <f t="shared" si="4"/>
      </c>
    </row>
    <row r="294" spans="1:8" hidden="1">
      <c r="A294" s="2"/>
      <c r="E294">
        <f>VLOOKUP(TablaObra[[#This Row],[Equipo]],Catalogos!$I$4:$J$46,2,FALSE)</f>
      </c>
      <c r="F294" s="3"/>
      <c r="G294" s="4"/>
      <c r="H294" s="4">
        <f t="shared" si="4"/>
      </c>
    </row>
    <row r="295" spans="1:8" hidden="1">
      <c r="A295" s="2"/>
      <c r="E295">
        <f>VLOOKUP(TablaObra[[#This Row],[Equipo]],Catalogos!$I$4:$J$46,2,FALSE)</f>
      </c>
      <c r="F295" s="3"/>
      <c r="G295" s="4"/>
      <c r="H295" s="4">
        <f t="shared" si="4"/>
      </c>
    </row>
    <row r="296" spans="1:8" hidden="1">
      <c r="A296" s="2"/>
      <c r="E296">
        <f>VLOOKUP(TablaObra[[#This Row],[Equipo]],Catalogos!$I$4:$J$46,2,FALSE)</f>
      </c>
      <c r="F296" s="3"/>
      <c r="G296" s="4"/>
      <c r="H296" s="4">
        <f t="shared" si="4"/>
      </c>
    </row>
    <row r="297" spans="1:8" hidden="1">
      <c r="A297" s="2"/>
      <c r="E297">
        <f>VLOOKUP(TablaObra[[#This Row],[Equipo]],Catalogos!$I$4:$J$46,2,FALSE)</f>
      </c>
      <c r="F297" s="3"/>
      <c r="G297" s="4"/>
      <c r="H297" s="4">
        <f t="shared" si="4"/>
      </c>
    </row>
    <row r="298" spans="1:8" hidden="1">
      <c r="A298" s="2"/>
      <c r="E298">
        <f>VLOOKUP(TablaObra[[#This Row],[Equipo]],Catalogos!$I$4:$J$46,2,FALSE)</f>
      </c>
      <c r="F298" s="3"/>
      <c r="G298" s="4"/>
      <c r="H298" s="4">
        <f t="shared" si="4"/>
      </c>
    </row>
    <row r="299" spans="1:8" hidden="1">
      <c r="A299" s="2"/>
      <c r="E299">
        <f>VLOOKUP(TablaObra[[#This Row],[Equipo]],Catalogos!$I$4:$J$46,2,FALSE)</f>
      </c>
      <c r="F299" s="3"/>
      <c r="G299" s="4"/>
      <c r="H299" s="4">
        <f t="shared" si="4"/>
      </c>
    </row>
    <row r="300" spans="1:8" hidden="1">
      <c r="A300" s="2"/>
      <c r="E300">
        <f>VLOOKUP(TablaObra[[#This Row],[Equipo]],Catalogos!$I$4:$J$46,2,FALSE)</f>
      </c>
      <c r="F300" s="3"/>
      <c r="G300" s="4"/>
      <c r="H300" s="4">
        <f t="shared" si="4"/>
      </c>
    </row>
    <row r="301" spans="1:8" hidden="1">
      <c r="A301" s="2"/>
      <c r="E301">
        <f>VLOOKUP(TablaObra[[#This Row],[Equipo]],Catalogos!$I$4:$J$46,2,FALSE)</f>
      </c>
      <c r="F301" s="3"/>
      <c r="G301" s="4"/>
      <c r="H301" s="4">
        <f t="shared" si="4"/>
      </c>
    </row>
    <row r="302" spans="1:8" hidden="1">
      <c r="A302" s="2"/>
      <c r="E302">
        <f>VLOOKUP(TablaObra[[#This Row],[Equipo]],Catalogos!$I$4:$J$46,2,FALSE)</f>
      </c>
      <c r="F302" s="3"/>
      <c r="G302" s="4"/>
      <c r="H302" s="4">
        <f t="shared" si="4"/>
      </c>
    </row>
    <row r="303" spans="1:8" hidden="1">
      <c r="A303" s="2"/>
      <c r="E303">
        <f>VLOOKUP(TablaObra[[#This Row],[Equipo]],Catalogos!$I$4:$J$46,2,FALSE)</f>
      </c>
      <c r="F303" s="3"/>
      <c r="G303" s="4"/>
      <c r="H303" s="4">
        <f t="shared" si="4"/>
      </c>
    </row>
    <row r="304" spans="1:8" hidden="1">
      <c r="A304" s="2"/>
      <c r="E304">
        <f>VLOOKUP(TablaObra[[#This Row],[Equipo]],Catalogos!$I$4:$J$46,2,FALSE)</f>
      </c>
      <c r="F304" s="3"/>
      <c r="G304" s="4"/>
      <c r="H304" s="4">
        <f t="shared" si="4"/>
      </c>
    </row>
  </sheetData>
  <mergeCells count="1">
    <mergeCell ref="A1:K1"/>
  </mergeCells>
  <phoneticPr fontId="4" type="noConversion"/>
  <dataValidations count="2">
    <dataValidation type="list" sqref="C5:C304" xr:uid="{00000000-0002-0000-0300-000001000000}">
      <formula1>"Marimba M-01,Pegaso Directo,Otro"</formula1>
    </dataValidation>
    <dataValidation type="list" sqref="J5:J304" xr:uid="{00000000-0002-0000-0300-000003000000}">
      <formula1>"Sin incidencia,Fuga,Reparación,Equipo parado,Consumo extraordinario,Otro"</formula1>
    </dataValidation>
    <dataValidation type="list" allowBlank="true" showInputMessage="undefined" prompt="undefined" promptTitle="undefined" showErrorMessage="undefined" error="undefined" errorTitle="undefined" operator="undefined" sqref="F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2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2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2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2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2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2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2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2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2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2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2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2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2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2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2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2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2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2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2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2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3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3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3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3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3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3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3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3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3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3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3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3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3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3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3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3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3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3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3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3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4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4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4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4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4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4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4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4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4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4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4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4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4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4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4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4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4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4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4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4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5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5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5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5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5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5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5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5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5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5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5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5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5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5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5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5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5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5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5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5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6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6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6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6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6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6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6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6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6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6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6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6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6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6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6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6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6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6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6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6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7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7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7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7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7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7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7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7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7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7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7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7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7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7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7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7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7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7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7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7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8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8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8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8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8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8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8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8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8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8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8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8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8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8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8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8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8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8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8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8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9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9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9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9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9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9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9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9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9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9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9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9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9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9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9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9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9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9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9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9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0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0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0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0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0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0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0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0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0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0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0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0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0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0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0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0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0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0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0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0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1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1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1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1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1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1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1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1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1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1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1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1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1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1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1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1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1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1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1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1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2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2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2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2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2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2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2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2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2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2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2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2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2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2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2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2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2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2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2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2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3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3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3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3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3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3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3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3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3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3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3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3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3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3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3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3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3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3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3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3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4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4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4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4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4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4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4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4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4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4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4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4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4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4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4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4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4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4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4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4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5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5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5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5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5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5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5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5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5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5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5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5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5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5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5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5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5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5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5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5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6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6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6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6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6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6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6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6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6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6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6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6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6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6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6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6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6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6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6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6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7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7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7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7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7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7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7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7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7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7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7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7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7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7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7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7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7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7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7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7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8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8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8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8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8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8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8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8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8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8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8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8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8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8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8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8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8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8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8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89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90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90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91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91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92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92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93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93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94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94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95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95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96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96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97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97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98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98">
      <formula1>Catalogos!$U$4:$U$50</formula1>
      <formula2/>
    </dataValidation>
    <dataValidation type="list" allowBlank="true" showInputMessage="undefined" prompt="undefined" promptTitle="undefined" showErrorMessage="undefined" error="undefined" errorTitle="undefined" operator="undefined" sqref="F199">
      <formula1>Catalogos!$B$4:$B$11</formula1>
      <formula2/>
    </dataValidation>
    <dataValidation type="list" allowBlank="true" showInputMessage="undefined" prompt="undefined" promptTitle="undefined" showErrorMessage="undefined" error="undefined" errorTitle="undefined" operator="undefined" sqref="E199">
      <formula1>Catalogos!$U$4:$U$50</formula1>
      <formula2/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errorTitle="Equipo no válido" error="undefined" promptTitle="undefined" prompt="undefined" xr:uid="{00000000-0002-0000-0500-000002000000}">
          <x14:formula1>
            <xm:f>Catalogos!$I$4:$I$46</xm:f>
          </x14:formula1>
          <xm:sqref>D5:D1000</xm:sqref>
        </x14:dataValidation>
        <x14:dataValidation type="list" allowBlank="1" showInputMessage="1" showErrorMessage="1" errorTitle="Económico no válido" error="undefined" promptTitle="undefined" prompt="undefined" xr:uid="{00000000-0002-0000-0500-000003000000}">
          <x14:formula1>
            <xm:f>Catalogos!$J$4:$J$46</xm:f>
          </x14:formula1>
          <xm:sqref>E5:E1000</xm:sqref>
        </x14:dataValidation>
        <x14:dataValidation type="list" xr:uid="{00000000-0002-0000-0300-000002000000}">
          <x14:formula1>
            <xm:f>Catalogos!$J$4:$J$18</xm:f>
          </x14:formula1>
          <xm:sqref>E5:E64 E104:E304</xm:sqref>
        </x14:dataValidation>
        <x14:dataValidation type="list" allowBlank="1" showInputMessage="1" showErrorMessage="1" xr:uid="{7165B4E6-07F6-4B47-844F-B84F1BF80585}">
          <x14:formula1>
            <xm:f>Catalogos!$I$4:$I$49</xm:f>
          </x14:formula1>
          <xm:sqref>D5:D755</xm:sqref>
        </x14:dataValidation>
        <x14:dataValidation type="list" allowBlank="1" showInputMessage="1" showErrorMessage="1" xr:uid="{FC7D1549-965B-4423-A65A-43F2DD241288}">
          <x14:formula1>
            <xm:f>Catalogos!$B$4:$B$18</xm:f>
          </x14:formula1>
          <xm:sqref>B5:B304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1EB62-CA52-438F-916E-51DDA6085DD1}">
  <sheetPr/>
  <sheetViews>
    <sheetView topLeftCell="A263" workbookViewId="0">
      <selection activeCell="A276" sqref="A276:A283"/>
    </sheetView>
  </sheetViews>
  <sheetFormatPr baseColWidth="10" defaultColWidth="8.796875" defaultRowHeight="13.8"/>
  <cols>
    <col min="1" max="1" width="13" customWidth="1"/>
    <col min="2" max="2" width="20" customWidth="1"/>
    <col min="3" max="3" width="17" customWidth="1"/>
    <col min="4" max="4" width="22" customWidth="1"/>
    <col min="5" max="6" width="14" customWidth="1"/>
    <col min="7" max="7" width="12" customWidth="1"/>
    <col min="8" max="8" width="14" customWidth="1"/>
    <col min="9" max="9" width="25" customWidth="1"/>
    <col min="10" max="10" width="16" customWidth="1"/>
    <col min="11" max="11" width="30" customWidth="1"/>
  </cols>
  <sheetData>
    <row r="1" spans="1:11" ht="22.35" customHeight="1">
      <c r="A1" t="s" s="3537">
        <v>93</v>
      </c>
      <c r="B1" s="3538"/>
      <c r="C1" s="3538"/>
      <c r="D1" s="3538"/>
      <c r="E1" s="3538"/>
      <c r="F1" s="3538"/>
      <c r="G1" s="3538"/>
      <c r="H1" s="3538"/>
      <c r="I1" s="3538"/>
      <c r="J1" s="3538"/>
      <c r="K1" s="3538"/>
    </row>
    <row r="2" spans="1:11">
      <c r="A2" t="s">
        <v>32</v>
      </c>
      <c r="C2" t="s">
        <v>7</v>
      </c>
      <c r="E2" t="s">
        <v>8</v>
      </c>
      <c r="G2" t="s">
        <v>33</v>
      </c>
      <c r="I2" t="s">
        <v>25</v>
      </c>
    </row>
    <row r="4" spans="1:11" ht="27.6">
      <c r="A4" t="s" s="1">
        <v>104</v>
      </c>
      <c r="B4" t="s" s="1">
        <v>0</v>
      </c>
      <c r="C4" t="s" s="1">
        <v>103</v>
      </c>
      <c r="D4" t="s" s="1">
        <v>28</v>
      </c>
      <c r="E4" t="s" s="1">
        <v>29</v>
      </c>
      <c r="F4" t="s" s="1">
        <v>96</v>
      </c>
      <c r="G4" t="s" s="1">
        <v>18</v>
      </c>
      <c r="H4" t="s" s="1">
        <v>19</v>
      </c>
      <c r="I4" t="s" s="1">
        <v>136</v>
      </c>
      <c r="J4" t="s" s="1">
        <v>37</v>
      </c>
      <c r="K4" t="s" s="1">
        <v>20</v>
      </c>
    </row>
    <row r="5" spans="1:11">
      <c r="A5" s="2">
        <v>46180</v>
      </c>
      <c r="B5" t="s">
        <v>2</v>
      </c>
      <c r="C5" s="2">
        <v>46181</v>
      </c>
      <c r="D5" t="s">
        <v>94</v>
      </c>
      <c r="E5">
        <f>VLOOKUP(TablaObra5[[#This Row],[Equipo]],Catalogos!$I$4:$J$64,2,FALSE)</f>
      </c>
      <c r="F5" s="3">
        <v>200</v>
      </c>
      <c r="G5" s="4">
        <v>28.3</v>
      </c>
      <c r="H5" s="4">
        <f t="shared" ref="H5:H70" si="0">IFERROR(F5*G5,0)</f>
      </c>
      <c r="I5">
        <f>VLOOKUP(TablaObra5[[#This Row],[Obra]],Catalogos!$B$3:$C$10,2,FALSE)</f>
      </c>
    </row>
    <row r="6" spans="1:11">
      <c r="A6" s="2">
        <v>46180</v>
      </c>
      <c r="B6" t="s">
        <v>2</v>
      </c>
      <c r="C6" s="2">
        <v>46181</v>
      </c>
      <c r="D6" t="s">
        <v>98</v>
      </c>
      <c r="E6">
        <f>VLOOKUP(TablaObra5[[#This Row],[Equipo]],Catalogos!$I$4:$J$64,2,FALSE)</f>
      </c>
      <c r="F6" s="3">
        <v>300</v>
      </c>
      <c r="G6" s="4">
        <v>28.3</v>
      </c>
      <c r="H6" s="4">
        <f t="shared" si="0"/>
      </c>
      <c r="I6">
        <f>VLOOKUP(TablaObra5[[#This Row],[Obra]],Catalogos!$B$3:$C$10,2,FALSE)</f>
      </c>
    </row>
    <row r="7" spans="1:11">
      <c r="A7" s="2">
        <v>46180</v>
      </c>
      <c r="B7" t="s">
        <v>2</v>
      </c>
      <c r="C7" s="2">
        <v>46181</v>
      </c>
      <c r="D7" t="s">
        <v>58</v>
      </c>
      <c r="E7">
        <f>VLOOKUP(TablaObra5[[#This Row],[Equipo]],Catalogos!$I$4:$J$64,2,FALSE)</f>
      </c>
      <c r="F7" s="3">
        <v>30</v>
      </c>
      <c r="G7" s="4">
        <v>28.3</v>
      </c>
      <c r="H7" s="4">
        <f t="shared" si="0"/>
      </c>
      <c r="I7">
        <f>VLOOKUP(TablaObra5[[#This Row],[Obra]],Catalogos!$B$3:$C$10,2,FALSE)</f>
      </c>
    </row>
    <row r="8" spans="1:11">
      <c r="A8" s="2">
        <v>46180</v>
      </c>
      <c r="B8" t="s">
        <v>2</v>
      </c>
      <c r="C8" s="2">
        <v>46181</v>
      </c>
      <c r="D8" t="s">
        <v>99</v>
      </c>
      <c r="E8">
        <f>VLOOKUP(TablaObra5[[#This Row],[Equipo]],Catalogos!$I$4:$J$64,2,FALSE)</f>
      </c>
      <c r="F8" s="3">
        <v>20</v>
      </c>
      <c r="G8" s="4">
        <v>28.3</v>
      </c>
      <c r="H8" s="4">
        <f t="shared" si="0"/>
      </c>
      <c r="I8">
        <f>VLOOKUP(TablaObra5[[#This Row],[Obra]],Catalogos!$B$3:$C$10,2,FALSE)</f>
      </c>
    </row>
    <row r="9" spans="1:11">
      <c r="A9" s="2">
        <v>46180</v>
      </c>
      <c r="B9" t="s">
        <v>2</v>
      </c>
      <c r="C9" s="2">
        <v>46181</v>
      </c>
      <c r="D9" t="s">
        <v>114</v>
      </c>
      <c r="E9">
        <f>VLOOKUP(TablaObra5[[#This Row],[Equipo]],Catalogos!$I$4:$J$64,2,FALSE)</f>
      </c>
      <c r="F9" s="3">
        <v>30</v>
      </c>
      <c r="G9" s="4">
        <v>28.3</v>
      </c>
      <c r="H9" s="4">
        <f t="shared" si="0"/>
      </c>
      <c r="I9">
        <f>VLOOKUP(TablaObra5[[#This Row],[Obra]],Catalogos!$B$3:$C$10,2,FALSE)</f>
      </c>
    </row>
    <row r="10" spans="1:11">
      <c r="A10" s="2">
        <v>46180</v>
      </c>
      <c r="B10" t="s">
        <v>2</v>
      </c>
      <c r="C10" s="2">
        <v>46181</v>
      </c>
      <c r="D10" t="s">
        <v>50</v>
      </c>
      <c r="E10">
        <f>VLOOKUP(TablaObra5[[#This Row],[Equipo]],Catalogos!$I$4:$J$64,2,FALSE)</f>
      </c>
      <c r="F10" s="3">
        <v>30</v>
      </c>
      <c r="G10" s="4">
        <v>28.3</v>
      </c>
      <c r="H10" s="4">
        <f t="shared" si="0"/>
      </c>
      <c r="I10">
        <f>VLOOKUP(TablaObra5[[#This Row],[Obra]],Catalogos!$B$3:$C$10,2,FALSE)</f>
      </c>
    </row>
    <row r="11" spans="1:11">
      <c r="A11" s="2">
        <v>46180</v>
      </c>
      <c r="B11" t="s">
        <v>2</v>
      </c>
      <c r="C11" s="2">
        <v>46181</v>
      </c>
      <c r="D11" t="s">
        <v>131</v>
      </c>
      <c r="E11">
        <f>VLOOKUP(TablaObra5[[#This Row],[Equipo]],Catalogos!$I$4:$J$64,2,FALSE)</f>
      </c>
      <c r="F11" s="3">
        <v>30</v>
      </c>
      <c r="G11" s="4">
        <v>28.3</v>
      </c>
      <c r="H11" s="4">
        <f t="shared" si="0"/>
      </c>
      <c r="I11">
        <f>VLOOKUP(TablaObra5[[#This Row],[Obra]],Catalogos!$B$3:$C$10,2,FALSE)</f>
      </c>
    </row>
    <row r="12" spans="1:11">
      <c r="A12" s="2">
        <v>46180</v>
      </c>
      <c r="B12" t="s">
        <v>3</v>
      </c>
      <c r="C12" s="2">
        <v>46181</v>
      </c>
      <c r="D12" t="s">
        <v>58</v>
      </c>
      <c r="E12">
        <f>VLOOKUP(TablaObra5[[#This Row],[Equipo]],Catalogos!$I$4:$J$64,2,FALSE)</f>
      </c>
      <c r="F12" s="3">
        <v>50</v>
      </c>
      <c r="G12" s="4">
        <v>28.3</v>
      </c>
      <c r="H12" s="4">
        <f t="shared" si="0"/>
      </c>
      <c r="I12">
        <f>VLOOKUP(TablaObra5[[#This Row],[Obra]],Catalogos!$B$3:$C$10,2,FALSE)</f>
      </c>
    </row>
    <row r="13" spans="1:11">
      <c r="A13" s="2">
        <v>46180</v>
      </c>
      <c r="B13" t="s">
        <v>3</v>
      </c>
      <c r="C13" s="2">
        <v>46181</v>
      </c>
      <c r="D13" t="s">
        <v>114</v>
      </c>
      <c r="E13">
        <f>VLOOKUP(TablaObra5[[#This Row],[Equipo]],Catalogos!$I$4:$J$64,2,FALSE)</f>
      </c>
      <c r="F13" s="3">
        <v>50</v>
      </c>
      <c r="G13" s="4">
        <v>28.3</v>
      </c>
      <c r="H13" s="4">
        <f t="shared" si="0"/>
      </c>
      <c r="I13">
        <f>VLOOKUP(TablaObra5[[#This Row],[Obra]],Catalogos!$B$3:$C$10,2,FALSE)</f>
      </c>
    </row>
    <row r="14" spans="1:11">
      <c r="A14" s="2">
        <v>46180</v>
      </c>
      <c r="B14" t="s">
        <v>3</v>
      </c>
      <c r="C14" s="2">
        <v>46181</v>
      </c>
      <c r="D14" t="s">
        <v>62</v>
      </c>
      <c r="E14">
        <f>VLOOKUP(TablaObra5[[#This Row],[Equipo]],Catalogos!$I$4:$J$64,2,FALSE)</f>
      </c>
      <c r="F14" s="3">
        <v>60</v>
      </c>
      <c r="G14" s="4">
        <v>28.3</v>
      </c>
      <c r="H14" s="4">
        <f t="shared" si="0"/>
      </c>
      <c r="I14">
        <f>VLOOKUP(TablaObra5[[#This Row],[Obra]],Catalogos!$B$3:$C$10,2,FALSE)</f>
      </c>
    </row>
    <row r="15" spans="1:11">
      <c r="A15" s="2">
        <v>46181</v>
      </c>
      <c r="B15" t="s">
        <v>142</v>
      </c>
      <c r="C15" s="2"/>
      <c r="D15" t="s">
        <v>58</v>
      </c>
      <c r="E15">
        <f>VLOOKUP(TablaObra5[[#This Row],[Equipo]],Catalogos!$I$4:$J$64,2,FALSE)</f>
      </c>
      <c r="F15" s="3">
        <v>100</v>
      </c>
      <c r="G15" s="4">
        <v>28.3</v>
      </c>
      <c r="H15" s="4">
        <f>IFERROR(F15*G15,0)</f>
      </c>
      <c r="I15">
        <f>VLOOKUP(TablaObra5[[#This Row],[Obra]],Catalogos!$B$3:$C$10,2,FALSE)</f>
      </c>
    </row>
    <row r="16" spans="1:11">
      <c r="A16" s="2">
        <v>46181</v>
      </c>
      <c r="B16" t="s">
        <v>4</v>
      </c>
      <c r="C16" s="2">
        <v>46181</v>
      </c>
      <c r="D16" t="s">
        <v>105</v>
      </c>
      <c r="E16">
        <f>VLOOKUP(TablaObra5[[#This Row],[Equipo]],Catalogos!$I$4:$J$64,2,FALSE)</f>
      </c>
      <c r="F16" s="3">
        <v>250</v>
      </c>
      <c r="G16" s="4">
        <v>28.3</v>
      </c>
      <c r="H16" s="4">
        <f t="shared" si="0"/>
      </c>
      <c r="I16">
        <f>VLOOKUP(TablaObra5[[#This Row],[Obra]],Catalogos!$B$3:$C$10,2,FALSE)</f>
      </c>
    </row>
    <row r="17" spans="1:9">
      <c r="A17" s="2">
        <v>46181</v>
      </c>
      <c r="B17" t="s">
        <v>4</v>
      </c>
      <c r="C17" s="2">
        <v>46181</v>
      </c>
      <c r="D17" t="s">
        <v>107</v>
      </c>
      <c r="E17">
        <f>VLOOKUP(TablaObra5[[#This Row],[Equipo]],Catalogos!$I$4:$J$64,2,FALSE)</f>
      </c>
      <c r="F17" s="3">
        <v>150</v>
      </c>
      <c r="G17" s="4">
        <v>28.3</v>
      </c>
      <c r="H17" s="4">
        <f t="shared" si="0"/>
      </c>
      <c r="I17">
        <f>VLOOKUP(TablaObra5[[#This Row],[Obra]],Catalogos!$B$3:$C$10,2,FALSE)</f>
      </c>
    </row>
    <row r="18" spans="1:9">
      <c r="A18" s="2">
        <v>46181</v>
      </c>
      <c r="B18" t="s">
        <v>4</v>
      </c>
      <c r="C18" s="2">
        <v>46181</v>
      </c>
      <c r="D18" t="s">
        <v>108</v>
      </c>
      <c r="E18">
        <f>VLOOKUP(TablaObra5[[#This Row],[Equipo]],Catalogos!$I$4:$J$64,2,FALSE)</f>
      </c>
      <c r="F18" s="3">
        <v>40</v>
      </c>
      <c r="G18" s="4">
        <v>28.3</v>
      </c>
      <c r="H18" s="4">
        <f t="shared" si="0"/>
      </c>
      <c r="I18">
        <f>VLOOKUP(TablaObra5[[#This Row],[Obra]],Catalogos!$B$3:$C$10,2,FALSE)</f>
      </c>
    </row>
    <row r="19" spans="1:9">
      <c r="A19" s="2">
        <v>46181</v>
      </c>
      <c r="B19" t="s">
        <v>4</v>
      </c>
      <c r="C19" s="2">
        <v>46181</v>
      </c>
      <c r="D19" t="s">
        <v>110</v>
      </c>
      <c r="E19">
        <f>VLOOKUP(TablaObra5[[#This Row],[Equipo]],Catalogos!$I$4:$J$64,2,FALSE)</f>
      </c>
      <c r="F19" s="3">
        <v>60</v>
      </c>
      <c r="G19" s="4">
        <v>28.3</v>
      </c>
      <c r="H19" s="4">
        <f t="shared" si="0"/>
      </c>
      <c r="I19">
        <f>VLOOKUP(TablaObra5[[#This Row],[Obra]],Catalogos!$B$3:$C$10,2,FALSE)</f>
      </c>
    </row>
    <row r="20" spans="1:9">
      <c r="A20" s="2">
        <v>46181</v>
      </c>
      <c r="B20" t="s">
        <v>4</v>
      </c>
      <c r="C20" s="2">
        <v>46181</v>
      </c>
      <c r="D20" t="s">
        <v>112</v>
      </c>
      <c r="E20">
        <f>VLOOKUP(TablaObra5[[#This Row],[Equipo]],Catalogos!$I$4:$J$64,2,FALSE)</f>
      </c>
      <c r="F20" s="3">
        <v>100</v>
      </c>
      <c r="G20" s="4">
        <v>28.3</v>
      </c>
      <c r="H20" s="4">
        <f t="shared" si="0"/>
      </c>
      <c r="I20">
        <f>VLOOKUP(TablaObra5[[#This Row],[Obra]],Catalogos!$B$3:$C$10,2,FALSE)</f>
      </c>
    </row>
    <row r="21" spans="1:9">
      <c r="A21" s="2">
        <v>46181</v>
      </c>
      <c r="B21" t="s">
        <v>4</v>
      </c>
      <c r="C21" s="2">
        <v>46181</v>
      </c>
      <c r="D21" t="s">
        <v>115</v>
      </c>
      <c r="E21">
        <f>VLOOKUP(TablaObra5[[#This Row],[Equipo]],Catalogos!$I$4:$J$64,2,FALSE)</f>
      </c>
      <c r="F21" s="3">
        <v>100</v>
      </c>
      <c r="G21" s="4">
        <v>28.3</v>
      </c>
      <c r="H21" s="4">
        <f t="shared" si="0"/>
      </c>
      <c r="I21">
        <f>VLOOKUP(TablaObra5[[#This Row],[Obra]],Catalogos!$B$3:$C$10,2,FALSE)</f>
      </c>
    </row>
    <row r="22" spans="1:9">
      <c r="A22" s="2">
        <v>46181</v>
      </c>
      <c r="B22" t="s">
        <v>4</v>
      </c>
      <c r="C22" s="2">
        <v>46181</v>
      </c>
      <c r="D22" t="s">
        <v>131</v>
      </c>
      <c r="E22">
        <f>VLOOKUP(TablaObra5[[#This Row],[Equipo]],Catalogos!$I$4:$J$64,2,FALSE)</f>
      </c>
      <c r="F22" s="3">
        <v>20</v>
      </c>
      <c r="G22" s="4">
        <v>28.3</v>
      </c>
      <c r="H22" s="4">
        <f t="shared" si="0"/>
      </c>
      <c r="I22">
        <f>VLOOKUP(TablaObra5[[#This Row],[Obra]],Catalogos!$B$3:$C$10,2,FALSE)</f>
      </c>
    </row>
    <row r="23" spans="1:9">
      <c r="A23" s="2">
        <v>46181</v>
      </c>
      <c r="B23" t="s">
        <v>4</v>
      </c>
      <c r="C23" s="2">
        <v>46181</v>
      </c>
      <c r="D23" t="s">
        <v>117</v>
      </c>
      <c r="E23">
        <f>VLOOKUP(TablaObra5[[#This Row],[Equipo]],Catalogos!$I$4:$J$64,2,FALSE)</f>
      </c>
      <c r="F23" s="3">
        <v>50</v>
      </c>
      <c r="G23" s="4">
        <v>28.3</v>
      </c>
      <c r="H23" s="4">
        <f t="shared" si="0"/>
      </c>
      <c r="I23">
        <f>VLOOKUP(TablaObra5[[#This Row],[Obra]],Catalogos!$B$3:$C$10,2,FALSE)</f>
      </c>
    </row>
    <row r="24" spans="1:9">
      <c r="A24" s="2">
        <v>46181</v>
      </c>
      <c r="B24" t="s">
        <v>4</v>
      </c>
      <c r="C24" s="2">
        <v>46181</v>
      </c>
      <c r="D24" t="s">
        <v>119</v>
      </c>
      <c r="E24">
        <f>VLOOKUP(TablaObra5[[#This Row],[Equipo]],Catalogos!$I$4:$J$64,2,FALSE)</f>
      </c>
      <c r="F24" s="3">
        <v>50</v>
      </c>
      <c r="G24" s="4">
        <v>28.3</v>
      </c>
      <c r="H24" s="4">
        <f t="shared" si="0"/>
      </c>
      <c r="I24">
        <f>VLOOKUP(TablaObra5[[#This Row],[Obra]],Catalogos!$B$3:$C$10,2,FALSE)</f>
      </c>
    </row>
    <row r="25" spans="1:9">
      <c r="A25" s="2">
        <v>46181</v>
      </c>
      <c r="B25" t="s">
        <v>4</v>
      </c>
      <c r="C25" s="2">
        <v>46181</v>
      </c>
      <c r="D25" t="s">
        <v>121</v>
      </c>
      <c r="E25">
        <f>VLOOKUP(TablaObra5[[#This Row],[Equipo]],Catalogos!$I$4:$J$64,2,FALSE)</f>
      </c>
      <c r="F25" s="3">
        <v>50</v>
      </c>
      <c r="G25" s="4">
        <v>28.3</v>
      </c>
      <c r="H25" s="4">
        <f t="shared" si="0"/>
      </c>
      <c r="I25">
        <f>VLOOKUP(TablaObra5[[#This Row],[Obra]],Catalogos!$B$3:$C$10,2,FALSE)</f>
      </c>
    </row>
    <row r="26" spans="1:9">
      <c r="A26" s="2">
        <v>46181</v>
      </c>
      <c r="B26" t="s">
        <v>4</v>
      </c>
      <c r="C26" s="2">
        <v>46181</v>
      </c>
      <c r="D26" t="s">
        <v>123</v>
      </c>
      <c r="E26">
        <f>VLOOKUP(TablaObra5[[#This Row],[Equipo]],Catalogos!$I$4:$J$64,2,FALSE)</f>
      </c>
      <c r="F26" s="3">
        <v>20</v>
      </c>
      <c r="G26" s="4">
        <v>28.3</v>
      </c>
      <c r="H26" s="4">
        <f t="shared" si="0"/>
      </c>
      <c r="I26">
        <f>VLOOKUP(TablaObra5[[#This Row],[Obra]],Catalogos!$B$3:$C$10,2,FALSE)</f>
      </c>
    </row>
    <row r="27" spans="1:9">
      <c r="A27" s="2">
        <v>46181</v>
      </c>
      <c r="B27" t="s">
        <v>4</v>
      </c>
      <c r="C27" s="2">
        <v>46181</v>
      </c>
      <c r="D27" t="s">
        <v>125</v>
      </c>
      <c r="E27">
        <f>VLOOKUP(TablaObra5[[#This Row],[Equipo]],Catalogos!$I$4:$J$64,2,FALSE)</f>
      </c>
      <c r="F27" s="3">
        <v>50</v>
      </c>
      <c r="G27" s="4">
        <v>28.3</v>
      </c>
      <c r="H27" s="4">
        <f t="shared" si="0"/>
      </c>
      <c r="I27">
        <f>VLOOKUP(TablaObra5[[#This Row],[Obra]],Catalogos!$B$3:$C$10,2,FALSE)</f>
      </c>
    </row>
    <row r="28" spans="1:9">
      <c r="A28" s="2">
        <v>46181</v>
      </c>
      <c r="B28" t="s">
        <v>4</v>
      </c>
      <c r="C28" s="2">
        <v>46181</v>
      </c>
      <c r="D28" t="s">
        <v>127</v>
      </c>
      <c r="E28">
        <f>VLOOKUP(TablaObra5[[#This Row],[Equipo]],Catalogos!$I$4:$J$64,2,FALSE)</f>
      </c>
      <c r="F28" s="3">
        <v>40</v>
      </c>
      <c r="G28" s="4">
        <v>28.3</v>
      </c>
      <c r="H28" s="4">
        <f t="shared" si="0"/>
      </c>
      <c r="I28">
        <f>VLOOKUP(TablaObra5[[#This Row],[Obra]],Catalogos!$B$3:$C$10,2,FALSE)</f>
      </c>
    </row>
    <row r="29" spans="1:9">
      <c r="A29" s="2">
        <v>46181</v>
      </c>
      <c r="B29" t="s">
        <v>4</v>
      </c>
      <c r="C29" s="2">
        <v>46181</v>
      </c>
      <c r="D29" t="s">
        <v>129</v>
      </c>
      <c r="E29">
        <f>VLOOKUP(TablaObra5[[#This Row],[Equipo]],Catalogos!$I$4:$J$64,2,FALSE)</f>
      </c>
      <c r="F29" s="3">
        <v>10</v>
      </c>
      <c r="G29" s="4">
        <v>28.3</v>
      </c>
      <c r="H29" s="4">
        <f t="shared" si="0"/>
      </c>
      <c r="I29">
        <f>VLOOKUP(TablaObra5[[#This Row],[Obra]],Catalogos!$B$3:$C$10,2,FALSE)</f>
      </c>
    </row>
    <row r="30" spans="1:9">
      <c r="A30" s="2">
        <v>46182</v>
      </c>
      <c r="B30" t="s">
        <v>4</v>
      </c>
      <c r="C30" s="2">
        <v>46182</v>
      </c>
      <c r="D30" t="s">
        <v>105</v>
      </c>
      <c r="E30">
        <f>VLOOKUP(TablaObra5[[#This Row],[Equipo]],Catalogos!$I$4:$J$64,2,FALSE)</f>
      </c>
      <c r="F30" s="3">
        <v>250</v>
      </c>
      <c r="G30" s="4">
        <v>28.3</v>
      </c>
      <c r="H30" s="4">
        <f t="shared" si="0"/>
      </c>
      <c r="I30">
        <f>VLOOKUP(TablaObra5[[#This Row],[Obra]],Catalogos!$B$3:$C$10,2,FALSE)</f>
      </c>
    </row>
    <row r="31" spans="1:9">
      <c r="A31" s="2">
        <v>46182</v>
      </c>
      <c r="B31" t="s">
        <v>4</v>
      </c>
      <c r="C31" s="2">
        <v>46182</v>
      </c>
      <c r="D31" t="s">
        <v>108</v>
      </c>
      <c r="E31">
        <f>VLOOKUP(TablaObra5[[#This Row],[Equipo]],Catalogos!$I$4:$J$64,2,FALSE)</f>
      </c>
      <c r="F31" s="3">
        <v>40</v>
      </c>
      <c r="G31" s="4">
        <v>28.3</v>
      </c>
      <c r="H31" s="4">
        <f t="shared" si="0"/>
      </c>
      <c r="I31">
        <f>VLOOKUP(TablaObra5[[#This Row],[Obra]],Catalogos!$B$3:$C$10,2,FALSE)</f>
      </c>
    </row>
    <row r="32" spans="1:9">
      <c r="A32" s="2">
        <v>46182</v>
      </c>
      <c r="B32" t="s">
        <v>4</v>
      </c>
      <c r="C32" s="2">
        <v>46182</v>
      </c>
      <c r="D32" t="s">
        <v>110</v>
      </c>
      <c r="E32">
        <f>VLOOKUP(TablaObra5[[#This Row],[Equipo]],Catalogos!$I$4:$J$64,2,FALSE)</f>
      </c>
      <c r="F32" s="3">
        <v>60</v>
      </c>
      <c r="G32" s="4">
        <v>28.3</v>
      </c>
      <c r="H32" s="4">
        <f t="shared" si="0"/>
      </c>
      <c r="I32">
        <f>VLOOKUP(TablaObra5[[#This Row],[Obra]],Catalogos!$B$3:$C$10,2,FALSE)</f>
      </c>
    </row>
    <row r="33" spans="1:11">
      <c r="A33" s="2">
        <v>46182</v>
      </c>
      <c r="B33" t="s">
        <v>4</v>
      </c>
      <c r="C33" s="2">
        <v>46182</v>
      </c>
      <c r="D33" t="s">
        <v>112</v>
      </c>
      <c r="E33">
        <f>VLOOKUP(TablaObra5[[#This Row],[Equipo]],Catalogos!$I$4:$J$64,2,FALSE)</f>
      </c>
      <c r="F33" s="3">
        <v>100</v>
      </c>
      <c r="G33" s="4">
        <v>28.3</v>
      </c>
      <c r="H33" s="4">
        <f t="shared" si="0"/>
      </c>
      <c r="I33">
        <f>VLOOKUP(TablaObra5[[#This Row],[Obra]],Catalogos!$B$3:$C$10,2,FALSE)</f>
      </c>
    </row>
    <row r="34" spans="1:11">
      <c r="A34" s="2">
        <v>46182</v>
      </c>
      <c r="B34" t="s">
        <v>4</v>
      </c>
      <c r="C34" s="2">
        <v>46182</v>
      </c>
      <c r="D34" t="s">
        <v>115</v>
      </c>
      <c r="E34">
        <f>VLOOKUP(TablaObra5[[#This Row],[Equipo]],Catalogos!$I$4:$J$64,2,FALSE)</f>
      </c>
      <c r="F34" s="3">
        <v>100</v>
      </c>
      <c r="G34" s="4">
        <v>28.3</v>
      </c>
      <c r="H34" s="4">
        <f t="shared" si="0"/>
      </c>
      <c r="I34">
        <f>VLOOKUP(TablaObra5[[#This Row],[Obra]],Catalogos!$B$3:$C$10,2,FALSE)</f>
      </c>
    </row>
    <row r="35" spans="1:11">
      <c r="A35" s="2">
        <v>46182</v>
      </c>
      <c r="B35" t="s">
        <v>4</v>
      </c>
      <c r="C35" s="2">
        <v>46182</v>
      </c>
      <c r="D35" t="s">
        <v>131</v>
      </c>
      <c r="E35">
        <f>VLOOKUP(TablaObra5[[#This Row],[Equipo]],Catalogos!$I$4:$J$64,2,FALSE)</f>
      </c>
      <c r="F35" s="3">
        <v>20</v>
      </c>
      <c r="G35" s="4">
        <v>28.3</v>
      </c>
      <c r="H35" s="4">
        <f t="shared" si="0"/>
      </c>
      <c r="I35">
        <f>VLOOKUP(TablaObra5[[#This Row],[Obra]],Catalogos!$B$3:$C$10,2,FALSE)</f>
      </c>
    </row>
    <row r="36" spans="1:11">
      <c r="A36" s="2">
        <v>46182</v>
      </c>
      <c r="B36" t="s">
        <v>4</v>
      </c>
      <c r="C36" s="2">
        <v>46182</v>
      </c>
      <c r="D36" t="s">
        <v>117</v>
      </c>
      <c r="E36">
        <f>VLOOKUP(TablaObra5[[#This Row],[Equipo]],Catalogos!$I$4:$J$64,2,FALSE)</f>
      </c>
      <c r="F36" s="3">
        <v>50</v>
      </c>
      <c r="G36" s="4">
        <v>28.3</v>
      </c>
      <c r="H36" s="4">
        <f t="shared" si="0"/>
      </c>
      <c r="I36">
        <f>VLOOKUP(TablaObra5[[#This Row],[Obra]],Catalogos!$B$3:$C$10,2,FALSE)</f>
      </c>
    </row>
    <row r="37" spans="1:11">
      <c r="A37" s="2">
        <v>46182</v>
      </c>
      <c r="B37" t="s">
        <v>4</v>
      </c>
      <c r="C37" s="2">
        <v>46182</v>
      </c>
      <c r="D37" t="s">
        <v>119</v>
      </c>
      <c r="E37">
        <f>VLOOKUP(TablaObra5[[#This Row],[Equipo]],Catalogos!$I$4:$J$64,2,FALSE)</f>
      </c>
      <c r="F37" s="3">
        <v>50</v>
      </c>
      <c r="G37" s="4">
        <v>28.3</v>
      </c>
      <c r="H37" s="4">
        <f t="shared" si="0"/>
      </c>
      <c r="I37">
        <f>VLOOKUP(TablaObra5[[#This Row],[Obra]],Catalogos!$B$3:$C$10,2,FALSE)</f>
      </c>
    </row>
    <row r="38" spans="1:11">
      <c r="A38" s="2">
        <v>46182</v>
      </c>
      <c r="B38" t="s">
        <v>4</v>
      </c>
      <c r="C38" s="2">
        <v>46182</v>
      </c>
      <c r="D38" t="s">
        <v>121</v>
      </c>
      <c r="E38">
        <f>VLOOKUP(TablaObra5[[#This Row],[Equipo]],Catalogos!$I$4:$J$64,2,FALSE)</f>
      </c>
      <c r="F38" s="3">
        <v>50</v>
      </c>
      <c r="G38" s="4">
        <v>28.3</v>
      </c>
      <c r="H38" s="4">
        <f t="shared" si="0"/>
      </c>
      <c r="I38">
        <f>VLOOKUP(TablaObra5[[#This Row],[Obra]],Catalogos!$B$3:$C$10,2,FALSE)</f>
      </c>
    </row>
    <row r="39" spans="1:11">
      <c r="A39" s="2">
        <v>46182</v>
      </c>
      <c r="B39" t="s">
        <v>4</v>
      </c>
      <c r="C39" s="2">
        <v>46182</v>
      </c>
      <c r="D39" t="s">
        <v>125</v>
      </c>
      <c r="E39">
        <f>VLOOKUP(TablaObra5[[#This Row],[Equipo]],Catalogos!$I$4:$J$64,2,FALSE)</f>
      </c>
      <c r="F39" s="3">
        <v>40</v>
      </c>
      <c r="G39" s="4">
        <v>28.3</v>
      </c>
      <c r="H39" s="4">
        <f t="shared" si="0"/>
      </c>
      <c r="I39">
        <f>VLOOKUP(TablaObra5[[#This Row],[Obra]],Catalogos!$B$3:$C$10,2,FALSE)</f>
      </c>
    </row>
    <row r="40" spans="1:11">
      <c r="A40" s="2">
        <v>46182</v>
      </c>
      <c r="B40" t="s">
        <v>4</v>
      </c>
      <c r="C40" s="2">
        <v>46182</v>
      </c>
      <c r="D40" t="s">
        <v>127</v>
      </c>
      <c r="E40">
        <f>VLOOKUP(TablaObra5[[#This Row],[Equipo]],Catalogos!$I$4:$J$64,2,FALSE)</f>
      </c>
      <c r="F40" s="3">
        <v>30</v>
      </c>
      <c r="G40" s="4">
        <v>28.3</v>
      </c>
      <c r="H40" s="4">
        <f t="shared" si="0"/>
      </c>
      <c r="I40">
        <f>VLOOKUP(TablaObra5[[#This Row],[Obra]],Catalogos!$B$3:$C$10,2,FALSE)</f>
      </c>
    </row>
    <row r="41" spans="1:11">
      <c r="A41" s="2">
        <v>46182</v>
      </c>
      <c r="B41" t="s">
        <v>3</v>
      </c>
      <c r="C41" s="2">
        <v>46182</v>
      </c>
      <c r="D41" t="s">
        <v>58</v>
      </c>
      <c r="E41">
        <f>VLOOKUP(TablaObra5[[#This Row],[Equipo]],Catalogos!$I$4:$J$64,2,FALSE)</f>
      </c>
      <c r="F41" s="3">
        <v>50</v>
      </c>
      <c r="G41" s="4">
        <v>28.3</v>
      </c>
      <c r="H41" s="4">
        <f t="shared" si="0"/>
      </c>
      <c r="I41">
        <f>VLOOKUP(TablaObra5[[#This Row],[Obra]],Catalogos!$B$3:$C$10,2,FALSE)</f>
      </c>
      <c r="K41" t="s">
        <v>135</v>
      </c>
    </row>
    <row r="42" spans="1:11">
      <c r="A42" s="2">
        <v>46182</v>
      </c>
      <c r="B42" t="s">
        <v>3</v>
      </c>
      <c r="C42" s="2">
        <v>46182</v>
      </c>
      <c r="D42" t="s">
        <v>114</v>
      </c>
      <c r="E42">
        <f>VLOOKUP(TablaObra5[[#This Row],[Equipo]],Catalogos!$I$4:$J$64,2,FALSE)</f>
      </c>
      <c r="F42" s="3">
        <v>50</v>
      </c>
      <c r="G42" s="4">
        <v>28.3</v>
      </c>
      <c r="H42" s="4">
        <f t="shared" si="0"/>
      </c>
      <c r="I42">
        <f>VLOOKUP(TablaObra5[[#This Row],[Obra]],Catalogos!$B$3:$C$10,2,FALSE)</f>
      </c>
    </row>
    <row r="43" spans="1:11">
      <c r="A43" s="2">
        <v>46182</v>
      </c>
      <c r="B43" t="s">
        <v>3</v>
      </c>
      <c r="C43" s="2">
        <v>46182</v>
      </c>
      <c r="D43" t="s">
        <v>62</v>
      </c>
      <c r="E43">
        <f>VLOOKUP(TablaObra5[[#This Row],[Equipo]],Catalogos!$I$4:$J$64,2,FALSE)</f>
      </c>
      <c r="F43" s="3">
        <v>60</v>
      </c>
      <c r="G43" s="4">
        <v>28.3</v>
      </c>
      <c r="H43" s="4">
        <f t="shared" si="0"/>
      </c>
      <c r="I43">
        <f>VLOOKUP(TablaObra5[[#This Row],[Obra]],Catalogos!$B$3:$C$10,2,FALSE)</f>
      </c>
    </row>
    <row r="44" spans="1:11">
      <c r="A44" s="2">
        <v>46182</v>
      </c>
      <c r="B44" t="s">
        <v>3</v>
      </c>
      <c r="C44" s="2">
        <v>46182</v>
      </c>
      <c r="D44" t="s">
        <v>133</v>
      </c>
      <c r="E44">
        <f>VLOOKUP(TablaObra5[[#This Row],[Equipo]],Catalogos!$I$4:$J$64,2,FALSE)</f>
      </c>
      <c r="F44" s="3">
        <v>50</v>
      </c>
      <c r="G44" s="4">
        <v>28.3</v>
      </c>
      <c r="H44" s="4">
        <f t="shared" si="0"/>
      </c>
      <c r="I44">
        <f>VLOOKUP(TablaObra5[[#This Row],[Obra]],Catalogos!$B$3:$C$10,2,FALSE)</f>
      </c>
    </row>
    <row r="45" spans="1:11">
      <c r="A45" s="2">
        <v>46182</v>
      </c>
      <c r="B45" t="s">
        <v>142</v>
      </c>
      <c r="C45" s="2"/>
      <c r="D45" t="s">
        <v>58</v>
      </c>
      <c r="E45">
        <f>VLOOKUP(TablaObra5[[#This Row],[Equipo]],Catalogos!$I$4:$J$64,2,FALSE)</f>
      </c>
      <c r="F45" s="3">
        <v>100</v>
      </c>
      <c r="G45" s="4">
        <v>28.3</v>
      </c>
      <c r="H45" s="4">
        <f>IFERROR(F45*G45,0)</f>
      </c>
      <c r="I45">
        <f>VLOOKUP(TablaObra5[[#This Row],[Obra]],Catalogos!$B$3:$C$10,2,FALSE)</f>
      </c>
    </row>
    <row r="46" spans="1:11">
      <c r="A46" s="2">
        <v>46183</v>
      </c>
      <c r="B46" t="s">
        <v>2</v>
      </c>
      <c r="C46" s="2">
        <v>46183</v>
      </c>
      <c r="D46" t="s">
        <v>98</v>
      </c>
      <c r="E46">
        <f>VLOOKUP(TablaObra5[[#This Row],[Equipo]],Catalogos!$I$4:$J$64,2,FALSE)</f>
      </c>
      <c r="F46" s="3">
        <v>250</v>
      </c>
      <c r="G46" s="4">
        <v>28.3</v>
      </c>
      <c r="H46" s="4">
        <f t="shared" si="0"/>
      </c>
      <c r="I46">
        <f>VLOOKUP(TablaObra5[[#This Row],[Obra]],Catalogos!$B$3:$C$10,2,FALSE)</f>
      </c>
    </row>
    <row r="47" spans="1:11">
      <c r="A47" s="2">
        <v>46183</v>
      </c>
      <c r="B47" t="s">
        <v>2</v>
      </c>
      <c r="C47" s="2">
        <v>46183</v>
      </c>
      <c r="D47" t="s">
        <v>58</v>
      </c>
      <c r="E47">
        <f>VLOOKUP(TablaObra5[[#This Row],[Equipo]],Catalogos!$I$4:$J$64,2,FALSE)</f>
      </c>
      <c r="F47" s="3">
        <v>30</v>
      </c>
      <c r="G47" s="4">
        <v>28.3</v>
      </c>
      <c r="H47" s="4">
        <f t="shared" si="0"/>
      </c>
      <c r="I47">
        <f>VLOOKUP(TablaObra5[[#This Row],[Obra]],Catalogos!$B$3:$C$10,2,FALSE)</f>
      </c>
    </row>
    <row r="48" spans="1:11">
      <c r="A48" s="2">
        <v>46183</v>
      </c>
      <c r="B48" t="s">
        <v>2</v>
      </c>
      <c r="C48" s="2">
        <v>46183</v>
      </c>
      <c r="D48" t="s">
        <v>99</v>
      </c>
      <c r="E48">
        <f>VLOOKUP(TablaObra5[[#This Row],[Equipo]],Catalogos!$I$4:$J$64,2,FALSE)</f>
      </c>
      <c r="F48" s="3">
        <v>20</v>
      </c>
      <c r="G48" s="4">
        <v>28.3</v>
      </c>
      <c r="H48" s="4">
        <f t="shared" si="0"/>
      </c>
      <c r="I48">
        <f>VLOOKUP(TablaObra5[[#This Row],[Obra]],Catalogos!$B$3:$C$10,2,FALSE)</f>
      </c>
    </row>
    <row r="49" spans="1:11">
      <c r="A49" s="2">
        <v>46183</v>
      </c>
      <c r="B49" t="s">
        <v>2</v>
      </c>
      <c r="C49" s="2">
        <v>46183</v>
      </c>
      <c r="D49" t="s">
        <v>125</v>
      </c>
      <c r="E49">
        <f>VLOOKUP(TablaObra5[[#This Row],[Equipo]],Catalogos!$I$4:$J$64,2,FALSE)</f>
      </c>
      <c r="F49" s="3">
        <v>20</v>
      </c>
      <c r="G49" s="4">
        <v>28.3</v>
      </c>
      <c r="H49" s="4">
        <f t="shared" si="0"/>
      </c>
      <c r="I49">
        <f>VLOOKUP(TablaObra5[[#This Row],[Obra]],Catalogos!$B$3:$C$10,2,FALSE)</f>
      </c>
    </row>
    <row r="50" spans="1:11">
      <c r="A50" s="2">
        <v>46184</v>
      </c>
      <c r="B50" t="s">
        <v>3</v>
      </c>
      <c r="C50" s="2">
        <v>46184</v>
      </c>
      <c r="D50" t="s">
        <v>62</v>
      </c>
      <c r="E50">
        <f>VLOOKUP(TablaObra5[[#This Row],[Equipo]],Catalogos!$I$4:$J$64,2,FALSE)</f>
      </c>
      <c r="F50" s="3">
        <v>80</v>
      </c>
      <c r="G50" s="4">
        <v>28.3</v>
      </c>
      <c r="H50" s="4">
        <f t="shared" si="0"/>
      </c>
      <c r="I50">
        <f>VLOOKUP(TablaObra5[[#This Row],[Obra]],Catalogos!$B$3:$C$10,2,FALSE)</f>
      </c>
    </row>
    <row r="51" spans="1:11">
      <c r="A51" s="2">
        <v>46184</v>
      </c>
      <c r="B51" t="s">
        <v>3</v>
      </c>
      <c r="C51" s="2">
        <v>46184</v>
      </c>
      <c r="D51" t="s">
        <v>123</v>
      </c>
      <c r="E51">
        <f>VLOOKUP(TablaObra5[[#This Row],[Equipo]],Catalogos!$I$4:$J$64,2,FALSE)</f>
      </c>
      <c r="F51" s="3">
        <v>80</v>
      </c>
      <c r="G51" s="4">
        <v>28.3</v>
      </c>
      <c r="H51" s="4">
        <f t="shared" si="0"/>
      </c>
      <c r="I51">
        <f>VLOOKUP(TablaObra5[[#This Row],[Obra]],Catalogos!$B$3:$C$10,2,FALSE)</f>
      </c>
    </row>
    <row r="52" spans="1:11">
      <c r="A52" s="2">
        <v>46184</v>
      </c>
      <c r="B52" t="s">
        <v>3</v>
      </c>
      <c r="C52" s="2">
        <v>46184</v>
      </c>
      <c r="D52" t="s">
        <v>58</v>
      </c>
      <c r="E52">
        <f>VLOOKUP(TablaObra5[[#This Row],[Equipo]],Catalogos!$I$4:$J$64,2,FALSE)</f>
      </c>
      <c r="F52" s="3">
        <v>70</v>
      </c>
      <c r="G52" s="4">
        <v>28.3</v>
      </c>
      <c r="H52" s="4">
        <f t="shared" si="0"/>
      </c>
      <c r="I52">
        <f>VLOOKUP(TablaObra5[[#This Row],[Obra]],Catalogos!$B$3:$C$10,2,FALSE)</f>
      </c>
    </row>
    <row r="53" spans="1:11">
      <c r="A53" s="2">
        <v>46184</v>
      </c>
      <c r="B53" t="s">
        <v>3</v>
      </c>
      <c r="C53" s="2">
        <v>46184</v>
      </c>
      <c r="D53" t="s">
        <v>133</v>
      </c>
      <c r="E53">
        <f>VLOOKUP(TablaObra5[[#This Row],[Equipo]],Catalogos!$I$4:$J$64,2,FALSE)</f>
      </c>
      <c r="F53" s="3">
        <v>40</v>
      </c>
      <c r="G53" s="4">
        <v>28.3</v>
      </c>
      <c r="H53" s="4">
        <f t="shared" si="0"/>
      </c>
      <c r="I53">
        <f>VLOOKUP(TablaObra5[[#This Row],[Obra]],Catalogos!$B$3:$C$10,2,FALSE)</f>
      </c>
    </row>
    <row r="54" spans="1:11">
      <c r="A54" s="2">
        <v>46184</v>
      </c>
      <c r="B54" t="s">
        <v>3</v>
      </c>
      <c r="C54" s="2">
        <v>46184</v>
      </c>
      <c r="D54" t="s">
        <v>94</v>
      </c>
      <c r="E54">
        <f>VLOOKUP(TablaObra5[[#This Row],[Equipo]],Catalogos!$I$4:$J$64,2,FALSE)</f>
      </c>
      <c r="F54" s="3">
        <v>150</v>
      </c>
      <c r="G54" s="4">
        <v>28.3</v>
      </c>
      <c r="H54" s="4">
        <f t="shared" si="0"/>
      </c>
      <c r="I54">
        <f>VLOOKUP(TablaObra5[[#This Row],[Obra]],Catalogos!$B$3:$C$10,2,FALSE)</f>
      </c>
    </row>
    <row r="55" spans="1:11">
      <c r="A55" s="2">
        <v>46184</v>
      </c>
      <c r="B55" t="s">
        <v>3</v>
      </c>
      <c r="C55" s="2">
        <v>46184</v>
      </c>
      <c r="D55" t="s">
        <v>131</v>
      </c>
      <c r="E55">
        <f>VLOOKUP(TablaObra5[[#This Row],[Equipo]],Catalogos!$I$4:$J$64,2,FALSE)</f>
      </c>
      <c r="F55" s="3">
        <v>30</v>
      </c>
      <c r="G55" s="4">
        <v>28.3</v>
      </c>
      <c r="H55" s="4">
        <f t="shared" si="0"/>
      </c>
      <c r="I55">
        <f>VLOOKUP(TablaObra5[[#This Row],[Obra]],Catalogos!$B$3:$C$10,2,FALSE)</f>
      </c>
    </row>
    <row r="56" spans="1:11">
      <c r="A56" s="2">
        <v>46184</v>
      </c>
      <c r="B56" t="s">
        <v>3</v>
      </c>
      <c r="C56" s="2">
        <v>46184</v>
      </c>
      <c r="D56" t="s">
        <v>129</v>
      </c>
      <c r="E56">
        <f>VLOOKUP(TablaObra5[[#This Row],[Equipo]],Catalogos!$I$4:$J$64,2,FALSE)</f>
      </c>
      <c r="F56" s="3">
        <v>10</v>
      </c>
      <c r="G56" s="4">
        <v>28.3</v>
      </c>
      <c r="H56" s="4">
        <f t="shared" si="0"/>
      </c>
      <c r="I56">
        <f>VLOOKUP(TablaObra5[[#This Row],[Obra]],Catalogos!$B$3:$C$10,2,FALSE)</f>
      </c>
    </row>
    <row r="57" spans="1:11">
      <c r="A57" s="2">
        <v>46184</v>
      </c>
      <c r="B57" t="s">
        <v>142</v>
      </c>
      <c r="C57" s="2"/>
      <c r="D57" t="s">
        <v>58</v>
      </c>
      <c r="E57">
        <f>VLOOKUP(TablaObra5[[#This Row],[Equipo]],Catalogos!$I$4:$J$64,2,FALSE)</f>
      </c>
      <c r="F57" s="3">
        <v>50</v>
      </c>
      <c r="G57" s="4">
        <v>28.3</v>
      </c>
      <c r="H57" s="4">
        <f t="shared" si="0"/>
      </c>
      <c r="I57">
        <f>VLOOKUP(TablaObra5[[#This Row],[Obra]],Catalogos!$B$3:$C$10,2,FALSE)</f>
      </c>
      <c r="K57" t="s">
        <v>140</v>
      </c>
    </row>
    <row r="58" spans="1:11">
      <c r="A58" s="2">
        <v>46184</v>
      </c>
      <c r="B58" t="s">
        <v>142</v>
      </c>
      <c r="D58" t="s">
        <v>59</v>
      </c>
      <c r="E58">
        <f>VLOOKUP(TablaObra5[[#This Row],[Equipo]],Catalogos!$I$4:$J$64,2,FALSE)</f>
      </c>
      <c r="F58" s="3">
        <v>10</v>
      </c>
      <c r="G58" s="4">
        <v>28.3</v>
      </c>
      <c r="H58" s="4">
        <f t="shared" si="0"/>
      </c>
      <c r="I58">
        <f>VLOOKUP(TablaObra5[[#This Row],[Obra]],Catalogos!$B$3:$C$10,2,FALSE)</f>
      </c>
      <c r="K58" t="s">
        <v>140</v>
      </c>
    </row>
    <row r="59" spans="1:11">
      <c r="A59" s="2">
        <v>46184</v>
      </c>
      <c r="B59" t="s">
        <v>142</v>
      </c>
      <c r="D59" t="s">
        <v>131</v>
      </c>
      <c r="E59">
        <f>VLOOKUP(TablaObra5[[#This Row],[Equipo]],Catalogos!$I$4:$J$64,2,FALSE)</f>
      </c>
      <c r="F59" s="3">
        <v>10</v>
      </c>
      <c r="G59" s="4">
        <v>28.3</v>
      </c>
      <c r="H59" s="4">
        <f t="shared" si="0"/>
      </c>
      <c r="I59">
        <f>VLOOKUP(TablaObra5[[#This Row],[Obra]],Catalogos!$B$3:$C$10,2,FALSE)</f>
      </c>
      <c r="K59" t="s">
        <v>140</v>
      </c>
    </row>
    <row r="60" spans="1:11">
      <c r="A60" s="2">
        <v>46185</v>
      </c>
      <c r="B60" t="s">
        <v>2</v>
      </c>
      <c r="C60" s="2">
        <v>46185</v>
      </c>
      <c r="D60" t="s">
        <v>98</v>
      </c>
      <c r="E60">
        <f>VLOOKUP(TablaObra5[[#This Row],[Equipo]],Catalogos!$I$4:$J$64,2,FALSE)</f>
      </c>
      <c r="F60" s="3">
        <v>250</v>
      </c>
      <c r="G60" s="4">
        <v>28.3</v>
      </c>
      <c r="H60" s="4">
        <f t="shared" si="0"/>
      </c>
      <c r="I60">
        <f>VLOOKUP(TablaObra5[[#This Row],[Obra]],Catalogos!$B$3:$C$10,2,FALSE)</f>
      </c>
    </row>
    <row r="61" spans="1:11">
      <c r="A61" s="2">
        <v>46185</v>
      </c>
      <c r="B61" t="s">
        <v>2</v>
      </c>
      <c r="C61" s="2">
        <v>46185</v>
      </c>
      <c r="D61" t="s">
        <v>94</v>
      </c>
      <c r="E61">
        <f>VLOOKUP(TablaObra5[[#This Row],[Equipo]],Catalogos!$I$4:$J$64,2,FALSE)</f>
      </c>
      <c r="F61" s="3">
        <v>150</v>
      </c>
      <c r="G61" s="4">
        <v>28.3</v>
      </c>
      <c r="H61" s="4">
        <f t="shared" si="0"/>
      </c>
      <c r="I61">
        <f>VLOOKUP(TablaObra5[[#This Row],[Obra]],Catalogos!$B$3:$C$10,2,FALSE)</f>
      </c>
    </row>
    <row r="62" spans="1:11">
      <c r="A62" s="2">
        <v>46185</v>
      </c>
      <c r="B62" t="s">
        <v>2</v>
      </c>
      <c r="C62" s="2">
        <v>46185</v>
      </c>
      <c r="D62" t="s">
        <v>50</v>
      </c>
      <c r="E62">
        <f>VLOOKUP(TablaObra5[[#This Row],[Equipo]],Catalogos!$I$4:$J$64,2,FALSE)</f>
      </c>
      <c r="F62" s="3">
        <v>40</v>
      </c>
      <c r="G62" s="4">
        <v>28.3</v>
      </c>
      <c r="H62" s="4">
        <f t="shared" si="0"/>
      </c>
      <c r="I62">
        <f>VLOOKUP(TablaObra5[[#This Row],[Obra]],Catalogos!$B$3:$C$10,2,FALSE)</f>
      </c>
    </row>
    <row r="63" spans="1:11">
      <c r="A63" s="2">
        <v>46185</v>
      </c>
      <c r="B63" t="s">
        <v>2</v>
      </c>
      <c r="C63" s="2">
        <v>46185</v>
      </c>
      <c r="D63" t="s">
        <v>114</v>
      </c>
      <c r="E63">
        <f>VLOOKUP(TablaObra5[[#This Row],[Equipo]],Catalogos!$I$4:$J$64,2,FALSE)</f>
      </c>
      <c r="F63" s="3">
        <v>30</v>
      </c>
      <c r="G63" s="4">
        <v>28.3</v>
      </c>
      <c r="H63" s="4">
        <f t="shared" si="0"/>
      </c>
      <c r="I63">
        <f>VLOOKUP(TablaObra5[[#This Row],[Obra]],Catalogos!$B$3:$C$10,2,FALSE)</f>
      </c>
    </row>
    <row r="64" spans="1:11">
      <c r="A64" s="2">
        <v>46185</v>
      </c>
      <c r="B64" t="s">
        <v>2</v>
      </c>
      <c r="C64" s="2">
        <v>46185</v>
      </c>
      <c r="D64" t="s">
        <v>58</v>
      </c>
      <c r="E64">
        <f>VLOOKUP(TablaObra5[[#This Row],[Equipo]],Catalogos!$I$4:$J$64,2,FALSE)</f>
      </c>
      <c r="F64" s="3">
        <v>30</v>
      </c>
      <c r="G64" s="4">
        <v>28.3</v>
      </c>
      <c r="H64" s="4">
        <f t="shared" si="0"/>
      </c>
      <c r="I64">
        <f>VLOOKUP(TablaObra5[[#This Row],[Obra]],Catalogos!$B$3:$C$10,2,FALSE)</f>
      </c>
    </row>
    <row r="65" spans="1:9">
      <c r="A65" s="2">
        <v>46185</v>
      </c>
      <c r="B65" t="s">
        <v>2</v>
      </c>
      <c r="C65" s="2">
        <v>46185</v>
      </c>
      <c r="D65" t="s">
        <v>99</v>
      </c>
      <c r="E65">
        <f>VLOOKUP(TablaObra5[[#This Row],[Equipo]],Catalogos!$I$4:$J$64,2,FALSE)</f>
      </c>
      <c r="F65" s="3">
        <v>20</v>
      </c>
      <c r="G65" s="4">
        <v>28.3</v>
      </c>
      <c r="H65" s="4">
        <f t="shared" si="0"/>
      </c>
      <c r="I65">
        <f>VLOOKUP(TablaObra5[[#This Row],[Obra]],Catalogos!$B$3:$C$10,2,FALSE)</f>
      </c>
    </row>
    <row r="66" spans="1:9">
      <c r="A66" s="2">
        <v>46185</v>
      </c>
      <c r="B66" t="s">
        <v>2</v>
      </c>
      <c r="C66" s="2">
        <v>46185</v>
      </c>
      <c r="D66" t="s">
        <v>125</v>
      </c>
      <c r="E66">
        <f>VLOOKUP(TablaObra5[[#This Row],[Equipo]],Catalogos!$I$4:$J$64,2,FALSE)</f>
      </c>
      <c r="F66" s="3">
        <v>20</v>
      </c>
      <c r="G66" s="4">
        <v>28.3</v>
      </c>
      <c r="H66" s="4">
        <f t="shared" si="0"/>
      </c>
      <c r="I66">
        <f>VLOOKUP(TablaObra5[[#This Row],[Obra]],Catalogos!$B$3:$C$10,2,FALSE)</f>
      </c>
    </row>
    <row r="67" spans="1:9">
      <c r="A67" s="2">
        <v>46185</v>
      </c>
      <c r="B67" t="s">
        <v>4</v>
      </c>
      <c r="C67" s="2">
        <v>46185</v>
      </c>
      <c r="D67" t="s">
        <v>105</v>
      </c>
      <c r="E67">
        <f>VLOOKUP(TablaObra5[[#This Row],[Equipo]],Catalogos!$I$4:$J$64,2,FALSE)</f>
      </c>
      <c r="F67" s="3">
        <v>250</v>
      </c>
      <c r="G67" s="4">
        <v>28.3</v>
      </c>
      <c r="H67" s="4">
        <f t="shared" si="0"/>
      </c>
      <c r="I67">
        <f>VLOOKUP(TablaObra5[[#This Row],[Obra]],Catalogos!$B$3:$C$10,2,FALSE)</f>
      </c>
    </row>
    <row r="68" spans="1:9">
      <c r="A68" s="2">
        <v>46185</v>
      </c>
      <c r="B68" t="s">
        <v>4</v>
      </c>
      <c r="C68" s="2">
        <v>46185</v>
      </c>
      <c r="D68" t="s">
        <v>108</v>
      </c>
      <c r="E68">
        <f>VLOOKUP(TablaObra5[[#This Row],[Equipo]],Catalogos!$I$4:$J$64,2,FALSE)</f>
      </c>
      <c r="F68" s="3">
        <v>40</v>
      </c>
      <c r="G68" s="4">
        <v>28.3</v>
      </c>
      <c r="H68" s="4">
        <f t="shared" si="0"/>
      </c>
      <c r="I68">
        <f>VLOOKUP(TablaObra5[[#This Row],[Obra]],Catalogos!$B$3:$C$10,2,FALSE)</f>
      </c>
    </row>
    <row r="69" spans="1:9">
      <c r="A69" s="2">
        <v>46185</v>
      </c>
      <c r="B69" t="s">
        <v>4</v>
      </c>
      <c r="C69" s="2">
        <v>46185</v>
      </c>
      <c r="D69" t="s">
        <v>110</v>
      </c>
      <c r="E69">
        <f>VLOOKUP(TablaObra5[[#This Row],[Equipo]],Catalogos!$I$4:$J$64,2,FALSE)</f>
      </c>
      <c r="F69" s="3">
        <v>60</v>
      </c>
      <c r="G69" s="4">
        <v>28.3</v>
      </c>
      <c r="H69" s="4">
        <f t="shared" si="0"/>
      </c>
      <c r="I69">
        <f>VLOOKUP(TablaObra5[[#This Row],[Obra]],Catalogos!$B$3:$C$10,2,FALSE)</f>
      </c>
    </row>
    <row r="70" spans="1:9">
      <c r="A70" s="2">
        <v>46185</v>
      </c>
      <c r="B70" t="s">
        <v>4</v>
      </c>
      <c r="C70" s="2">
        <v>46185</v>
      </c>
      <c r="D70" t="s">
        <v>115</v>
      </c>
      <c r="E70">
        <f>VLOOKUP(TablaObra5[[#This Row],[Equipo]],Catalogos!$I$4:$J$64,2,FALSE)</f>
      </c>
      <c r="F70" s="3">
        <v>100</v>
      </c>
      <c r="G70" s="4">
        <v>28.3</v>
      </c>
      <c r="H70" s="4">
        <f t="shared" si="0"/>
      </c>
      <c r="I70">
        <f>VLOOKUP(TablaObra5[[#This Row],[Obra]],Catalogos!$B$3:$C$10,2,FALSE)</f>
      </c>
    </row>
    <row r="71" spans="1:9">
      <c r="A71" s="2">
        <v>46185</v>
      </c>
      <c r="B71" t="s">
        <v>4</v>
      </c>
      <c r="C71" s="2">
        <v>46185</v>
      </c>
      <c r="D71" t="s">
        <v>131</v>
      </c>
      <c r="E71">
        <f>VLOOKUP(TablaObra5[[#This Row],[Equipo]],Catalogos!$I$4:$J$64,2,FALSE)</f>
      </c>
      <c r="F71" s="3">
        <v>20</v>
      </c>
      <c r="G71" s="4">
        <v>28.3</v>
      </c>
      <c r="H71" s="4">
        <f t="shared" ref="H71:H134" si="1">IFERROR(F71*G71,0)</f>
      </c>
      <c r="I71">
        <f>VLOOKUP(TablaObra5[[#This Row],[Obra]],Catalogos!$B$3:$C$10,2,FALSE)</f>
      </c>
    </row>
    <row r="72" spans="1:9">
      <c r="A72" s="2">
        <v>46185</v>
      </c>
      <c r="B72" t="s">
        <v>4</v>
      </c>
      <c r="C72" s="2">
        <v>46185</v>
      </c>
      <c r="D72" t="s">
        <v>117</v>
      </c>
      <c r="E72">
        <f>VLOOKUP(TablaObra5[[#This Row],[Equipo]],Catalogos!$I$4:$J$64,2,FALSE)</f>
      </c>
      <c r="F72" s="3">
        <v>50</v>
      </c>
      <c r="G72" s="4">
        <v>28.3</v>
      </c>
      <c r="H72" s="4">
        <f t="shared" si="1"/>
      </c>
      <c r="I72">
        <f>VLOOKUP(TablaObra5[[#This Row],[Obra]],Catalogos!$B$3:$C$10,2,FALSE)</f>
      </c>
    </row>
    <row r="73" spans="1:9">
      <c r="A73" s="2">
        <v>46185</v>
      </c>
      <c r="B73" t="s">
        <v>4</v>
      </c>
      <c r="C73" s="2">
        <v>46185</v>
      </c>
      <c r="D73" t="s">
        <v>119</v>
      </c>
      <c r="E73">
        <f>VLOOKUP(TablaObra5[[#This Row],[Equipo]],Catalogos!$I$4:$J$64,2,FALSE)</f>
      </c>
      <c r="F73" s="3">
        <v>50</v>
      </c>
      <c r="G73" s="4">
        <v>28.3</v>
      </c>
      <c r="H73" s="4">
        <f t="shared" si="1"/>
      </c>
      <c r="I73">
        <f>VLOOKUP(TablaObra5[[#This Row],[Obra]],Catalogos!$B$3:$C$10,2,FALSE)</f>
      </c>
    </row>
    <row r="74" spans="1:9">
      <c r="A74" s="2">
        <v>46185</v>
      </c>
      <c r="B74" t="s">
        <v>4</v>
      </c>
      <c r="C74" s="2">
        <v>46185</v>
      </c>
      <c r="D74" t="s">
        <v>121</v>
      </c>
      <c r="E74">
        <f>VLOOKUP(TablaObra5[[#This Row],[Equipo]],Catalogos!$I$4:$J$64,2,FALSE)</f>
      </c>
      <c r="F74" s="3">
        <v>50</v>
      </c>
      <c r="G74" s="4">
        <v>28.3</v>
      </c>
      <c r="H74" s="4">
        <f t="shared" si="1"/>
      </c>
      <c r="I74">
        <f>VLOOKUP(TablaObra5[[#This Row],[Obra]],Catalogos!$B$3:$C$10,2,FALSE)</f>
      </c>
    </row>
    <row r="75" spans="1:9">
      <c r="A75" s="2">
        <v>46187</v>
      </c>
      <c r="B75" t="s">
        <v>2</v>
      </c>
      <c r="C75" s="2">
        <v>46188</v>
      </c>
      <c r="D75" t="s">
        <v>105</v>
      </c>
      <c r="E75">
        <f>VLOOKUP(TablaObra5[[#This Row],[Equipo]],Catalogos!$I$4:$J$64,2,FALSE)</f>
      </c>
      <c r="F75" s="3">
        <v>250</v>
      </c>
      <c r="G75" s="4">
        <v>28.3</v>
      </c>
      <c r="H75" s="4">
        <f t="shared" si="1"/>
      </c>
      <c r="I75">
        <f>VLOOKUP(TablaObra5[[#This Row],[Obra]],Catalogos!$B$3:$C$10,2,FALSE)</f>
      </c>
    </row>
    <row r="76" spans="1:9">
      <c r="A76" s="2">
        <v>46187</v>
      </c>
      <c r="B76" t="s">
        <v>2</v>
      </c>
      <c r="C76" s="2">
        <v>46188</v>
      </c>
      <c r="D76" t="s">
        <v>115</v>
      </c>
      <c r="E76">
        <f>VLOOKUP(TablaObra5[[#This Row],[Equipo]],Catalogos!$I$4:$J$64,2,FALSE)</f>
      </c>
      <c r="F76" s="3">
        <v>100</v>
      </c>
      <c r="G76" s="4">
        <v>28.3</v>
      </c>
      <c r="H76" s="4">
        <f t="shared" si="1"/>
      </c>
      <c r="I76">
        <f>VLOOKUP(TablaObra5[[#This Row],[Obra]],Catalogos!$B$3:$C$10,2,FALSE)</f>
      </c>
    </row>
    <row r="77" spans="1:9">
      <c r="A77" s="2">
        <v>46187</v>
      </c>
      <c r="B77" t="s">
        <v>2</v>
      </c>
      <c r="C77" s="2">
        <v>46188</v>
      </c>
      <c r="D77" t="s">
        <v>117</v>
      </c>
      <c r="E77">
        <f>VLOOKUP(TablaObra5[[#This Row],[Equipo]],Catalogos!$I$4:$J$64,2,FALSE)</f>
      </c>
      <c r="F77" s="3">
        <v>50</v>
      </c>
      <c r="G77" s="4">
        <v>28.3</v>
      </c>
      <c r="H77" s="4">
        <f t="shared" si="1"/>
      </c>
      <c r="I77">
        <f>VLOOKUP(TablaObra5[[#This Row],[Obra]],Catalogos!$B$3:$C$10,2,FALSE)</f>
      </c>
    </row>
    <row r="78" spans="1:9">
      <c r="A78" s="2">
        <v>46187</v>
      </c>
      <c r="B78" t="s">
        <v>2</v>
      </c>
      <c r="C78" s="2">
        <v>46188</v>
      </c>
      <c r="D78" t="s">
        <v>131</v>
      </c>
      <c r="E78">
        <f>VLOOKUP(TablaObra5[[#This Row],[Equipo]],Catalogos!$I$4:$J$64,2,FALSE)</f>
      </c>
      <c r="F78" s="3">
        <v>20</v>
      </c>
      <c r="G78" s="4">
        <v>28.3</v>
      </c>
      <c r="H78" s="4">
        <f t="shared" si="1"/>
      </c>
      <c r="I78">
        <f>VLOOKUP(TablaObra5[[#This Row],[Obra]],Catalogos!$B$3:$C$10,2,FALSE)</f>
      </c>
    </row>
    <row r="79" spans="1:9">
      <c r="A79" s="2">
        <v>46187</v>
      </c>
      <c r="B79" t="s">
        <v>2</v>
      </c>
      <c r="C79" s="2">
        <v>46188</v>
      </c>
      <c r="D79" t="s">
        <v>119</v>
      </c>
      <c r="E79">
        <f>VLOOKUP(TablaObra5[[#This Row],[Equipo]],Catalogos!$I$4:$J$64,2,FALSE)</f>
      </c>
      <c r="F79" s="3">
        <v>50</v>
      </c>
      <c r="G79" s="4">
        <v>28.3</v>
      </c>
      <c r="H79" s="4">
        <f t="shared" si="1"/>
      </c>
      <c r="I79">
        <f>VLOOKUP(TablaObra5[[#This Row],[Obra]],Catalogos!$B$3:$C$10,2,FALSE)</f>
      </c>
    </row>
    <row r="80" spans="1:9">
      <c r="A80" s="2">
        <v>46187</v>
      </c>
      <c r="B80" t="s">
        <v>2</v>
      </c>
      <c r="C80" s="2">
        <v>46188</v>
      </c>
      <c r="D80" t="s">
        <v>108</v>
      </c>
      <c r="E80">
        <f>VLOOKUP(TablaObra5[[#This Row],[Equipo]],Catalogos!$I$4:$J$64,2,FALSE)</f>
      </c>
      <c r="F80" s="3">
        <v>40</v>
      </c>
      <c r="G80" s="4">
        <v>28.3</v>
      </c>
      <c r="H80" s="4">
        <f t="shared" si="1"/>
      </c>
      <c r="I80">
        <f>VLOOKUP(TablaObra5[[#This Row],[Obra]],Catalogos!$B$3:$C$10,2,FALSE)</f>
      </c>
    </row>
    <row r="81" spans="1:9">
      <c r="A81" s="2">
        <v>46187</v>
      </c>
      <c r="B81" t="s">
        <v>2</v>
      </c>
      <c r="C81" s="2">
        <v>46188</v>
      </c>
      <c r="D81" t="s">
        <v>58</v>
      </c>
      <c r="E81">
        <f>VLOOKUP(TablaObra5[[#This Row],[Equipo]],Catalogos!$I$4:$J$64,2,FALSE)</f>
      </c>
      <c r="F81" s="3">
        <v>60</v>
      </c>
      <c r="G81" s="4">
        <v>28.3</v>
      </c>
      <c r="H81" s="4">
        <f t="shared" si="1"/>
      </c>
      <c r="I81">
        <f>VLOOKUP(TablaObra5[[#This Row],[Obra]],Catalogos!$B$3:$C$10,2,FALSE)</f>
      </c>
    </row>
    <row r="82" spans="1:9">
      <c r="A82" s="2">
        <v>46187</v>
      </c>
      <c r="B82" t="s">
        <v>2</v>
      </c>
      <c r="C82" s="2">
        <v>46188</v>
      </c>
      <c r="D82" t="s">
        <v>121</v>
      </c>
      <c r="E82">
        <f>VLOOKUP(TablaObra5[[#This Row],[Equipo]],Catalogos!$I$4:$J$64,2,FALSE)</f>
      </c>
      <c r="F82" s="3">
        <v>50</v>
      </c>
      <c r="G82" s="4">
        <v>28.3</v>
      </c>
      <c r="H82" s="4">
        <f t="shared" si="1"/>
      </c>
      <c r="I82">
        <f>VLOOKUP(TablaObra5[[#This Row],[Obra]],Catalogos!$B$3:$C$10,2,FALSE)</f>
      </c>
    </row>
    <row r="83" spans="1:9">
      <c r="A83" s="2">
        <v>46187</v>
      </c>
      <c r="B83" t="s">
        <v>3</v>
      </c>
      <c r="C83" s="2">
        <v>46188</v>
      </c>
      <c r="D83" t="s">
        <v>94</v>
      </c>
      <c r="E83">
        <f>VLOOKUP(TablaObra5[[#This Row],[Equipo]],Catalogos!$I$4:$J$64,2,FALSE)</f>
      </c>
      <c r="F83" s="3">
        <v>90</v>
      </c>
      <c r="G83" s="4">
        <v>28.3</v>
      </c>
      <c r="H83" s="4">
        <f t="shared" si="1"/>
      </c>
      <c r="I83">
        <f>VLOOKUP(TablaObra5[[#This Row],[Obra]],Catalogos!$B$3:$C$10,2,FALSE)</f>
      </c>
    </row>
    <row r="84" spans="1:9">
      <c r="A84" s="2">
        <v>46187</v>
      </c>
      <c r="B84" t="s">
        <v>3</v>
      </c>
      <c r="C84" s="2">
        <v>46188</v>
      </c>
      <c r="D84" t="s">
        <v>114</v>
      </c>
      <c r="E84">
        <f>VLOOKUP(TablaObra5[[#This Row],[Equipo]],Catalogos!$I$4:$J$64,2,FALSE)</f>
      </c>
      <c r="F84" s="3">
        <v>40</v>
      </c>
      <c r="G84" s="4">
        <v>28.3</v>
      </c>
      <c r="H84" s="4">
        <f t="shared" si="1"/>
      </c>
      <c r="I84">
        <f>VLOOKUP(TablaObra5[[#This Row],[Obra]],Catalogos!$B$3:$C$10,2,FALSE)</f>
      </c>
    </row>
    <row r="85" spans="1:9">
      <c r="A85" s="2">
        <v>46187</v>
      </c>
      <c r="B85" t="s">
        <v>3</v>
      </c>
      <c r="C85" s="2">
        <v>46188</v>
      </c>
      <c r="D85" t="s">
        <v>99</v>
      </c>
      <c r="E85">
        <f>VLOOKUP(TablaObra5[[#This Row],[Equipo]],Catalogos!$I$4:$J$64,2,FALSE)</f>
      </c>
      <c r="F85" s="3">
        <v>40</v>
      </c>
      <c r="G85" s="4">
        <v>28.3</v>
      </c>
      <c r="H85" s="4">
        <f t="shared" si="1"/>
      </c>
      <c r="I85">
        <f>VLOOKUP(TablaObra5[[#This Row],[Obra]],Catalogos!$B$3:$C$10,2,FALSE)</f>
      </c>
    </row>
    <row r="86" spans="1:9">
      <c r="A86" s="2">
        <v>46188</v>
      </c>
      <c r="B86" t="s">
        <v>142</v>
      </c>
      <c r="C86" s="2"/>
      <c r="D86" t="s">
        <v>58</v>
      </c>
      <c r="E86">
        <f>VLOOKUP(TablaObra5[[#This Row],[Equipo]],Catalogos!$I$4:$J$64,2,FALSE)</f>
      </c>
      <c r="F86" s="3">
        <v>70</v>
      </c>
      <c r="G86" s="4">
        <v>28.3</v>
      </c>
      <c r="H86" s="4">
        <f t="shared" si="1"/>
      </c>
      <c r="I86">
        <f>VLOOKUP(TablaObra5[[#This Row],[Obra]],Catalogos!$B$3:$C$10,2,FALSE)</f>
      </c>
    </row>
    <row r="87" spans="1:9">
      <c r="A87" s="2">
        <v>46188</v>
      </c>
      <c r="B87" t="s">
        <v>142</v>
      </c>
      <c r="D87" t="s">
        <v>98</v>
      </c>
      <c r="E87">
        <f>VLOOKUP(TablaObra5[[#This Row],[Equipo]],Catalogos!$I$4:$J$64,2,FALSE)</f>
      </c>
      <c r="F87" s="3">
        <v>200</v>
      </c>
      <c r="G87" s="4">
        <v>28.3</v>
      </c>
      <c r="H87" s="4">
        <f t="shared" si="1"/>
      </c>
      <c r="I87">
        <f>VLOOKUP(TablaObra5[[#This Row],[Obra]],Catalogos!$B$3:$C$10,2,FALSE)</f>
      </c>
    </row>
    <row r="88" spans="1:9">
      <c r="A88" s="2">
        <v>46188</v>
      </c>
      <c r="B88" t="s">
        <v>142</v>
      </c>
      <c r="D88" t="s">
        <v>133</v>
      </c>
      <c r="E88">
        <f>VLOOKUP(TablaObra5[[#This Row],[Equipo]],Catalogos!$I$4:$J$64,2,FALSE)</f>
      </c>
      <c r="F88" s="3">
        <v>40</v>
      </c>
      <c r="G88" s="4">
        <v>28.3</v>
      </c>
      <c r="H88" s="4">
        <f t="shared" si="1"/>
      </c>
      <c r="I88">
        <f>VLOOKUP(TablaObra5[[#This Row],[Obra]],Catalogos!$B$3:$C$10,2,FALSE)</f>
      </c>
    </row>
    <row r="89" spans="1:9">
      <c r="A89" s="2">
        <v>46188</v>
      </c>
      <c r="B89" t="s">
        <v>3</v>
      </c>
      <c r="C89" s="2">
        <v>46189</v>
      </c>
      <c r="D89" t="s">
        <v>131</v>
      </c>
      <c r="E89">
        <f>VLOOKUP(TablaObra5[[#This Row],[Equipo]],Catalogos!$I$4:$J$64,2,FALSE)</f>
      </c>
      <c r="F89" s="3">
        <v>25</v>
      </c>
      <c r="G89" s="4">
        <v>28.3</v>
      </c>
      <c r="H89" s="4">
        <f t="shared" si="1"/>
      </c>
      <c r="I89">
        <f>VLOOKUP(TablaObra5[[#This Row],[Obra]],Catalogos!$B$3:$C$10,2,FALSE)</f>
      </c>
    </row>
    <row r="90" spans="1:9">
      <c r="A90" s="2">
        <v>46188</v>
      </c>
      <c r="B90" t="s">
        <v>3</v>
      </c>
      <c r="C90" s="2">
        <v>46189</v>
      </c>
      <c r="D90" t="s">
        <v>62</v>
      </c>
      <c r="E90">
        <f>VLOOKUP(TablaObra5[[#This Row],[Equipo]],Catalogos!$I$4:$J$64,2,FALSE)</f>
      </c>
      <c r="F90" s="3">
        <v>60</v>
      </c>
      <c r="G90" s="4">
        <v>28.3</v>
      </c>
      <c r="H90" s="4">
        <f t="shared" si="1"/>
      </c>
      <c r="I90">
        <f>VLOOKUP(TablaObra5[[#This Row],[Obra]],Catalogos!$B$3:$C$10,2,FALSE)</f>
      </c>
    </row>
    <row r="91" spans="1:9">
      <c r="A91" s="2">
        <v>46188</v>
      </c>
      <c r="B91" t="s">
        <v>3</v>
      </c>
      <c r="C91" s="2">
        <v>46189</v>
      </c>
      <c r="D91" t="s">
        <v>117</v>
      </c>
      <c r="E91">
        <f>VLOOKUP(TablaObra5[[#This Row],[Equipo]],Catalogos!$I$4:$J$64,2,FALSE)</f>
      </c>
      <c r="F91" s="3">
        <v>50</v>
      </c>
      <c r="G91" s="4">
        <v>28.3</v>
      </c>
      <c r="H91" s="4">
        <f t="shared" si="1"/>
      </c>
      <c r="I91">
        <f>VLOOKUP(TablaObra5[[#This Row],[Obra]],Catalogos!$B$3:$C$10,2,FALSE)</f>
      </c>
    </row>
    <row r="92" spans="1:9">
      <c r="A92" s="2">
        <v>46188</v>
      </c>
      <c r="B92" t="s">
        <v>3</v>
      </c>
      <c r="C92" s="2">
        <v>46189</v>
      </c>
      <c r="D92" t="s">
        <v>98</v>
      </c>
      <c r="E92">
        <f>VLOOKUP(TablaObra5[[#This Row],[Equipo]],Catalogos!$I$4:$J$64,2,FALSE)</f>
      </c>
      <c r="F92" s="3">
        <v>250</v>
      </c>
      <c r="G92" s="4">
        <v>28.3</v>
      </c>
      <c r="H92" s="4">
        <f t="shared" si="1"/>
      </c>
      <c r="I92">
        <f>VLOOKUP(TablaObra5[[#This Row],[Obra]],Catalogos!$B$3:$C$10,2,FALSE)</f>
      </c>
    </row>
    <row r="93" spans="1:9">
      <c r="A93" s="2">
        <v>46188</v>
      </c>
      <c r="B93" t="s">
        <v>3</v>
      </c>
      <c r="C93" s="2">
        <v>46189</v>
      </c>
      <c r="D93" t="s">
        <v>99</v>
      </c>
      <c r="E93">
        <f>VLOOKUP(TablaObra5[[#This Row],[Equipo]],Catalogos!$I$4:$J$64,2,FALSE)</f>
      </c>
      <c r="F93" s="3">
        <v>70</v>
      </c>
      <c r="G93" s="4">
        <v>28.3</v>
      </c>
      <c r="H93" s="4">
        <f t="shared" si="1"/>
      </c>
      <c r="I93">
        <f>VLOOKUP(TablaObra5[[#This Row],[Obra]],Catalogos!$B$3:$C$10,2,FALSE)</f>
      </c>
    </row>
    <row r="94" spans="1:9">
      <c r="A94" s="2">
        <v>46188</v>
      </c>
      <c r="B94" t="s">
        <v>3</v>
      </c>
      <c r="C94" s="2">
        <v>46189</v>
      </c>
      <c r="D94" t="s">
        <v>58</v>
      </c>
      <c r="E94">
        <f>VLOOKUP(TablaObra5[[#This Row],[Equipo]],Catalogos!$I$4:$J$64,2,FALSE)</f>
      </c>
      <c r="F94" s="3">
        <v>50</v>
      </c>
      <c r="G94" s="4">
        <v>28.3</v>
      </c>
      <c r="H94" s="4">
        <f t="shared" si="1"/>
      </c>
      <c r="I94">
        <f>VLOOKUP(TablaObra5[[#This Row],[Obra]],Catalogos!$B$3:$C$10,2,FALSE)</f>
      </c>
    </row>
    <row r="95" spans="1:9">
      <c r="A95" s="2">
        <v>46188</v>
      </c>
      <c r="B95" t="s">
        <v>2</v>
      </c>
      <c r="C95" s="2">
        <v>46189</v>
      </c>
      <c r="D95" t="s">
        <v>105</v>
      </c>
      <c r="E95">
        <f>VLOOKUP(TablaObra5[[#This Row],[Equipo]],Catalogos!$I$4:$J$64,2,FALSE)</f>
      </c>
      <c r="F95" s="3">
        <v>250</v>
      </c>
      <c r="G95" s="4">
        <v>28.3</v>
      </c>
      <c r="H95" s="4">
        <f t="shared" si="1"/>
      </c>
      <c r="I95">
        <f>VLOOKUP(TablaObra5[[#This Row],[Obra]],Catalogos!$B$3:$C$10,2,FALSE)</f>
      </c>
    </row>
    <row r="96" spans="1:9">
      <c r="A96" s="2">
        <v>46188</v>
      </c>
      <c r="B96" t="s">
        <v>2</v>
      </c>
      <c r="C96" s="2">
        <v>46189</v>
      </c>
      <c r="D96" t="s">
        <v>115</v>
      </c>
      <c r="E96">
        <f>VLOOKUP(TablaObra5[[#This Row],[Equipo]],Catalogos!$I$4:$J$64,2,FALSE)</f>
      </c>
      <c r="F96" s="3">
        <v>200</v>
      </c>
      <c r="G96" s="4">
        <v>28.3</v>
      </c>
      <c r="H96" s="4">
        <f t="shared" si="1"/>
      </c>
      <c r="I96">
        <f>VLOOKUP(TablaObra5[[#This Row],[Obra]],Catalogos!$B$3:$C$10,2,FALSE)</f>
      </c>
    </row>
    <row r="97" spans="1:9">
      <c r="A97" s="2">
        <v>46188</v>
      </c>
      <c r="B97" t="s">
        <v>2</v>
      </c>
      <c r="C97" s="2">
        <v>46189</v>
      </c>
      <c r="D97" t="s">
        <v>131</v>
      </c>
      <c r="E97">
        <f>VLOOKUP(TablaObra5[[#This Row],[Equipo]],Catalogos!$I$4:$J$64,2,FALSE)</f>
      </c>
      <c r="F97" s="3">
        <v>20</v>
      </c>
      <c r="G97" s="4">
        <v>28.3</v>
      </c>
      <c r="H97" s="4">
        <f t="shared" si="1"/>
      </c>
      <c r="I97">
        <f>VLOOKUP(TablaObra5[[#This Row],[Obra]],Catalogos!$B$3:$C$10,2,FALSE)</f>
      </c>
    </row>
    <row r="98" spans="1:9">
      <c r="A98" s="2">
        <v>46188</v>
      </c>
      <c r="B98" t="s">
        <v>2</v>
      </c>
      <c r="C98" s="2">
        <v>46189</v>
      </c>
      <c r="D98" t="s">
        <v>117</v>
      </c>
      <c r="E98">
        <f>VLOOKUP(TablaObra5[[#This Row],[Equipo]],Catalogos!$I$4:$J$64,2,FALSE)</f>
      </c>
      <c r="F98" s="3">
        <v>50</v>
      </c>
      <c r="G98" s="4">
        <v>28.3</v>
      </c>
      <c r="H98" s="4">
        <f t="shared" si="1"/>
      </c>
      <c r="I98">
        <f>VLOOKUP(TablaObra5[[#This Row],[Obra]],Catalogos!$B$3:$C$10,2,FALSE)</f>
      </c>
    </row>
    <row r="99" spans="1:9">
      <c r="A99" s="2">
        <v>46188</v>
      </c>
      <c r="B99" t="s">
        <v>2</v>
      </c>
      <c r="C99" s="2">
        <v>46189</v>
      </c>
      <c r="D99" t="s">
        <v>114</v>
      </c>
      <c r="E99">
        <f>VLOOKUP(TablaObra5[[#This Row],[Equipo]],Catalogos!$I$4:$J$64,2,FALSE)</f>
      </c>
      <c r="F99" s="3">
        <v>50</v>
      </c>
      <c r="G99" s="4">
        <v>28.3</v>
      </c>
      <c r="H99" s="4">
        <f t="shared" si="1"/>
      </c>
      <c r="I99">
        <f>VLOOKUP(TablaObra5[[#This Row],[Obra]],Catalogos!$B$3:$C$10,2,FALSE)</f>
      </c>
    </row>
    <row r="100" spans="1:9">
      <c r="A100" s="2">
        <v>46188</v>
      </c>
      <c r="B100" t="s">
        <v>2</v>
      </c>
      <c r="C100" s="2">
        <v>46189</v>
      </c>
      <c r="D100" t="s">
        <v>108</v>
      </c>
      <c r="E100">
        <f>VLOOKUP(TablaObra5[[#This Row],[Equipo]],Catalogos!$I$4:$J$64,2,FALSE)</f>
      </c>
      <c r="F100" s="3">
        <v>40</v>
      </c>
      <c r="G100" s="4">
        <v>28.3</v>
      </c>
      <c r="H100" s="4">
        <f t="shared" si="1"/>
      </c>
      <c r="I100">
        <f>VLOOKUP(TablaObra5[[#This Row],[Obra]],Catalogos!$B$3:$C$10,2,FALSE)</f>
      </c>
    </row>
    <row r="101" spans="1:9">
      <c r="A101" s="2">
        <v>46188</v>
      </c>
      <c r="B101" t="s">
        <v>2</v>
      </c>
      <c r="C101" s="2">
        <v>46189</v>
      </c>
      <c r="D101" t="s">
        <v>58</v>
      </c>
      <c r="E101">
        <f>VLOOKUP(TablaObra5[[#This Row],[Equipo]],Catalogos!$I$4:$J$64,2,FALSE)</f>
      </c>
      <c r="F101" s="3">
        <v>50</v>
      </c>
      <c r="G101" s="4">
        <v>28.3</v>
      </c>
      <c r="H101" s="4">
        <f t="shared" si="1"/>
      </c>
      <c r="I101">
        <f>VLOOKUP(TablaObra5[[#This Row],[Obra]],Catalogos!$B$3:$C$10,2,FALSE)</f>
      </c>
    </row>
    <row r="102" spans="1:9">
      <c r="A102" s="2">
        <v>46188</v>
      </c>
      <c r="B102" t="s">
        <v>2</v>
      </c>
      <c r="C102" s="2">
        <v>46189</v>
      </c>
      <c r="D102" t="s">
        <v>121</v>
      </c>
      <c r="E102">
        <f>VLOOKUP(TablaObra5[[#This Row],[Equipo]],Catalogos!$I$4:$J$64,2,FALSE)</f>
      </c>
      <c r="F102" s="3">
        <v>50</v>
      </c>
      <c r="G102" s="4">
        <v>28.3</v>
      </c>
      <c r="H102" s="4">
        <f t="shared" si="1"/>
      </c>
      <c r="I102">
        <f>VLOOKUP(TablaObra5[[#This Row],[Obra]],Catalogos!$B$3:$C$10,2,FALSE)</f>
      </c>
    </row>
    <row r="103" spans="1:9">
      <c r="A103" s="2">
        <v>46189</v>
      </c>
      <c r="B103" t="s">
        <v>3</v>
      </c>
      <c r="C103" s="2">
        <v>46190</v>
      </c>
      <c r="D103" t="s">
        <v>64</v>
      </c>
      <c r="E103">
        <f>VLOOKUP(TablaObra5[[#This Row],[Equipo]],Catalogos!$I$4:$J$64,2,FALSE)</f>
      </c>
      <c r="F103" s="3">
        <v>50</v>
      </c>
      <c r="G103" s="4">
        <v>28.3</v>
      </c>
      <c r="H103" s="4">
        <f t="shared" si="1"/>
      </c>
      <c r="I103">
        <f>VLOOKUP(TablaObra5[[#This Row],[Obra]],Catalogos!$B$3:$C$10,2,FALSE)</f>
      </c>
    </row>
    <row r="104" spans="1:9">
      <c r="A104" s="2">
        <v>46189</v>
      </c>
      <c r="B104" t="s">
        <v>3</v>
      </c>
      <c r="C104" s="2">
        <v>46190</v>
      </c>
      <c r="D104" t="s">
        <v>114</v>
      </c>
      <c r="E104">
        <f>VLOOKUP(TablaObra5[[#This Row],[Equipo]],Catalogos!$I$4:$J$64,2,FALSE)</f>
      </c>
      <c r="F104" s="3">
        <v>30</v>
      </c>
      <c r="G104" s="4">
        <v>28.3</v>
      </c>
      <c r="H104" s="4">
        <f t="shared" si="1"/>
      </c>
      <c r="I104">
        <f>VLOOKUP(TablaObra5[[#This Row],[Obra]],Catalogos!$B$3:$C$10,2,FALSE)</f>
      </c>
    </row>
    <row r="105" spans="1:9">
      <c r="A105" s="2">
        <v>46189</v>
      </c>
      <c r="B105" t="s">
        <v>3</v>
      </c>
      <c r="C105" s="2">
        <v>46190</v>
      </c>
      <c r="D105" t="s">
        <v>133</v>
      </c>
      <c r="E105">
        <f>VLOOKUP(TablaObra5[[#This Row],[Equipo]],Catalogos!$I$4:$J$64,2,FALSE)</f>
      </c>
      <c r="F105" s="3">
        <v>50</v>
      </c>
      <c r="G105" s="4">
        <v>28.3</v>
      </c>
      <c r="H105" s="4">
        <f t="shared" si="1"/>
      </c>
      <c r="I105">
        <f>VLOOKUP(TablaObra5[[#This Row],[Obra]],Catalogos!$B$3:$C$10,2,FALSE)</f>
      </c>
    </row>
    <row r="106" spans="1:9">
      <c r="A106" s="2">
        <v>46189</v>
      </c>
      <c r="B106" t="s">
        <v>3</v>
      </c>
      <c r="C106" s="2">
        <v>46190</v>
      </c>
      <c r="D106" t="s">
        <v>94</v>
      </c>
      <c r="E106">
        <f>VLOOKUP(TablaObra5[[#This Row],[Equipo]],Catalogos!$I$4:$J$64,2,FALSE)</f>
      </c>
      <c r="F106" s="3">
        <v>130</v>
      </c>
      <c r="G106" s="4">
        <v>28.3</v>
      </c>
      <c r="H106" s="4">
        <f t="shared" si="1"/>
      </c>
      <c r="I106">
        <f>VLOOKUP(TablaObra5[[#This Row],[Obra]],Catalogos!$B$3:$C$10,2,FALSE)</f>
      </c>
    </row>
    <row r="107" spans="1:9">
      <c r="A107" s="2">
        <v>46189</v>
      </c>
      <c r="B107" t="s">
        <v>3</v>
      </c>
      <c r="C107" s="2">
        <v>46190</v>
      </c>
      <c r="D107" t="s">
        <v>131</v>
      </c>
      <c r="E107">
        <f>VLOOKUP(TablaObra5[[#This Row],[Equipo]],Catalogos!$I$4:$J$64,2,FALSE)</f>
      </c>
      <c r="F107" s="3">
        <v>20</v>
      </c>
      <c r="G107" s="4">
        <v>28.3</v>
      </c>
      <c r="H107" s="4">
        <f t="shared" si="1"/>
      </c>
      <c r="I107">
        <f>VLOOKUP(TablaObra5[[#This Row],[Obra]],Catalogos!$B$3:$C$10,2,FALSE)</f>
      </c>
    </row>
    <row r="108" spans="1:9">
      <c r="A108" s="2">
        <v>46189</v>
      </c>
      <c r="B108" t="s">
        <v>3</v>
      </c>
      <c r="C108" s="2">
        <v>46190</v>
      </c>
      <c r="D108" t="s">
        <v>129</v>
      </c>
      <c r="E108">
        <f>VLOOKUP(TablaObra5[[#This Row],[Equipo]],Catalogos!$I$4:$J$64,2,FALSE)</f>
      </c>
      <c r="F108" s="3">
        <v>160</v>
      </c>
      <c r="G108" s="4">
        <v>28.3</v>
      </c>
      <c r="H108" s="4">
        <f t="shared" si="1"/>
      </c>
      <c r="I108">
        <f>VLOOKUP(TablaObra5[[#This Row],[Obra]],Catalogos!$B$3:$C$10,2,FALSE)</f>
      </c>
    </row>
    <row r="109" spans="1:9">
      <c r="A109" s="2">
        <v>46189</v>
      </c>
      <c r="B109" t="s">
        <v>3</v>
      </c>
      <c r="C109" s="2">
        <v>46190</v>
      </c>
      <c r="D109" t="s">
        <v>62</v>
      </c>
      <c r="E109">
        <f>VLOOKUP(TablaObra5[[#This Row],[Equipo]],Catalogos!$I$4:$J$64,2,FALSE)</f>
      </c>
      <c r="F109" s="3">
        <v>70</v>
      </c>
      <c r="G109" s="4">
        <v>28.3</v>
      </c>
      <c r="H109" s="4">
        <f t="shared" si="1"/>
      </c>
      <c r="I109">
        <f>VLOOKUP(TablaObra5[[#This Row],[Obra]],Catalogos!$B$3:$C$10,2,FALSE)</f>
      </c>
    </row>
    <row r="110" spans="1:9">
      <c r="A110" s="2">
        <v>46189</v>
      </c>
      <c r="B110" t="s">
        <v>3</v>
      </c>
      <c r="C110" s="2">
        <v>46190</v>
      </c>
      <c r="D110" t="s">
        <v>98</v>
      </c>
      <c r="E110">
        <f>VLOOKUP(TablaObra5[[#This Row],[Equipo]],Catalogos!$I$4:$J$64,2,FALSE)</f>
      </c>
      <c r="F110" s="3">
        <v>250</v>
      </c>
      <c r="G110" s="4">
        <v>28.3</v>
      </c>
      <c r="H110" s="4">
        <f t="shared" si="1"/>
      </c>
      <c r="I110">
        <f>VLOOKUP(TablaObra5[[#This Row],[Obra]],Catalogos!$B$3:$C$10,2,FALSE)</f>
      </c>
    </row>
    <row r="111" spans="1:9">
      <c r="A111" s="2">
        <v>46189</v>
      </c>
      <c r="B111" t="s">
        <v>3</v>
      </c>
      <c r="C111" s="2">
        <v>46190</v>
      </c>
      <c r="D111" t="s">
        <v>64</v>
      </c>
      <c r="E111">
        <f>VLOOKUP(TablaObra5[[#This Row],[Equipo]],Catalogos!$I$4:$J$64,2,FALSE)</f>
      </c>
      <c r="F111" s="3">
        <v>150</v>
      </c>
      <c r="G111" s="4">
        <v>28.3</v>
      </c>
      <c r="H111" s="4">
        <f t="shared" si="1"/>
      </c>
      <c r="I111">
        <f>VLOOKUP(TablaObra5[[#This Row],[Obra]],Catalogos!$B$3:$C$10,2,FALSE)</f>
      </c>
    </row>
    <row r="112" spans="1:9">
      <c r="A112" s="2">
        <v>46190</v>
      </c>
      <c r="B112" t="s">
        <v>2</v>
      </c>
      <c r="C112" s="2">
        <v>46190</v>
      </c>
      <c r="D112" t="s">
        <v>105</v>
      </c>
      <c r="E112">
        <f>VLOOKUP(TablaObra5[[#This Row],[Equipo]],Catalogos!$I$4:$J$64,2,FALSE)</f>
      </c>
      <c r="F112" s="3">
        <v>250</v>
      </c>
      <c r="G112" s="4">
        <v>28.3</v>
      </c>
      <c r="H112" s="4">
        <f t="shared" si="1"/>
      </c>
      <c r="I112">
        <f>VLOOKUP(TablaObra5[[#This Row],[Obra]],Catalogos!$B$3:$C$10,2,FALSE)</f>
      </c>
    </row>
    <row r="113" spans="1:9">
      <c r="A113" s="2">
        <v>46190</v>
      </c>
      <c r="B113" t="s">
        <v>2</v>
      </c>
      <c r="C113" s="2">
        <v>46190</v>
      </c>
      <c r="D113" t="s">
        <v>115</v>
      </c>
      <c r="E113">
        <f>VLOOKUP(TablaObra5[[#This Row],[Equipo]],Catalogos!$I$4:$J$64,2,FALSE)</f>
      </c>
      <c r="F113" s="3">
        <v>100</v>
      </c>
      <c r="G113" s="4">
        <v>28.3</v>
      </c>
      <c r="H113" s="4">
        <f t="shared" si="1"/>
      </c>
      <c r="I113">
        <f>VLOOKUP(TablaObra5[[#This Row],[Obra]],Catalogos!$B$3:$C$10,2,FALSE)</f>
      </c>
    </row>
    <row r="114" spans="1:9">
      <c r="A114" s="2">
        <v>46190</v>
      </c>
      <c r="B114" t="s">
        <v>2</v>
      </c>
      <c r="C114" s="2">
        <v>46190</v>
      </c>
      <c r="D114" t="s">
        <v>131</v>
      </c>
      <c r="E114">
        <f>VLOOKUP(TablaObra5[[#This Row],[Equipo]],Catalogos!$I$4:$J$64,2,FALSE)</f>
      </c>
      <c r="F114" s="3">
        <v>20</v>
      </c>
      <c r="G114" s="4">
        <v>28.3</v>
      </c>
      <c r="H114" s="4">
        <f t="shared" si="1"/>
      </c>
      <c r="I114">
        <f>VLOOKUP(TablaObra5[[#This Row],[Obra]],Catalogos!$B$3:$C$10,2,FALSE)</f>
      </c>
    </row>
    <row r="115" spans="1:9">
      <c r="A115" s="2">
        <v>46190</v>
      </c>
      <c r="B115" t="s">
        <v>2</v>
      </c>
      <c r="C115" s="2">
        <v>46190</v>
      </c>
      <c r="D115" t="s">
        <v>117</v>
      </c>
      <c r="E115">
        <f>VLOOKUP(TablaObra5[[#This Row],[Equipo]],Catalogos!$I$4:$J$64,2,FALSE)</f>
      </c>
      <c r="F115" s="3">
        <v>50</v>
      </c>
      <c r="G115" s="4">
        <v>28.3</v>
      </c>
      <c r="H115" s="4">
        <f t="shared" si="1"/>
      </c>
      <c r="I115">
        <f>VLOOKUP(TablaObra5[[#This Row],[Obra]],Catalogos!$B$3:$C$10,2,FALSE)</f>
      </c>
    </row>
    <row r="116" spans="1:9">
      <c r="A116" s="2">
        <v>46190</v>
      </c>
      <c r="B116" t="s">
        <v>2</v>
      </c>
      <c r="C116" s="2">
        <v>46190</v>
      </c>
      <c r="D116" t="s">
        <v>114</v>
      </c>
      <c r="E116">
        <f>VLOOKUP(TablaObra5[[#This Row],[Equipo]],Catalogos!$I$4:$J$64,2,FALSE)</f>
      </c>
      <c r="F116" s="3">
        <v>50</v>
      </c>
      <c r="G116" s="4">
        <v>28.3</v>
      </c>
      <c r="H116" s="4">
        <f t="shared" si="1"/>
      </c>
      <c r="I116">
        <f>VLOOKUP(TablaObra5[[#This Row],[Obra]],Catalogos!$B$3:$C$10,2,FALSE)</f>
      </c>
    </row>
    <row r="117" spans="1:9">
      <c r="A117" s="2">
        <v>46190</v>
      </c>
      <c r="B117" t="s">
        <v>2</v>
      </c>
      <c r="C117" s="2">
        <v>46190</v>
      </c>
      <c r="D117" t="s">
        <v>108</v>
      </c>
      <c r="E117">
        <f>VLOOKUP(TablaObra5[[#This Row],[Equipo]],Catalogos!$I$4:$J$64,2,FALSE)</f>
      </c>
      <c r="F117" s="3">
        <v>30</v>
      </c>
      <c r="G117" s="4">
        <v>28.3</v>
      </c>
      <c r="H117" s="4">
        <f t="shared" si="1"/>
      </c>
      <c r="I117">
        <f>VLOOKUP(TablaObra5[[#This Row],[Obra]],Catalogos!$B$3:$C$10,2,FALSE)</f>
      </c>
    </row>
    <row r="118" spans="1:9">
      <c r="A118" s="2">
        <v>46190</v>
      </c>
      <c r="B118" t="s">
        <v>2</v>
      </c>
      <c r="C118" s="2">
        <v>46190</v>
      </c>
      <c r="D118" t="s">
        <v>58</v>
      </c>
      <c r="E118">
        <f>VLOOKUP(TablaObra5[[#This Row],[Equipo]],Catalogos!$I$4:$J$64,2,FALSE)</f>
      </c>
      <c r="F118" s="3">
        <v>80</v>
      </c>
      <c r="G118" s="4">
        <v>28.3</v>
      </c>
      <c r="H118" s="4">
        <f t="shared" si="1"/>
      </c>
      <c r="I118">
        <f>VLOOKUP(TablaObra5[[#This Row],[Obra]],Catalogos!$B$3:$C$10,2,FALSE)</f>
      </c>
    </row>
    <row r="119" spans="1:9">
      <c r="A119" s="2">
        <v>46190</v>
      </c>
      <c r="B119" t="s">
        <v>2</v>
      </c>
      <c r="C119" s="2">
        <v>46190</v>
      </c>
      <c r="D119" t="s">
        <v>121</v>
      </c>
      <c r="E119">
        <f>VLOOKUP(TablaObra5[[#This Row],[Equipo]],Catalogos!$I$4:$J$64,2,FALSE)</f>
      </c>
      <c r="F119" s="3">
        <v>50</v>
      </c>
      <c r="G119" s="4">
        <v>28.3</v>
      </c>
      <c r="H119" s="4">
        <f t="shared" si="1"/>
      </c>
      <c r="I119">
        <f>VLOOKUP(TablaObra5[[#This Row],[Obra]],Catalogos!$B$3:$C$10,2,FALSE)</f>
      </c>
    </row>
    <row r="120" spans="1:9">
      <c r="A120" s="2">
        <v>46190</v>
      </c>
      <c r="B120" t="s">
        <v>142</v>
      </c>
      <c r="C120" s="2">
        <v>46190</v>
      </c>
      <c r="D120" t="s">
        <v>58</v>
      </c>
      <c r="E120">
        <f>VLOOKUP(TablaObra5[[#This Row],[Equipo]],Catalogos!$I$4:$J$64,2,FALSE)</f>
      </c>
      <c r="F120" s="3">
        <v>70</v>
      </c>
      <c r="G120" s="4">
        <v>28.3</v>
      </c>
      <c r="H120" s="4">
        <f t="shared" si="1"/>
      </c>
      <c r="I120">
        <f>VLOOKUP(TablaObra5[[#This Row],[Obra]],Catalogos!$B$3:$C$10,2,FALSE)</f>
      </c>
    </row>
    <row r="121" spans="1:9">
      <c r="A121" s="2">
        <v>46190</v>
      </c>
      <c r="B121" t="s">
        <v>142</v>
      </c>
      <c r="C121" s="2">
        <v>46190</v>
      </c>
      <c r="D121" t="s">
        <v>58</v>
      </c>
      <c r="E121">
        <f>VLOOKUP(TablaObra5[[#This Row],[Equipo]],Catalogos!$I$4:$J$64,2,FALSE)</f>
      </c>
      <c r="F121" s="3">
        <v>70</v>
      </c>
      <c r="G121" s="4">
        <v>28.3</v>
      </c>
      <c r="H121" s="4">
        <f t="shared" si="1"/>
      </c>
      <c r="I121">
        <f>VLOOKUP(TablaObra5[[#This Row],[Obra]],Catalogos!$B$3:$C$10,2,FALSE)</f>
      </c>
    </row>
    <row r="122" spans="1:9">
      <c r="A122" s="2">
        <v>46190</v>
      </c>
      <c r="B122" t="s">
        <v>142</v>
      </c>
      <c r="C122" s="2">
        <v>46190</v>
      </c>
      <c r="D122" t="s">
        <v>98</v>
      </c>
      <c r="E122">
        <f>VLOOKUP(TablaObra5[[#This Row],[Equipo]],Catalogos!$I$4:$J$64,2,FALSE)</f>
      </c>
      <c r="F122" s="3">
        <v>200</v>
      </c>
      <c r="G122" s="4">
        <v>28.3</v>
      </c>
      <c r="H122" s="4">
        <f t="shared" si="1"/>
      </c>
      <c r="I122">
        <f>VLOOKUP(TablaObra5[[#This Row],[Obra]],Catalogos!$B$3:$C$10,2,FALSE)</f>
      </c>
    </row>
    <row r="123" spans="1:9">
      <c r="A123" s="2">
        <v>46190</v>
      </c>
      <c r="B123" t="s">
        <v>142</v>
      </c>
      <c r="C123" s="2">
        <v>46190</v>
      </c>
      <c r="D123" t="s">
        <v>133</v>
      </c>
      <c r="E123">
        <f>VLOOKUP(TablaObra5[[#This Row],[Equipo]],Catalogos!$I$4:$J$64,2,FALSE)</f>
      </c>
      <c r="F123" s="3">
        <v>20</v>
      </c>
      <c r="G123" s="4">
        <v>28.3</v>
      </c>
      <c r="H123" s="4">
        <f t="shared" si="1"/>
      </c>
      <c r="I123">
        <f>VLOOKUP(TablaObra5[[#This Row],[Obra]],Catalogos!$B$3:$C$10,2,FALSE)</f>
      </c>
    </row>
    <row r="124" spans="1:9">
      <c r="A124" s="2">
        <v>46190</v>
      </c>
      <c r="B124" t="s">
        <v>2</v>
      </c>
      <c r="C124" s="2">
        <v>46191</v>
      </c>
      <c r="D124" t="s">
        <v>105</v>
      </c>
      <c r="E124">
        <f>VLOOKUP(TablaObra5[[#This Row],[Equipo]],Catalogos!$I$4:$J$64,2,FALSE)</f>
      </c>
      <c r="F124" s="3">
        <v>250</v>
      </c>
      <c r="G124" s="4">
        <v>28.3</v>
      </c>
      <c r="H124" s="4">
        <f t="shared" si="1"/>
      </c>
      <c r="I124">
        <f>VLOOKUP(TablaObra5[[#This Row],[Obra]],Catalogos!$B$3:$C$10,2,FALSE)</f>
      </c>
    </row>
    <row r="125" spans="1:9">
      <c r="A125" s="2">
        <v>46190</v>
      </c>
      <c r="B125" t="s">
        <v>2</v>
      </c>
      <c r="C125" s="2">
        <v>46191</v>
      </c>
      <c r="D125" t="s">
        <v>115</v>
      </c>
      <c r="E125">
        <f>VLOOKUP(TablaObra5[[#This Row],[Equipo]],Catalogos!$I$4:$J$64,2,FALSE)</f>
      </c>
      <c r="F125" s="3">
        <v>100</v>
      </c>
      <c r="G125" s="4">
        <v>28.3</v>
      </c>
      <c r="H125" s="4">
        <f t="shared" si="1"/>
      </c>
      <c r="I125">
        <f>VLOOKUP(TablaObra5[[#This Row],[Obra]],Catalogos!$B$3:$C$10,2,FALSE)</f>
      </c>
    </row>
    <row r="126" spans="1:9">
      <c r="A126" s="2">
        <v>46190</v>
      </c>
      <c r="B126" t="s">
        <v>2</v>
      </c>
      <c r="C126" s="2">
        <v>46191</v>
      </c>
      <c r="D126" t="s">
        <v>131</v>
      </c>
      <c r="E126">
        <f>VLOOKUP(TablaObra5[[#This Row],[Equipo]],Catalogos!$I$4:$J$64,2,FALSE)</f>
      </c>
      <c r="F126" s="3">
        <v>20</v>
      </c>
      <c r="G126" s="4">
        <v>28.3</v>
      </c>
      <c r="H126" s="4">
        <f t="shared" si="1"/>
      </c>
      <c r="I126">
        <f>VLOOKUP(TablaObra5[[#This Row],[Obra]],Catalogos!$B$3:$C$10,2,FALSE)</f>
      </c>
    </row>
    <row r="127" spans="1:9">
      <c r="A127" s="2">
        <v>46190</v>
      </c>
      <c r="B127" t="s">
        <v>2</v>
      </c>
      <c r="C127" s="2">
        <v>46191</v>
      </c>
      <c r="D127" t="s">
        <v>117</v>
      </c>
      <c r="E127">
        <f>VLOOKUP(TablaObra5[[#This Row],[Equipo]],Catalogos!$I$4:$J$64,2,FALSE)</f>
      </c>
      <c r="F127" s="3">
        <v>40</v>
      </c>
      <c r="G127" s="4">
        <v>28.3</v>
      </c>
      <c r="H127" s="4">
        <f t="shared" si="1"/>
      </c>
      <c r="I127">
        <f>VLOOKUP(TablaObra5[[#This Row],[Obra]],Catalogos!$B$3:$C$10,2,FALSE)</f>
      </c>
    </row>
    <row r="128" spans="1:9">
      <c r="A128" s="2">
        <v>46190</v>
      </c>
      <c r="B128" t="s">
        <v>2</v>
      </c>
      <c r="C128" s="2">
        <v>46191</v>
      </c>
      <c r="D128" t="s">
        <v>114</v>
      </c>
      <c r="E128">
        <f>VLOOKUP(TablaObra5[[#This Row],[Equipo]],Catalogos!$I$4:$J$64,2,FALSE)</f>
      </c>
      <c r="F128" s="3">
        <v>40</v>
      </c>
      <c r="G128" s="4">
        <v>28.3</v>
      </c>
      <c r="H128" s="4">
        <f t="shared" si="1"/>
      </c>
      <c r="I128">
        <f>VLOOKUP(TablaObra5[[#This Row],[Obra]],Catalogos!$B$3:$C$10,2,FALSE)</f>
      </c>
    </row>
    <row r="129" spans="1:9">
      <c r="A129" s="2">
        <v>46190</v>
      </c>
      <c r="B129" t="s">
        <v>2</v>
      </c>
      <c r="C129" s="2">
        <v>46191</v>
      </c>
      <c r="D129" t="s">
        <v>108</v>
      </c>
      <c r="E129">
        <f>VLOOKUP(TablaObra5[[#This Row],[Equipo]],Catalogos!$I$4:$J$64,2,FALSE)</f>
      </c>
      <c r="F129" s="3">
        <v>30</v>
      </c>
      <c r="G129" s="4">
        <v>28.3</v>
      </c>
      <c r="H129" s="4">
        <f t="shared" si="1"/>
      </c>
      <c r="I129">
        <f>VLOOKUP(TablaObra5[[#This Row],[Obra]],Catalogos!$B$3:$C$10,2,FALSE)</f>
      </c>
    </row>
    <row r="130" spans="1:9">
      <c r="A130" s="2">
        <v>46190</v>
      </c>
      <c r="B130" t="s">
        <v>2</v>
      </c>
      <c r="C130" s="2">
        <v>46191</v>
      </c>
      <c r="D130" t="s">
        <v>58</v>
      </c>
      <c r="E130">
        <f>VLOOKUP(TablaObra5[[#This Row],[Equipo]],Catalogos!$I$4:$J$64,2,FALSE)</f>
      </c>
      <c r="F130" s="3">
        <v>70</v>
      </c>
      <c r="G130" s="4">
        <v>28.3</v>
      </c>
      <c r="H130" s="4">
        <f t="shared" si="1"/>
      </c>
      <c r="I130">
        <f>VLOOKUP(TablaObra5[[#This Row],[Obra]],Catalogos!$B$3:$C$10,2,FALSE)</f>
      </c>
    </row>
    <row r="131" spans="1:9">
      <c r="A131" s="2">
        <v>46190</v>
      </c>
      <c r="B131" t="s">
        <v>2</v>
      </c>
      <c r="C131" s="2">
        <v>46191</v>
      </c>
      <c r="D131" t="s">
        <v>121</v>
      </c>
      <c r="E131">
        <f>VLOOKUP(TablaObra5[[#This Row],[Equipo]],Catalogos!$I$4:$J$64,2,FALSE)</f>
      </c>
      <c r="F131" s="3">
        <v>40</v>
      </c>
      <c r="G131" s="4">
        <v>28.3</v>
      </c>
      <c r="H131" s="4">
        <f t="shared" si="1"/>
      </c>
      <c r="I131">
        <f>VLOOKUP(TablaObra5[[#This Row],[Obra]],Catalogos!$B$3:$C$10,2,FALSE)</f>
      </c>
    </row>
    <row r="132" spans="1:9">
      <c r="A132" s="2">
        <v>46190</v>
      </c>
      <c r="B132" t="s">
        <v>3</v>
      </c>
      <c r="C132" s="2">
        <v>46191</v>
      </c>
      <c r="D132" t="s">
        <v>123</v>
      </c>
      <c r="E132">
        <f>VLOOKUP(TablaObra5[[#This Row],[Equipo]],Catalogos!$I$4:$J$64,2,FALSE)</f>
      </c>
      <c r="F132" s="3">
        <v>80</v>
      </c>
      <c r="G132" s="4">
        <v>28.3</v>
      </c>
      <c r="H132" s="4">
        <f t="shared" si="1"/>
      </c>
      <c r="I132">
        <f>VLOOKUP(TablaObra5[[#This Row],[Obra]],Catalogos!$B$3:$C$10,2,FALSE)</f>
      </c>
    </row>
    <row r="133" spans="1:9">
      <c r="A133" s="2">
        <v>46191</v>
      </c>
      <c r="B133" t="s">
        <v>155</v>
      </c>
      <c r="C133" s="2">
        <v>38887</v>
      </c>
      <c r="D133" t="s">
        <v>125</v>
      </c>
      <c r="E133">
        <f>VLOOKUP(TablaObra5[[#This Row],[Equipo]],Catalogos!$I$4:$J$64,2,FALSE)</f>
      </c>
      <c r="F133" s="3">
        <v>100</v>
      </c>
      <c r="G133" s="4">
        <v>28.3</v>
      </c>
      <c r="H133" s="4">
        <f t="shared" si="1"/>
      </c>
      <c r="I133">
        <f>VLOOKUP(TablaObra5[[#This Row],[Obra]],Catalogos!$B$3:$C$10,2,FALSE)</f>
      </c>
    </row>
    <row r="134" spans="1:9">
      <c r="A134" s="2">
        <v>46191</v>
      </c>
      <c r="B134" t="s">
        <v>155</v>
      </c>
      <c r="C134" s="2">
        <v>38887</v>
      </c>
      <c r="D134" t="s">
        <v>215</v>
      </c>
      <c r="E134">
        <f>VLOOKUP(TablaObra5[[#This Row],[Equipo]],Catalogos!$I$4:$J$64,2,FALSE)</f>
      </c>
      <c r="F134" s="3">
        <v>200</v>
      </c>
      <c r="G134" s="4">
        <v>28.3</v>
      </c>
      <c r="H134" s="4">
        <f t="shared" si="1"/>
      </c>
      <c r="I134">
        <f>VLOOKUP(TablaObra5[[#This Row],[Obra]],Catalogos!$B$3:$C$10,2,FALSE)</f>
      </c>
    </row>
    <row r="135" spans="1:9">
      <c r="A135" s="2">
        <v>46191</v>
      </c>
      <c r="B135" t="s">
        <v>155</v>
      </c>
      <c r="C135" s="2">
        <v>38887</v>
      </c>
      <c r="D135" t="s">
        <v>148</v>
      </c>
      <c r="E135">
        <f>VLOOKUP(TablaObra5[[#This Row],[Equipo]],Catalogos!$I$4:$J$64,2,FALSE)</f>
      </c>
      <c r="F135" s="3">
        <v>100</v>
      </c>
      <c r="G135" s="4">
        <v>28.3</v>
      </c>
      <c r="H135" s="4">
        <f t="shared" ref="H135:H198" si="2">IFERROR(F135*G135,0)</f>
      </c>
      <c r="I135">
        <f>VLOOKUP(TablaObra5[[#This Row],[Obra]],Catalogos!$B$3:$C$10,2,FALSE)</f>
      </c>
    </row>
    <row r="136" spans="1:9">
      <c r="A136" s="2">
        <v>46191</v>
      </c>
      <c r="B136" t="s">
        <v>155</v>
      </c>
      <c r="C136" s="2">
        <v>38887</v>
      </c>
      <c r="D136" t="s">
        <v>217</v>
      </c>
      <c r="E136">
        <f>VLOOKUP(TablaObra5[[#This Row],[Equipo]],Catalogos!$I$4:$J$64,2,FALSE)</f>
      </c>
      <c r="F136" s="3">
        <v>100</v>
      </c>
      <c r="G136" s="4">
        <v>28.3</v>
      </c>
      <c r="H136" s="4">
        <f t="shared" si="2"/>
      </c>
      <c r="I136">
        <f>VLOOKUP(TablaObra5[[#This Row],[Obra]],Catalogos!$B$3:$C$10,2,FALSE)</f>
      </c>
    </row>
    <row r="137" spans="1:9">
      <c r="A137" s="2">
        <v>46191</v>
      </c>
      <c r="B137" t="s">
        <v>3</v>
      </c>
      <c r="C137" s="2">
        <v>38887</v>
      </c>
      <c r="D137" t="s">
        <v>58</v>
      </c>
      <c r="E137">
        <f>VLOOKUP(TablaObra5[[#This Row],[Equipo]],Catalogos!$I$4:$J$64,2,FALSE)</f>
      </c>
      <c r="F137" s="3">
        <v>80</v>
      </c>
      <c r="G137" s="4">
        <v>28.3</v>
      </c>
      <c r="H137" s="4">
        <f t="shared" si="2"/>
      </c>
      <c r="I137">
        <f>VLOOKUP(TablaObra5[[#This Row],[Obra]],Catalogos!$B$3:$C$10,2,FALSE)</f>
      </c>
    </row>
    <row r="138" spans="1:9">
      <c r="A138" s="2">
        <v>46191</v>
      </c>
      <c r="B138" t="s">
        <v>3</v>
      </c>
      <c r="C138" s="2">
        <v>38887</v>
      </c>
      <c r="D138" t="s">
        <v>117</v>
      </c>
      <c r="E138">
        <f>VLOOKUP(TablaObra5[[#This Row],[Equipo]],Catalogos!$I$4:$J$64,2,FALSE)</f>
      </c>
      <c r="F138" s="3">
        <v>50</v>
      </c>
      <c r="G138" s="4">
        <v>28.3</v>
      </c>
      <c r="H138" s="4">
        <f t="shared" si="2"/>
      </c>
      <c r="I138">
        <f>VLOOKUP(TablaObra5[[#This Row],[Obra]],Catalogos!$B$3:$C$10,2,FALSE)</f>
      </c>
    </row>
    <row r="139" spans="1:9">
      <c r="A139" s="2">
        <v>46191</v>
      </c>
      <c r="B139" t="s">
        <v>3</v>
      </c>
      <c r="C139" s="2">
        <v>38887</v>
      </c>
      <c r="D139" t="s">
        <v>119</v>
      </c>
      <c r="E139">
        <f>VLOOKUP(TablaObra5[[#This Row],[Equipo]],Catalogos!$I$4:$J$64,2,FALSE)</f>
      </c>
      <c r="F139" s="3">
        <v>30</v>
      </c>
      <c r="G139" s="4">
        <v>28.3</v>
      </c>
      <c r="H139" s="4">
        <f t="shared" si="2"/>
      </c>
      <c r="I139">
        <f>VLOOKUP(TablaObra5[[#This Row],[Obra]],Catalogos!$B$3:$C$10,2,FALSE)</f>
      </c>
    </row>
    <row r="140" spans="1:9">
      <c r="A140" s="2">
        <v>46191</v>
      </c>
      <c r="B140" t="s">
        <v>3</v>
      </c>
      <c r="C140" s="2">
        <v>38887</v>
      </c>
      <c r="D140" t="s">
        <v>99</v>
      </c>
      <c r="E140">
        <f>VLOOKUP(TablaObra5[[#This Row],[Equipo]],Catalogos!$I$4:$J$64,2,FALSE)</f>
      </c>
      <c r="F140" s="3">
        <v>50</v>
      </c>
      <c r="G140" s="4">
        <v>28.3</v>
      </c>
      <c r="H140" s="4">
        <f t="shared" si="2"/>
      </c>
      <c r="I140">
        <f>VLOOKUP(TablaObra5[[#This Row],[Obra]],Catalogos!$B$3:$C$10,2,FALSE)</f>
      </c>
    </row>
    <row r="141" spans="1:9">
      <c r="A141" s="2">
        <v>46191</v>
      </c>
      <c r="B141" t="s">
        <v>3</v>
      </c>
      <c r="C141" s="2">
        <v>38887</v>
      </c>
      <c r="D141" t="s">
        <v>64</v>
      </c>
      <c r="E141">
        <f>VLOOKUP(TablaObra5[[#This Row],[Equipo]],Catalogos!$I$4:$J$64,2,FALSE)</f>
      </c>
      <c r="F141" s="3">
        <v>50</v>
      </c>
      <c r="G141" s="4">
        <v>28.3</v>
      </c>
      <c r="H141" s="4">
        <f t="shared" si="2"/>
      </c>
      <c r="I141">
        <f>VLOOKUP(TablaObra5[[#This Row],[Obra]],Catalogos!$B$3:$C$10,2,FALSE)</f>
      </c>
    </row>
    <row r="142" spans="1:9">
      <c r="A142" s="2">
        <v>46191</v>
      </c>
      <c r="B142" t="s">
        <v>3</v>
      </c>
      <c r="C142" s="2">
        <v>38887</v>
      </c>
      <c r="D142" t="s">
        <v>98</v>
      </c>
      <c r="E142">
        <f>VLOOKUP(TablaObra5[[#This Row],[Equipo]],Catalogos!$I$4:$J$64,2,FALSE)</f>
      </c>
      <c r="F142" s="3">
        <v>200</v>
      </c>
      <c r="G142" s="4">
        <v>28.3</v>
      </c>
      <c r="H142" s="4">
        <f t="shared" si="2"/>
      </c>
      <c r="I142">
        <f>VLOOKUP(TablaObra5[[#This Row],[Obra]],Catalogos!$B$3:$C$10,2,FALSE)</f>
      </c>
    </row>
    <row r="143" spans="1:9">
      <c r="A143" s="2">
        <v>46191</v>
      </c>
      <c r="B143" t="s">
        <v>3</v>
      </c>
      <c r="C143" s="2">
        <v>38887</v>
      </c>
      <c r="D143" t="s">
        <v>94</v>
      </c>
      <c r="E143">
        <f>VLOOKUP(TablaObra5[[#This Row],[Equipo]],Catalogos!$I$4:$J$64,2,FALSE)</f>
      </c>
      <c r="F143" s="3">
        <v>130</v>
      </c>
      <c r="G143" s="4">
        <v>28.3</v>
      </c>
      <c r="H143" s="4">
        <f t="shared" si="2"/>
      </c>
      <c r="I143">
        <f>VLOOKUP(TablaObra5[[#This Row],[Obra]],Catalogos!$B$3:$C$10,2,FALSE)</f>
      </c>
    </row>
    <row r="144" spans="1:9">
      <c r="A144" s="2">
        <v>46191</v>
      </c>
      <c r="B144" t="s">
        <v>3</v>
      </c>
      <c r="C144" s="2">
        <v>38887</v>
      </c>
      <c r="D144" t="s">
        <v>131</v>
      </c>
      <c r="E144">
        <f>VLOOKUP(TablaObra5[[#This Row],[Equipo]],Catalogos!$I$4:$J$64,2,FALSE)</f>
      </c>
      <c r="F144" s="3">
        <v>20</v>
      </c>
      <c r="G144" s="4">
        <v>28.3</v>
      </c>
      <c r="H144" s="4">
        <f t="shared" si="2"/>
      </c>
      <c r="I144">
        <f>VLOOKUP(TablaObra5[[#This Row],[Obra]],Catalogos!$B$3:$C$10,2,FALSE)</f>
      </c>
    </row>
    <row r="145" spans="1:9">
      <c r="A145" s="2">
        <v>46191</v>
      </c>
      <c r="B145" t="s">
        <v>3</v>
      </c>
      <c r="C145" s="2">
        <v>38887</v>
      </c>
      <c r="D145" t="s">
        <v>129</v>
      </c>
      <c r="E145">
        <f>VLOOKUP(TablaObra5[[#This Row],[Equipo]],Catalogos!$I$4:$J$64,2,FALSE)</f>
      </c>
      <c r="F145" s="3">
        <v>10</v>
      </c>
      <c r="G145" s="4">
        <v>28.3</v>
      </c>
      <c r="H145" s="4">
        <f t="shared" si="2"/>
      </c>
      <c r="I145">
        <f>VLOOKUP(TablaObra5[[#This Row],[Obra]],Catalogos!$B$3:$C$10,2,FALSE)</f>
      </c>
    </row>
    <row r="146" spans="1:9">
      <c r="A146" s="2">
        <v>46191</v>
      </c>
      <c r="B146" t="s">
        <v>3</v>
      </c>
      <c r="C146" s="2">
        <v>38887</v>
      </c>
      <c r="D146" t="s">
        <v>62</v>
      </c>
      <c r="E146">
        <f>VLOOKUP(TablaObra5[[#This Row],[Equipo]],Catalogos!$I$4:$J$64,2,FALSE)</f>
      </c>
      <c r="F146" s="3">
        <v>80</v>
      </c>
      <c r="G146" s="4">
        <v>28.3</v>
      </c>
      <c r="H146" s="4">
        <f t="shared" si="2"/>
      </c>
      <c r="I146">
        <f>VLOOKUP(TablaObra5[[#This Row],[Obra]],Catalogos!$B$3:$C$10,2,FALSE)</f>
      </c>
    </row>
    <row r="147" spans="1:9">
      <c r="A147" s="2">
        <v>46192</v>
      </c>
      <c r="B147" t="s">
        <v>2</v>
      </c>
      <c r="C147" s="2">
        <v>46192</v>
      </c>
      <c r="D147" t="s">
        <v>115</v>
      </c>
      <c r="E147">
        <f>VLOOKUP(TablaObra5[[#This Row],[Equipo]],Catalogos!$I$4:$J$64,2,FALSE)</f>
      </c>
      <c r="F147" s="3">
        <v>100</v>
      </c>
      <c r="G147" s="4">
        <v>28.3</v>
      </c>
      <c r="H147" s="4">
        <f t="shared" si="2"/>
      </c>
      <c r="I147">
        <f>VLOOKUP(TablaObra5[[#This Row],[Obra]],Catalogos!$B$3:$C$10,2,FALSE)</f>
      </c>
    </row>
    <row r="148" spans="1:9">
      <c r="A148" s="2">
        <v>46192</v>
      </c>
      <c r="B148" t="s">
        <v>2</v>
      </c>
      <c r="C148" s="2">
        <v>46192</v>
      </c>
      <c r="D148" t="s">
        <v>131</v>
      </c>
      <c r="E148">
        <f>VLOOKUP(TablaObra5[[#This Row],[Equipo]],Catalogos!$I$4:$J$64,2,FALSE)</f>
      </c>
      <c r="F148" s="3">
        <v>20</v>
      </c>
      <c r="G148" s="4">
        <v>28.3</v>
      </c>
      <c r="H148" s="4">
        <f t="shared" si="2"/>
      </c>
      <c r="I148">
        <f>VLOOKUP(TablaObra5[[#This Row],[Obra]],Catalogos!$B$3:$C$10,2,FALSE)</f>
      </c>
    </row>
    <row r="149" spans="1:9">
      <c r="A149" s="2">
        <v>46192</v>
      </c>
      <c r="B149" t="s">
        <v>2</v>
      </c>
      <c r="C149" s="2">
        <v>46192</v>
      </c>
      <c r="D149" t="s">
        <v>218</v>
      </c>
      <c r="E149">
        <f>VLOOKUP(TablaObra5[[#This Row],[Equipo]],Catalogos!$I$4:$J$64,2,FALSE)</f>
      </c>
      <c r="F149" s="3">
        <v>60</v>
      </c>
      <c r="G149" s="4">
        <v>28.3</v>
      </c>
      <c r="H149" s="4">
        <f t="shared" si="2"/>
      </c>
      <c r="I149">
        <f>VLOOKUP(TablaObra5[[#This Row],[Obra]],Catalogos!$B$3:$C$10,2,FALSE)</f>
      </c>
    </row>
    <row r="150" spans="1:9">
      <c r="A150" s="2">
        <v>46192</v>
      </c>
      <c r="B150" t="s">
        <v>2</v>
      </c>
      <c r="C150" s="2">
        <v>46192</v>
      </c>
      <c r="D150" t="s">
        <v>114</v>
      </c>
      <c r="E150">
        <f>VLOOKUP(TablaObra5[[#This Row],[Equipo]],Catalogos!$I$4:$J$64,2,FALSE)</f>
      </c>
      <c r="F150" s="3">
        <v>80</v>
      </c>
      <c r="G150" s="4">
        <v>28.3</v>
      </c>
      <c r="H150" s="4">
        <f t="shared" si="2"/>
      </c>
      <c r="I150">
        <f>VLOOKUP(TablaObra5[[#This Row],[Obra]],Catalogos!$B$3:$C$10,2,FALSE)</f>
      </c>
    </row>
    <row r="151" spans="1:9">
      <c r="A151" s="2">
        <v>46192</v>
      </c>
      <c r="B151" t="s">
        <v>2</v>
      </c>
      <c r="C151" s="2">
        <v>46192</v>
      </c>
      <c r="D151" t="s">
        <v>108</v>
      </c>
      <c r="E151">
        <f>VLOOKUP(TablaObra5[[#This Row],[Equipo]],Catalogos!$I$4:$J$64,2,FALSE)</f>
      </c>
      <c r="F151" s="3">
        <v>40</v>
      </c>
      <c r="G151" s="4">
        <v>28.3</v>
      </c>
      <c r="H151" s="4">
        <f t="shared" si="2"/>
      </c>
      <c r="I151">
        <f>VLOOKUP(TablaObra5[[#This Row],[Obra]],Catalogos!$B$3:$C$10,2,FALSE)</f>
      </c>
    </row>
    <row r="152" spans="1:9">
      <c r="A152" s="2">
        <v>46192</v>
      </c>
      <c r="B152" t="s">
        <v>2</v>
      </c>
      <c r="C152" s="2">
        <v>46192</v>
      </c>
      <c r="D152" t="s">
        <v>58</v>
      </c>
      <c r="E152">
        <f>VLOOKUP(TablaObra5[[#This Row],[Equipo]],Catalogos!$I$4:$J$64,2,FALSE)</f>
      </c>
      <c r="F152" s="3">
        <v>80</v>
      </c>
      <c r="G152" s="4">
        <v>28.3</v>
      </c>
      <c r="H152" s="4">
        <f t="shared" si="2"/>
      </c>
      <c r="I152">
        <f>VLOOKUP(TablaObra5[[#This Row],[Obra]],Catalogos!$B$3:$C$10,2,FALSE)</f>
      </c>
    </row>
    <row r="153" spans="1:9">
      <c r="A153" s="2">
        <v>46192</v>
      </c>
      <c r="B153" t="s">
        <v>2</v>
      </c>
      <c r="C153" s="2">
        <v>46192</v>
      </c>
      <c r="D153" t="s">
        <v>62</v>
      </c>
      <c r="E153">
        <f>VLOOKUP(TablaObra5[[#This Row],[Equipo]],Catalogos!$I$4:$J$64,2,FALSE)</f>
      </c>
      <c r="F153" s="3">
        <v>50</v>
      </c>
      <c r="G153" s="4">
        <v>28.3</v>
      </c>
      <c r="H153" s="4">
        <f t="shared" si="2"/>
      </c>
      <c r="I153">
        <f>VLOOKUP(TablaObra5[[#This Row],[Obra]],Catalogos!$B$3:$C$10,2,FALSE)</f>
      </c>
    </row>
    <row r="154" spans="1:9">
      <c r="A154" s="2">
        <v>46192</v>
      </c>
      <c r="B154" t="s">
        <v>142</v>
      </c>
      <c r="D154" t="s">
        <v>58</v>
      </c>
      <c r="E154">
        <f>VLOOKUP(TablaObra5[[#This Row],[Equipo]],Catalogos!$I$4:$J$64,2,FALSE)</f>
      </c>
      <c r="F154" s="3">
        <v>60</v>
      </c>
      <c r="G154" s="4">
        <v>28.3</v>
      </c>
      <c r="H154" s="4">
        <f t="shared" si="2"/>
      </c>
      <c r="I154">
        <f>VLOOKUP(TablaObra5[[#This Row],[Obra]],Catalogos!$B$3:$C$10,2,FALSE)</f>
      </c>
    </row>
    <row r="155" spans="1:9">
      <c r="A155" s="2">
        <v>46192</v>
      </c>
      <c r="B155" t="s">
        <v>142</v>
      </c>
      <c r="D155" t="s">
        <v>58</v>
      </c>
      <c r="E155">
        <f>VLOOKUP(TablaObra5[[#This Row],[Equipo]],Catalogos!$I$4:$J$64,2,FALSE)</f>
      </c>
      <c r="F155" s="3">
        <v>50</v>
      </c>
      <c r="G155" s="4">
        <v>28.3</v>
      </c>
      <c r="H155" s="4">
        <f t="shared" si="2"/>
      </c>
      <c r="I155">
        <f>VLOOKUP(TablaObra5[[#This Row],[Obra]],Catalogos!$B$3:$C$10,2,FALSE)</f>
      </c>
    </row>
    <row r="156" spans="1:9">
      <c r="A156" s="2">
        <v>46194</v>
      </c>
      <c r="B156" t="s">
        <v>3</v>
      </c>
      <c r="C156" s="2">
        <v>46195</v>
      </c>
      <c r="D156" t="s">
        <v>273</v>
      </c>
      <c r="E156">
        <f>VLOOKUP(TablaObra5[[#This Row],[Equipo]],Catalogos!$I$4:$J$64,2,FALSE)</f>
      </c>
      <c r="F156" s="3">
        <v>240</v>
      </c>
      <c r="G156" s="4">
        <v>28.3</v>
      </c>
      <c r="H156" s="4">
        <f t="shared" si="2"/>
      </c>
      <c r="I156">
        <f>VLOOKUP(TablaObra5[[#This Row],[Obra]],Catalogos!$B$3:$C$10,2,FALSE)</f>
      </c>
    </row>
    <row r="157" spans="1:9">
      <c r="A157" s="2">
        <v>46194</v>
      </c>
      <c r="B157" t="s">
        <v>3</v>
      </c>
      <c r="C157" s="2">
        <v>46195</v>
      </c>
      <c r="D157" t="s">
        <v>275</v>
      </c>
      <c r="E157">
        <f>VLOOKUP(TablaObra5[[#This Row],[Equipo]],Catalogos!$I$4:$J$64,2,FALSE)</f>
      </c>
      <c r="F157" s="3">
        <v>20</v>
      </c>
      <c r="G157" s="4">
        <v>28.3</v>
      </c>
      <c r="H157" s="4">
        <f t="shared" si="2"/>
      </c>
      <c r="I157">
        <f>VLOOKUP(TablaObra5[[#This Row],[Obra]],Catalogos!$B$3:$C$10,2,FALSE)</f>
      </c>
    </row>
    <row r="158" spans="1:9">
      <c r="A158" s="2">
        <v>46194</v>
      </c>
      <c r="B158" t="s">
        <v>3</v>
      </c>
      <c r="C158" s="2">
        <v>46195</v>
      </c>
      <c r="D158" t="s">
        <v>268</v>
      </c>
      <c r="E158">
        <f>VLOOKUP(TablaObra5[[#This Row],[Equipo]],Catalogos!$I$4:$J$64,2,FALSE)</f>
      </c>
      <c r="F158" s="3">
        <v>30</v>
      </c>
      <c r="G158" s="4">
        <v>28.3</v>
      </c>
      <c r="H158" s="4">
        <f t="shared" si="2"/>
      </c>
      <c r="I158">
        <f>VLOOKUP(TablaObra5[[#This Row],[Obra]],Catalogos!$B$3:$C$10,2,FALSE)</f>
      </c>
    </row>
    <row r="159" spans="1:9">
      <c r="A159" s="2">
        <v>46194</v>
      </c>
      <c r="B159" t="s">
        <v>3</v>
      </c>
      <c r="C159" s="2">
        <v>46195</v>
      </c>
      <c r="D159" t="s">
        <v>269</v>
      </c>
      <c r="E159">
        <f>VLOOKUP(TablaObra5[[#This Row],[Equipo]],Catalogos!$I$4:$J$64,2,FALSE)</f>
      </c>
      <c r="F159" s="3">
        <v>80</v>
      </c>
      <c r="G159" s="4">
        <v>28.3</v>
      </c>
      <c r="H159" s="4">
        <f t="shared" si="2"/>
      </c>
      <c r="I159">
        <f>VLOOKUP(TablaObra5[[#This Row],[Obra]],Catalogos!$B$3:$C$10,2,FALSE)</f>
      </c>
    </row>
    <row r="160" spans="1:9">
      <c r="A160" s="2">
        <v>46194</v>
      </c>
      <c r="B160" t="s">
        <v>3</v>
      </c>
      <c r="C160" s="2">
        <v>46195</v>
      </c>
      <c r="D160" t="s">
        <v>294</v>
      </c>
      <c r="E160">
        <f>VLOOKUP(TablaObra5[[#This Row],[Equipo]],Catalogos!$I$4:$J$64,2,FALSE)</f>
      </c>
      <c r="F160" s="3">
        <v>40</v>
      </c>
      <c r="G160" s="4">
        <v>28.3</v>
      </c>
      <c r="H160" s="4">
        <f t="shared" si="2"/>
      </c>
      <c r="I160">
        <f>VLOOKUP(TablaObra5[[#This Row],[Obra]],Catalogos!$B$3:$C$10,2,FALSE)</f>
      </c>
    </row>
    <row r="161" spans="1:9">
      <c r="A161" s="2">
        <v>46194</v>
      </c>
      <c r="B161" t="s">
        <v>3</v>
      </c>
      <c r="C161" s="2">
        <v>46195</v>
      </c>
      <c r="D161" t="s">
        <v>281</v>
      </c>
      <c r="E161">
        <f>VLOOKUP(TablaObra5[[#This Row],[Equipo]],Catalogos!$I$4:$J$64,2,FALSE)</f>
      </c>
      <c r="F161" s="3">
        <v>24</v>
      </c>
      <c r="G161" s="4">
        <v>28.3</v>
      </c>
      <c r="H161" s="4">
        <f t="shared" si="2"/>
      </c>
      <c r="I161">
        <f>VLOOKUP(TablaObra5[[#This Row],[Obra]],Catalogos!$B$3:$C$10,2,FALSE)</f>
      </c>
    </row>
    <row r="162" spans="1:9">
      <c r="A162" s="2">
        <v>46194</v>
      </c>
      <c r="B162" t="s">
        <v>3</v>
      </c>
      <c r="C162" s="2">
        <v>46195</v>
      </c>
      <c r="D162" t="s">
        <v>289</v>
      </c>
      <c r="E162">
        <f>VLOOKUP(TablaObra5[[#This Row],[Equipo]],Catalogos!$I$4:$J$64,2,FALSE)</f>
      </c>
      <c r="F162" s="3">
        <v>60</v>
      </c>
      <c r="G162" s="4">
        <v>28.3</v>
      </c>
      <c r="H162" s="4">
        <f t="shared" si="2"/>
      </c>
      <c r="I162">
        <f>VLOOKUP(TablaObra5[[#This Row],[Obra]],Catalogos!$B$3:$C$10,2,FALSE)</f>
      </c>
    </row>
    <row r="163" spans="1:9">
      <c r="A163" s="2">
        <v>46194</v>
      </c>
      <c r="B163" t="s">
        <v>3</v>
      </c>
      <c r="C163" s="2">
        <v>46195</v>
      </c>
      <c r="D163" t="s">
        <v>283</v>
      </c>
      <c r="E163">
        <f>VLOOKUP(TablaObra5[[#This Row],[Equipo]],Catalogos!$I$4:$J$64,2,FALSE)</f>
      </c>
      <c r="F163" s="3">
        <v>24</v>
      </c>
      <c r="G163" s="4">
        <v>28.3</v>
      </c>
      <c r="H163" s="4">
        <f t="shared" si="2"/>
      </c>
      <c r="I163">
        <f>VLOOKUP(TablaObra5[[#This Row],[Obra]],Catalogos!$B$3:$C$10,2,FALSE)</f>
      </c>
    </row>
    <row r="164" spans="1:9">
      <c r="A164" s="2">
        <v>46194</v>
      </c>
      <c r="B164" t="s">
        <v>3</v>
      </c>
      <c r="C164" s="2">
        <v>46195</v>
      </c>
      <c r="D164" t="s">
        <v>292</v>
      </c>
      <c r="E164">
        <f>VLOOKUP(TablaObra5[[#This Row],[Equipo]],Catalogos!$I$4:$J$64,2,FALSE)</f>
      </c>
      <c r="F164" s="3">
        <v>60</v>
      </c>
      <c r="G164" s="4">
        <v>28.3</v>
      </c>
      <c r="H164" s="4">
        <f t="shared" si="2"/>
      </c>
      <c r="I164">
        <f>VLOOKUP(TablaObra5[[#This Row],[Obra]],Catalogos!$B$3:$C$10,2,FALSE)</f>
      </c>
    </row>
    <row r="165" spans="1:9">
      <c r="A165" s="2">
        <v>46194</v>
      </c>
      <c r="B165" t="s">
        <v>3</v>
      </c>
      <c r="C165" s="2">
        <v>46196</v>
      </c>
      <c r="D165" t="s">
        <v>273</v>
      </c>
      <c r="E165">
        <f>VLOOKUP(TablaObra5[[#This Row],[Equipo]],Catalogos!$I$4:$J$64,2,FALSE)</f>
      </c>
      <c r="F165" s="3">
        <v>240</v>
      </c>
      <c r="G165" s="4">
        <v>28.3</v>
      </c>
      <c r="H165" s="4">
        <f t="shared" si="2"/>
      </c>
      <c r="I165">
        <f>VLOOKUP(TablaObra5[[#This Row],[Obra]],Catalogos!$B$3:$C$10,2,FALSE)</f>
      </c>
    </row>
    <row r="166" spans="1:9">
      <c r="A166" s="2">
        <v>46194</v>
      </c>
      <c r="B166" t="s">
        <v>3</v>
      </c>
      <c r="C166" s="2">
        <v>46196</v>
      </c>
      <c r="D166" t="s">
        <v>275</v>
      </c>
      <c r="E166">
        <f>VLOOKUP(TablaObra5[[#This Row],[Equipo]],Catalogos!$I$4:$J$64,2,FALSE)</f>
      </c>
      <c r="F166" s="3">
        <v>20</v>
      </c>
      <c r="G166" s="4">
        <v>28.3</v>
      </c>
      <c r="H166" s="4">
        <f t="shared" si="2"/>
      </c>
      <c r="I166">
        <f>VLOOKUP(TablaObra5[[#This Row],[Obra]],Catalogos!$B$3:$C$10,2,FALSE)</f>
      </c>
    </row>
    <row r="167" spans="1:9">
      <c r="A167" s="2">
        <v>46194</v>
      </c>
      <c r="B167" t="s">
        <v>3</v>
      </c>
      <c r="C167" s="2">
        <v>46196</v>
      </c>
      <c r="D167" t="s">
        <v>268</v>
      </c>
      <c r="E167">
        <f>VLOOKUP(TablaObra5[[#This Row],[Equipo]],Catalogos!$I$4:$J$64,2,FALSE)</f>
      </c>
      <c r="F167" s="3">
        <v>30</v>
      </c>
      <c r="G167" s="4">
        <v>28.3</v>
      </c>
      <c r="H167" s="4">
        <f t="shared" si="2"/>
      </c>
      <c r="I167">
        <f>VLOOKUP(TablaObra5[[#This Row],[Obra]],Catalogos!$B$3:$C$10,2,FALSE)</f>
      </c>
    </row>
    <row r="168" spans="1:9">
      <c r="A168" s="2">
        <v>46194</v>
      </c>
      <c r="B168" t="s">
        <v>3</v>
      </c>
      <c r="C168" s="2">
        <v>46196</v>
      </c>
      <c r="D168" t="s">
        <v>269</v>
      </c>
      <c r="E168">
        <f>VLOOKUP(TablaObra5[[#This Row],[Equipo]],Catalogos!$I$4:$J$64,2,FALSE)</f>
      </c>
      <c r="F168" s="3">
        <v>80</v>
      </c>
      <c r="G168" s="4">
        <v>28.3</v>
      </c>
      <c r="H168" s="4">
        <f t="shared" si="2"/>
      </c>
      <c r="I168">
        <f>VLOOKUP(TablaObra5[[#This Row],[Obra]],Catalogos!$B$3:$C$10,2,FALSE)</f>
      </c>
    </row>
    <row r="169" spans="1:9">
      <c r="A169" s="2">
        <v>46194</v>
      </c>
      <c r="B169" t="s">
        <v>3</v>
      </c>
      <c r="C169" s="2">
        <v>46196</v>
      </c>
      <c r="D169" t="s">
        <v>294</v>
      </c>
      <c r="E169">
        <f>VLOOKUP(TablaObra5[[#This Row],[Equipo]],Catalogos!$I$4:$J$64,2,FALSE)</f>
      </c>
      <c r="F169" s="3">
        <v>40</v>
      </c>
      <c r="G169" s="4">
        <v>28.3</v>
      </c>
      <c r="H169" s="4">
        <f t="shared" si="2"/>
      </c>
      <c r="I169">
        <f>VLOOKUP(TablaObra5[[#This Row],[Obra]],Catalogos!$B$3:$C$10,2,FALSE)</f>
      </c>
    </row>
    <row r="170" spans="1:9">
      <c r="A170" s="2">
        <v>46194</v>
      </c>
      <c r="B170" t="s">
        <v>3</v>
      </c>
      <c r="C170" s="2">
        <v>46196</v>
      </c>
      <c r="D170" t="s">
        <v>281</v>
      </c>
      <c r="E170">
        <f>VLOOKUP(TablaObra5[[#This Row],[Equipo]],Catalogos!$I$4:$J$64,2,FALSE)</f>
      </c>
      <c r="F170" s="3">
        <v>24</v>
      </c>
      <c r="G170" s="4">
        <v>28.3</v>
      </c>
      <c r="H170" s="4">
        <f t="shared" si="2"/>
      </c>
      <c r="I170">
        <f>VLOOKUP(TablaObra5[[#This Row],[Obra]],Catalogos!$B$3:$C$10,2,FALSE)</f>
      </c>
    </row>
    <row r="171" spans="1:9">
      <c r="A171" s="2">
        <v>46194</v>
      </c>
      <c r="B171" t="s">
        <v>3</v>
      </c>
      <c r="C171" s="2">
        <v>46196</v>
      </c>
      <c r="D171" t="s">
        <v>289</v>
      </c>
      <c r="E171">
        <f>VLOOKUP(TablaObra5[[#This Row],[Equipo]],Catalogos!$I$4:$J$64,2,FALSE)</f>
      </c>
      <c r="F171" s="3">
        <v>60</v>
      </c>
      <c r="G171" s="4">
        <v>28.3</v>
      </c>
      <c r="H171" s="4">
        <f t="shared" si="2"/>
      </c>
      <c r="I171">
        <f>VLOOKUP(TablaObra5[[#This Row],[Obra]],Catalogos!$B$3:$C$10,2,FALSE)</f>
      </c>
    </row>
    <row r="172" spans="1:9">
      <c r="A172" s="2">
        <v>46194</v>
      </c>
      <c r="B172" t="s">
        <v>3</v>
      </c>
      <c r="C172" s="2">
        <v>46196</v>
      </c>
      <c r="D172" t="s">
        <v>283</v>
      </c>
      <c r="E172">
        <f>VLOOKUP(TablaObra5[[#This Row],[Equipo]],Catalogos!$I$4:$J$64,2,FALSE)</f>
      </c>
      <c r="F172" s="3">
        <v>24</v>
      </c>
      <c r="G172" s="4">
        <v>28.3</v>
      </c>
      <c r="H172" s="4">
        <f t="shared" si="2"/>
      </c>
      <c r="I172">
        <f>VLOOKUP(TablaObra5[[#This Row],[Obra]],Catalogos!$B$3:$C$10,2,FALSE)</f>
      </c>
    </row>
    <row r="173" spans="1:9">
      <c r="A173" s="2">
        <v>46194</v>
      </c>
      <c r="B173" t="s">
        <v>3</v>
      </c>
      <c r="C173" s="2">
        <v>46196</v>
      </c>
      <c r="D173" t="s">
        <v>292</v>
      </c>
      <c r="E173">
        <f>VLOOKUP(TablaObra5[[#This Row],[Equipo]],Catalogos!$I$4:$J$64,2,FALSE)</f>
      </c>
      <c r="F173" s="3">
        <v>60</v>
      </c>
      <c r="G173" s="4">
        <v>28.3</v>
      </c>
      <c r="H173" s="4">
        <f t="shared" si="2"/>
      </c>
      <c r="I173">
        <f>VLOOKUP(TablaObra5[[#This Row],[Obra]],Catalogos!$B$3:$C$10,2,FALSE)</f>
      </c>
    </row>
    <row r="174" spans="1:9">
      <c r="A174" s="2">
        <v>46194</v>
      </c>
      <c r="B174" t="s">
        <v>3</v>
      </c>
      <c r="C174" s="2">
        <v>46197</v>
      </c>
      <c r="D174" t="s">
        <v>273</v>
      </c>
      <c r="E174">
        <f>VLOOKUP(TablaObra5[[#This Row],[Equipo]],Catalogos!$I$4:$J$64,2,FALSE)</f>
      </c>
      <c r="F174" s="3">
        <v>240</v>
      </c>
      <c r="G174" s="4">
        <v>28.3</v>
      </c>
      <c r="H174" s="4">
        <f t="shared" si="2"/>
      </c>
      <c r="I174">
        <f>VLOOKUP(TablaObra5[[#This Row],[Obra]],Catalogos!$B$3:$C$10,2,FALSE)</f>
      </c>
    </row>
    <row r="175" spans="1:9">
      <c r="A175" s="2">
        <v>46194</v>
      </c>
      <c r="B175" t="s">
        <v>3</v>
      </c>
      <c r="C175" s="2">
        <v>46197</v>
      </c>
      <c r="D175" t="s">
        <v>275</v>
      </c>
      <c r="E175">
        <f>VLOOKUP(TablaObra5[[#This Row],[Equipo]],Catalogos!$I$4:$J$64,2,FALSE)</f>
      </c>
      <c r="F175" s="3">
        <v>20</v>
      </c>
      <c r="G175" s="4">
        <v>28.3</v>
      </c>
      <c r="H175" s="4">
        <f t="shared" si="2"/>
      </c>
      <c r="I175">
        <f>VLOOKUP(TablaObra5[[#This Row],[Obra]],Catalogos!$B$3:$C$10,2,FALSE)</f>
      </c>
    </row>
    <row r="176" spans="1:9">
      <c r="A176" s="2">
        <v>46194</v>
      </c>
      <c r="B176" t="s">
        <v>3</v>
      </c>
      <c r="C176" s="2">
        <v>46197</v>
      </c>
      <c r="D176" t="s">
        <v>268</v>
      </c>
      <c r="E176">
        <f>VLOOKUP(TablaObra5[[#This Row],[Equipo]],Catalogos!$I$4:$J$64,2,FALSE)</f>
      </c>
      <c r="F176" s="3">
        <v>30</v>
      </c>
      <c r="G176" s="4">
        <v>28.3</v>
      </c>
      <c r="H176" s="4">
        <f t="shared" si="2"/>
      </c>
      <c r="I176">
        <f>VLOOKUP(TablaObra5[[#This Row],[Obra]],Catalogos!$B$3:$C$10,2,FALSE)</f>
      </c>
    </row>
    <row r="177" spans="1:9">
      <c r="A177" s="2">
        <v>46194</v>
      </c>
      <c r="B177" t="s">
        <v>3</v>
      </c>
      <c r="C177" s="2">
        <v>46197</v>
      </c>
      <c r="D177" t="s">
        <v>269</v>
      </c>
      <c r="E177">
        <f>VLOOKUP(TablaObra5[[#This Row],[Equipo]],Catalogos!$I$4:$J$64,2,FALSE)</f>
      </c>
      <c r="F177" s="3">
        <v>80</v>
      </c>
      <c r="G177" s="4">
        <v>28.3</v>
      </c>
      <c r="H177" s="4">
        <f t="shared" si="2"/>
      </c>
      <c r="I177">
        <f>VLOOKUP(TablaObra5[[#This Row],[Obra]],Catalogos!$B$3:$C$10,2,FALSE)</f>
      </c>
    </row>
    <row r="178" spans="1:9">
      <c r="A178" s="2">
        <v>46194</v>
      </c>
      <c r="B178" t="s">
        <v>3</v>
      </c>
      <c r="C178" s="2">
        <v>46197</v>
      </c>
      <c r="D178" t="s">
        <v>294</v>
      </c>
      <c r="E178">
        <f>VLOOKUP(TablaObra5[[#This Row],[Equipo]],Catalogos!$I$4:$J$64,2,FALSE)</f>
      </c>
      <c r="F178" s="3">
        <v>40</v>
      </c>
      <c r="G178" s="4">
        <v>28.3</v>
      </c>
      <c r="H178" s="4">
        <f t="shared" si="2"/>
      </c>
      <c r="I178">
        <f>VLOOKUP(TablaObra5[[#This Row],[Obra]],Catalogos!$B$3:$C$10,2,FALSE)</f>
      </c>
    </row>
    <row r="179" spans="1:9">
      <c r="A179" s="2">
        <v>46194</v>
      </c>
      <c r="B179" t="s">
        <v>3</v>
      </c>
      <c r="C179" s="2">
        <v>46197</v>
      </c>
      <c r="D179" t="s">
        <v>281</v>
      </c>
      <c r="E179">
        <f>VLOOKUP(TablaObra5[[#This Row],[Equipo]],Catalogos!$I$4:$J$64,2,FALSE)</f>
      </c>
      <c r="F179" s="3">
        <v>24</v>
      </c>
      <c r="G179" s="4">
        <v>28.3</v>
      </c>
      <c r="H179" s="4">
        <f t="shared" si="2"/>
      </c>
      <c r="I179">
        <f>VLOOKUP(TablaObra5[[#This Row],[Obra]],Catalogos!$B$3:$C$10,2,FALSE)</f>
      </c>
    </row>
    <row r="180" spans="1:9">
      <c r="A180" s="2">
        <v>46194</v>
      </c>
      <c r="B180" t="s">
        <v>3</v>
      </c>
      <c r="C180" s="2">
        <v>46197</v>
      </c>
      <c r="D180" t="s">
        <v>289</v>
      </c>
      <c r="E180">
        <f>VLOOKUP(TablaObra5[[#This Row],[Equipo]],Catalogos!$I$4:$J$64,2,FALSE)</f>
      </c>
      <c r="F180" s="3">
        <v>60</v>
      </c>
      <c r="G180" s="4">
        <v>28.3</v>
      </c>
      <c r="H180" s="4">
        <f t="shared" si="2"/>
      </c>
      <c r="I180">
        <f>VLOOKUP(TablaObra5[[#This Row],[Obra]],Catalogos!$B$3:$C$10,2,FALSE)</f>
      </c>
    </row>
    <row r="181" spans="1:9">
      <c r="A181" s="2">
        <v>46194</v>
      </c>
      <c r="B181" t="s">
        <v>3</v>
      </c>
      <c r="C181" s="2">
        <v>46197</v>
      </c>
      <c r="D181" t="s">
        <v>283</v>
      </c>
      <c r="E181">
        <f>VLOOKUP(TablaObra5[[#This Row],[Equipo]],Catalogos!$I$4:$J$64,2,FALSE)</f>
      </c>
      <c r="F181" s="3">
        <v>24</v>
      </c>
      <c r="G181" s="4">
        <v>28.3</v>
      </c>
      <c r="H181" s="4">
        <f t="shared" si="2"/>
      </c>
      <c r="I181">
        <f>VLOOKUP(TablaObra5[[#This Row],[Obra]],Catalogos!$B$3:$C$10,2,FALSE)</f>
      </c>
    </row>
    <row r="182" spans="1:9">
      <c r="A182" s="2">
        <v>46194</v>
      </c>
      <c r="B182" t="s">
        <v>3</v>
      </c>
      <c r="C182" s="2">
        <v>46197</v>
      </c>
      <c r="D182" t="s">
        <v>292</v>
      </c>
      <c r="E182">
        <f>VLOOKUP(TablaObra5[[#This Row],[Equipo]],Catalogos!$I$4:$J$64,2,FALSE)</f>
      </c>
      <c r="F182" s="3">
        <v>60</v>
      </c>
      <c r="G182" s="4">
        <v>28.3</v>
      </c>
      <c r="H182" s="4">
        <f t="shared" si="2"/>
      </c>
      <c r="I182">
        <f>VLOOKUP(TablaObra5[[#This Row],[Obra]],Catalogos!$B$3:$C$10,2,FALSE)</f>
      </c>
    </row>
    <row r="183" spans="1:9">
      <c r="A183" s="2">
        <v>46194</v>
      </c>
      <c r="B183" t="s">
        <v>3</v>
      </c>
      <c r="C183" s="2">
        <v>46198</v>
      </c>
      <c r="D183" t="s">
        <v>273</v>
      </c>
      <c r="E183">
        <f>VLOOKUP(TablaObra5[[#This Row],[Equipo]],Catalogos!$I$4:$J$64,2,FALSE)</f>
      </c>
      <c r="F183" s="3">
        <v>240</v>
      </c>
      <c r="G183" s="4">
        <v>28.3</v>
      </c>
      <c r="H183" s="4">
        <f t="shared" si="2"/>
      </c>
      <c r="I183">
        <f>VLOOKUP(TablaObra5[[#This Row],[Obra]],Catalogos!$B$3:$C$10,2,FALSE)</f>
      </c>
    </row>
    <row r="184" spans="1:9">
      <c r="A184" s="2">
        <v>46194</v>
      </c>
      <c r="B184" t="s">
        <v>3</v>
      </c>
      <c r="C184" s="2">
        <v>46198</v>
      </c>
      <c r="D184" t="s">
        <v>275</v>
      </c>
      <c r="E184">
        <f>VLOOKUP(TablaObra5[[#This Row],[Equipo]],Catalogos!$I$4:$J$64,2,FALSE)</f>
      </c>
      <c r="F184" s="3">
        <v>20</v>
      </c>
      <c r="G184" s="4">
        <v>28.3</v>
      </c>
      <c r="H184" s="4">
        <f t="shared" si="2"/>
      </c>
      <c r="I184">
        <f>VLOOKUP(TablaObra5[[#This Row],[Obra]],Catalogos!$B$3:$C$10,2,FALSE)</f>
      </c>
    </row>
    <row r="185" spans="1:9">
      <c r="A185" s="2">
        <v>46194</v>
      </c>
      <c r="B185" t="s">
        <v>3</v>
      </c>
      <c r="C185" s="2">
        <v>46198</v>
      </c>
      <c r="D185" t="s">
        <v>268</v>
      </c>
      <c r="E185">
        <f>VLOOKUP(TablaObra5[[#This Row],[Equipo]],Catalogos!$I$4:$J$64,2,FALSE)</f>
      </c>
      <c r="F185" s="3">
        <v>30</v>
      </c>
      <c r="G185" s="4">
        <v>28.3</v>
      </c>
      <c r="H185" s="4">
        <f t="shared" si="2"/>
      </c>
      <c r="I185">
        <f>VLOOKUP(TablaObra5[[#This Row],[Obra]],Catalogos!$B$3:$C$10,2,FALSE)</f>
      </c>
    </row>
    <row r="186" spans="1:9">
      <c r="A186" s="2">
        <v>46194</v>
      </c>
      <c r="B186" t="s">
        <v>3</v>
      </c>
      <c r="C186" s="2">
        <v>46198</v>
      </c>
      <c r="D186" t="s">
        <v>269</v>
      </c>
      <c r="E186">
        <f>VLOOKUP(TablaObra5[[#This Row],[Equipo]],Catalogos!$I$4:$J$64,2,FALSE)</f>
      </c>
      <c r="F186" s="3">
        <v>80</v>
      </c>
      <c r="G186" s="4">
        <v>28.3</v>
      </c>
      <c r="H186" s="4">
        <f t="shared" si="2"/>
      </c>
      <c r="I186">
        <f>VLOOKUP(TablaObra5[[#This Row],[Obra]],Catalogos!$B$3:$C$10,2,FALSE)</f>
      </c>
    </row>
    <row r="187" spans="1:9">
      <c r="A187" s="2">
        <v>46194</v>
      </c>
      <c r="B187" t="s">
        <v>3</v>
      </c>
      <c r="C187" s="2">
        <v>46198</v>
      </c>
      <c r="D187" t="s">
        <v>294</v>
      </c>
      <c r="E187">
        <f>VLOOKUP(TablaObra5[[#This Row],[Equipo]],Catalogos!$I$4:$J$64,2,FALSE)</f>
      </c>
      <c r="F187" s="3">
        <v>40</v>
      </c>
      <c r="G187" s="4">
        <v>28.3</v>
      </c>
      <c r="H187" s="4">
        <f t="shared" si="2"/>
      </c>
      <c r="I187">
        <f>VLOOKUP(TablaObra5[[#This Row],[Obra]],Catalogos!$B$3:$C$10,2,FALSE)</f>
      </c>
    </row>
    <row r="188" spans="1:9">
      <c r="A188" s="2">
        <v>46194</v>
      </c>
      <c r="B188" t="s">
        <v>3</v>
      </c>
      <c r="C188" s="2">
        <v>46198</v>
      </c>
      <c r="D188" t="s">
        <v>281</v>
      </c>
      <c r="E188">
        <f>VLOOKUP(TablaObra5[[#This Row],[Equipo]],Catalogos!$I$4:$J$64,2,FALSE)</f>
      </c>
      <c r="F188" s="3">
        <v>24</v>
      </c>
      <c r="G188" s="4">
        <v>28.3</v>
      </c>
      <c r="H188" s="4">
        <f t="shared" si="2"/>
      </c>
      <c r="I188">
        <f>VLOOKUP(TablaObra5[[#This Row],[Obra]],Catalogos!$B$3:$C$10,2,FALSE)</f>
      </c>
    </row>
    <row r="189" spans="1:9">
      <c r="A189" s="2">
        <v>46194</v>
      </c>
      <c r="B189" t="s">
        <v>3</v>
      </c>
      <c r="C189" s="2">
        <v>46198</v>
      </c>
      <c r="D189" t="s">
        <v>289</v>
      </c>
      <c r="E189">
        <f>VLOOKUP(TablaObra5[[#This Row],[Equipo]],Catalogos!$I$4:$J$64,2,FALSE)</f>
      </c>
      <c r="F189" s="3">
        <v>60</v>
      </c>
      <c r="G189" s="4">
        <v>28.3</v>
      </c>
      <c r="H189" s="4">
        <f t="shared" si="2"/>
      </c>
      <c r="I189">
        <f>VLOOKUP(TablaObra5[[#This Row],[Obra]],Catalogos!$B$3:$C$10,2,FALSE)</f>
      </c>
    </row>
    <row r="190" spans="1:9">
      <c r="A190" s="2">
        <v>46194</v>
      </c>
      <c r="B190" t="s">
        <v>3</v>
      </c>
      <c r="C190" s="2">
        <v>46198</v>
      </c>
      <c r="D190" t="s">
        <v>283</v>
      </c>
      <c r="E190">
        <f>VLOOKUP(TablaObra5[[#This Row],[Equipo]],Catalogos!$I$4:$J$64,2,FALSE)</f>
      </c>
      <c r="F190" s="3">
        <v>24</v>
      </c>
      <c r="G190" s="4">
        <v>28.3</v>
      </c>
      <c r="H190" s="4">
        <f t="shared" si="2"/>
      </c>
      <c r="I190">
        <f>VLOOKUP(TablaObra5[[#This Row],[Obra]],Catalogos!$B$3:$C$10,2,FALSE)</f>
      </c>
    </row>
    <row r="191" spans="1:9">
      <c r="A191" s="2">
        <v>46194</v>
      </c>
      <c r="B191" t="s">
        <v>3</v>
      </c>
      <c r="C191" s="2">
        <v>46198</v>
      </c>
      <c r="D191" t="s">
        <v>292</v>
      </c>
      <c r="E191">
        <f>VLOOKUP(TablaObra5[[#This Row],[Equipo]],Catalogos!$I$4:$J$64,2,FALSE)</f>
      </c>
      <c r="F191" s="3">
        <v>60</v>
      </c>
      <c r="G191" s="4">
        <v>28.3</v>
      </c>
      <c r="H191" s="4">
        <f t="shared" si="2"/>
      </c>
      <c r="I191">
        <f>VLOOKUP(TablaObra5[[#This Row],[Obra]],Catalogos!$B$3:$C$10,2,FALSE)</f>
      </c>
    </row>
    <row r="192" spans="1:9">
      <c r="A192" s="2">
        <v>46194</v>
      </c>
      <c r="B192" t="s">
        <v>3</v>
      </c>
      <c r="C192" s="2">
        <v>46199</v>
      </c>
      <c r="D192" t="s">
        <v>273</v>
      </c>
      <c r="E192">
        <f>VLOOKUP(TablaObra5[[#This Row],[Equipo]],Catalogos!$I$4:$J$64,2,FALSE)</f>
      </c>
      <c r="F192" s="3">
        <v>240</v>
      </c>
      <c r="G192" s="4">
        <v>28.3</v>
      </c>
      <c r="H192" s="4">
        <f t="shared" si="2"/>
      </c>
      <c r="I192">
        <f>VLOOKUP(TablaObra5[[#This Row],[Obra]],Catalogos!$B$3:$C$10,2,FALSE)</f>
      </c>
    </row>
    <row r="193" spans="1:9">
      <c r="A193" s="2">
        <v>46194</v>
      </c>
      <c r="B193" t="s">
        <v>3</v>
      </c>
      <c r="C193" s="2">
        <v>46199</v>
      </c>
      <c r="D193" t="s">
        <v>275</v>
      </c>
      <c r="E193">
        <f>VLOOKUP(TablaObra5[[#This Row],[Equipo]],Catalogos!$I$4:$J$64,2,FALSE)</f>
      </c>
      <c r="F193" s="3">
        <v>20</v>
      </c>
      <c r="G193" s="4">
        <v>28.3</v>
      </c>
      <c r="H193" s="4">
        <f t="shared" si="2"/>
      </c>
      <c r="I193">
        <f>VLOOKUP(TablaObra5[[#This Row],[Obra]],Catalogos!$B$3:$C$10,2,FALSE)</f>
      </c>
    </row>
    <row r="194" spans="1:9">
      <c r="A194" s="2">
        <v>46194</v>
      </c>
      <c r="B194" t="s">
        <v>3</v>
      </c>
      <c r="C194" s="2">
        <v>46199</v>
      </c>
      <c r="D194" t="s">
        <v>268</v>
      </c>
      <c r="E194">
        <f>VLOOKUP(TablaObra5[[#This Row],[Equipo]],Catalogos!$I$4:$J$64,2,FALSE)</f>
      </c>
      <c r="F194" s="3">
        <v>30</v>
      </c>
      <c r="G194" s="4">
        <v>28.3</v>
      </c>
      <c r="H194" s="4">
        <f t="shared" si="2"/>
      </c>
      <c r="I194">
        <f>VLOOKUP(TablaObra5[[#This Row],[Obra]],Catalogos!$B$3:$C$10,2,FALSE)</f>
      </c>
    </row>
    <row r="195" spans="1:9">
      <c r="A195" s="2">
        <v>46194</v>
      </c>
      <c r="B195" t="s">
        <v>3</v>
      </c>
      <c r="C195" s="2">
        <v>46199</v>
      </c>
      <c r="D195" t="s">
        <v>269</v>
      </c>
      <c r="E195">
        <f>VLOOKUP(TablaObra5[[#This Row],[Equipo]],Catalogos!$I$4:$J$64,2,FALSE)</f>
      </c>
      <c r="F195" s="3">
        <v>80</v>
      </c>
      <c r="G195" s="4">
        <v>28.3</v>
      </c>
      <c r="H195" s="4">
        <f t="shared" si="2"/>
      </c>
      <c r="I195">
        <f>VLOOKUP(TablaObra5[[#This Row],[Obra]],Catalogos!$B$3:$C$10,2,FALSE)</f>
      </c>
    </row>
    <row r="196" spans="1:9">
      <c r="A196" s="2">
        <v>46194</v>
      </c>
      <c r="B196" t="s">
        <v>3</v>
      </c>
      <c r="C196" s="2">
        <v>46199</v>
      </c>
      <c r="D196" t="s">
        <v>294</v>
      </c>
      <c r="E196">
        <f>VLOOKUP(TablaObra5[[#This Row],[Equipo]],Catalogos!$I$4:$J$64,2,FALSE)</f>
      </c>
      <c r="F196" s="3">
        <v>40</v>
      </c>
      <c r="G196" s="4">
        <v>28.3</v>
      </c>
      <c r="H196" s="4">
        <f t="shared" si="2"/>
      </c>
      <c r="I196">
        <f>VLOOKUP(TablaObra5[[#This Row],[Obra]],Catalogos!$B$3:$C$10,2,FALSE)</f>
      </c>
    </row>
    <row r="197" spans="1:9">
      <c r="A197" s="2">
        <v>46194</v>
      </c>
      <c r="B197" t="s">
        <v>3</v>
      </c>
      <c r="C197" s="2">
        <v>46199</v>
      </c>
      <c r="D197" t="s">
        <v>281</v>
      </c>
      <c r="E197">
        <f>VLOOKUP(TablaObra5[[#This Row],[Equipo]],Catalogos!$I$4:$J$64,2,FALSE)</f>
      </c>
      <c r="F197" s="3">
        <v>24</v>
      </c>
      <c r="G197" s="4">
        <v>28.3</v>
      </c>
      <c r="H197" s="4">
        <f t="shared" si="2"/>
      </c>
      <c r="I197">
        <f>VLOOKUP(TablaObra5[[#This Row],[Obra]],Catalogos!$B$3:$C$10,2,FALSE)</f>
      </c>
    </row>
    <row r="198" spans="1:9">
      <c r="A198" s="2">
        <v>46194</v>
      </c>
      <c r="B198" t="s">
        <v>3</v>
      </c>
      <c r="C198" s="2">
        <v>46199</v>
      </c>
      <c r="D198" t="s">
        <v>289</v>
      </c>
      <c r="E198">
        <f>VLOOKUP(TablaObra5[[#This Row],[Equipo]],Catalogos!$I$4:$J$64,2,FALSE)</f>
      </c>
      <c r="F198" s="3">
        <v>60</v>
      </c>
      <c r="G198" s="4">
        <v>28.3</v>
      </c>
      <c r="H198" s="4">
        <f t="shared" si="2"/>
      </c>
      <c r="I198">
        <f>VLOOKUP(TablaObra5[[#This Row],[Obra]],Catalogos!$B$3:$C$10,2,FALSE)</f>
      </c>
    </row>
    <row r="199" spans="1:9">
      <c r="A199" s="2">
        <v>46194</v>
      </c>
      <c r="B199" t="s">
        <v>3</v>
      </c>
      <c r="C199" s="2">
        <v>46199</v>
      </c>
      <c r="D199" t="s">
        <v>283</v>
      </c>
      <c r="E199">
        <f>VLOOKUP(TablaObra5[[#This Row],[Equipo]],Catalogos!$I$4:$J$64,2,FALSE)</f>
      </c>
      <c r="F199" s="3">
        <v>24</v>
      </c>
      <c r="G199" s="4">
        <v>28.3</v>
      </c>
      <c r="H199" s="4">
        <f t="shared" ref="H199:H262" si="3">IFERROR(F199*G199,0)</f>
      </c>
      <c r="I199">
        <f>VLOOKUP(TablaObra5[[#This Row],[Obra]],Catalogos!$B$3:$C$10,2,FALSE)</f>
      </c>
    </row>
    <row r="200" spans="1:9">
      <c r="A200" s="2">
        <v>46194</v>
      </c>
      <c r="B200" t="s">
        <v>3</v>
      </c>
      <c r="C200" s="2">
        <v>46199</v>
      </c>
      <c r="D200" t="s">
        <v>292</v>
      </c>
      <c r="E200">
        <f>VLOOKUP(TablaObra5[[#This Row],[Equipo]],Catalogos!$I$4:$J$64,2,FALSE)</f>
      </c>
      <c r="F200" s="3">
        <v>60</v>
      </c>
      <c r="G200" s="4">
        <v>28.3</v>
      </c>
      <c r="H200" s="4">
        <f t="shared" si="3"/>
      </c>
      <c r="I200">
        <f>VLOOKUP(TablaObra5[[#This Row],[Obra]],Catalogos!$B$3:$C$10,2,FALSE)</f>
      </c>
    </row>
    <row r="201" spans="1:9">
      <c r="A201" s="2">
        <v>46194</v>
      </c>
      <c r="B201" t="s">
        <v>155</v>
      </c>
      <c r="C201" s="2">
        <v>46195</v>
      </c>
      <c r="D201" t="s">
        <v>298</v>
      </c>
      <c r="E201">
        <f>VLOOKUP(TablaObra5[[#This Row],[Equipo]],Catalogos!$I$4:$J$64,2,FALSE)</f>
      </c>
      <c r="F201" s="3">
        <v>300</v>
      </c>
      <c r="G201" s="4">
        <v>28.3</v>
      </c>
      <c r="H201" s="4">
        <f t="shared" si="3"/>
      </c>
      <c r="I201">
        <f>VLOOKUP(TablaObra5[[#This Row],[Obra]],Catalogos!$B$3:$C$10,2,FALSE)</f>
      </c>
    </row>
    <row r="202" spans="1:9">
      <c r="A202" s="2">
        <v>46194</v>
      </c>
      <c r="B202" t="s">
        <v>155</v>
      </c>
      <c r="C202" s="2">
        <v>46195</v>
      </c>
      <c r="D202" t="s">
        <v>267</v>
      </c>
      <c r="E202">
        <f>VLOOKUP(TablaObra5[[#This Row],[Equipo]],Catalogos!$I$4:$J$64,2,FALSE)</f>
      </c>
      <c r="F202" s="3">
        <v>100</v>
      </c>
      <c r="G202" s="4">
        <v>28.3</v>
      </c>
      <c r="H202" s="4">
        <f t="shared" si="3"/>
      </c>
      <c r="I202">
        <f>VLOOKUP(TablaObra5[[#This Row],[Obra]],Catalogos!$B$3:$C$10,2,FALSE)</f>
      </c>
    </row>
    <row r="203" spans="1:9">
      <c r="A203" s="2">
        <v>46194</v>
      </c>
      <c r="B203" t="s">
        <v>155</v>
      </c>
      <c r="C203" s="2">
        <v>46195</v>
      </c>
      <c r="D203" t="s">
        <v>306</v>
      </c>
      <c r="E203">
        <f>VLOOKUP(TablaObra5[[#This Row],[Equipo]],Catalogos!$I$4:$J$64,2,FALSE)</f>
      </c>
      <c r="F203" s="3">
        <v>100</v>
      </c>
      <c r="G203" s="4">
        <v>28.3</v>
      </c>
      <c r="H203" s="4">
        <f t="shared" si="3"/>
      </c>
      <c r="I203">
        <f>VLOOKUP(TablaObra5[[#This Row],[Obra]],Catalogos!$B$3:$C$10,2,FALSE)</f>
      </c>
    </row>
    <row r="204" spans="1:9">
      <c r="A204" s="2">
        <v>46194</v>
      </c>
      <c r="B204" t="s">
        <v>155</v>
      </c>
      <c r="C204" s="2">
        <v>46195</v>
      </c>
      <c r="D204" t="s">
        <v>299</v>
      </c>
      <c r="E204">
        <f>VLOOKUP(TablaObra5[[#This Row],[Equipo]],Catalogos!$I$4:$J$64,2,FALSE)</f>
      </c>
      <c r="F204" s="3">
        <v>100</v>
      </c>
      <c r="G204" s="4">
        <v>28.3</v>
      </c>
      <c r="H204" s="4">
        <f t="shared" si="3"/>
      </c>
      <c r="I204">
        <f>VLOOKUP(TablaObra5[[#This Row],[Obra]],Catalogos!$B$3:$C$10,2,FALSE)</f>
      </c>
    </row>
    <row r="205" spans="1:9">
      <c r="A205" s="2">
        <v>46194</v>
      </c>
      <c r="B205" t="s">
        <v>155</v>
      </c>
      <c r="C205" s="2">
        <v>46196</v>
      </c>
      <c r="D205" t="s">
        <v>298</v>
      </c>
      <c r="E205">
        <f>VLOOKUP(TablaObra5[[#This Row],[Equipo]],Catalogos!$I$4:$J$64,2,FALSE)</f>
      </c>
      <c r="F205" s="3">
        <v>300</v>
      </c>
      <c r="G205" s="4">
        <v>28.3</v>
      </c>
      <c r="H205" s="4">
        <f t="shared" ref="H205:H208" si="4">IFERROR(F205*G205,0)</f>
      </c>
      <c r="I205">
        <f>VLOOKUP(TablaObra5[[#This Row],[Obra]],Catalogos!$B$3:$C$10,2,FALSE)</f>
      </c>
    </row>
    <row r="206" spans="1:9">
      <c r="A206" s="2">
        <v>46194</v>
      </c>
      <c r="B206" t="s">
        <v>155</v>
      </c>
      <c r="C206" s="2">
        <v>46196</v>
      </c>
      <c r="D206" t="s">
        <v>267</v>
      </c>
      <c r="E206">
        <f>VLOOKUP(TablaObra5[[#This Row],[Equipo]],Catalogos!$I$4:$J$64,2,FALSE)</f>
      </c>
      <c r="F206" s="3">
        <v>100</v>
      </c>
      <c r="G206" s="4">
        <v>28.3</v>
      </c>
      <c r="H206" s="4">
        <f t="shared" si="4"/>
      </c>
      <c r="I206">
        <f>VLOOKUP(TablaObra5[[#This Row],[Obra]],Catalogos!$B$3:$C$10,2,FALSE)</f>
      </c>
    </row>
    <row r="207" spans="1:9">
      <c r="A207" s="2">
        <v>46194</v>
      </c>
      <c r="B207" t="s">
        <v>155</v>
      </c>
      <c r="C207" s="2">
        <v>46197</v>
      </c>
      <c r="D207" t="s">
        <v>298</v>
      </c>
      <c r="E207">
        <f>VLOOKUP(TablaObra5[[#This Row],[Equipo]],Catalogos!$I$4:$J$64,2,FALSE)</f>
      </c>
      <c r="F207" s="3">
        <v>300</v>
      </c>
      <c r="G207" s="4">
        <v>28.3</v>
      </c>
      <c r="H207" s="4">
        <f t="shared" si="4"/>
      </c>
      <c r="I207">
        <f>VLOOKUP(TablaObra5[[#This Row],[Obra]],Catalogos!$B$3:$C$10,2,FALSE)</f>
      </c>
    </row>
    <row r="208" spans="1:9">
      <c r="A208" s="2">
        <v>46194</v>
      </c>
      <c r="B208" t="s">
        <v>155</v>
      </c>
      <c r="C208" s="2">
        <v>46197</v>
      </c>
      <c r="D208" t="s">
        <v>267</v>
      </c>
      <c r="E208">
        <f>VLOOKUP(TablaObra5[[#This Row],[Equipo]],Catalogos!$I$4:$J$64,2,FALSE)</f>
      </c>
      <c r="F208" s="3">
        <v>100</v>
      </c>
      <c r="G208" s="4">
        <v>28.3</v>
      </c>
      <c r="H208" s="4">
        <f t="shared" si="4"/>
      </c>
      <c r="I208">
        <f>VLOOKUP(TablaObra5[[#This Row],[Obra]],Catalogos!$B$3:$C$10,2,FALSE)</f>
      </c>
    </row>
    <row r="209" spans="1:9">
      <c r="A209" s="2">
        <v>46194</v>
      </c>
      <c r="B209" t="s">
        <v>155</v>
      </c>
      <c r="C209" s="2">
        <v>46197</v>
      </c>
      <c r="D209" t="s">
        <v>299</v>
      </c>
      <c r="E209">
        <f>VLOOKUP(TablaObra5[[#This Row],[Equipo]],Catalogos!$I$4:$J$64,2,FALSE)</f>
      </c>
      <c r="F209" s="3">
        <v>100</v>
      </c>
      <c r="G209" s="4">
        <v>28.3</v>
      </c>
      <c r="H209" s="4">
        <f t="shared" si="3"/>
      </c>
      <c r="I209">
        <f>VLOOKUP(TablaObra5[[#This Row],[Obra]],Catalogos!$B$3:$C$10,2,FALSE)</f>
      </c>
    </row>
    <row r="210" spans="1:9">
      <c r="A210" s="2">
        <v>46194</v>
      </c>
      <c r="B210" t="s">
        <v>155</v>
      </c>
      <c r="C210" s="2">
        <v>46198</v>
      </c>
      <c r="D210" t="s">
        <v>298</v>
      </c>
      <c r="E210">
        <f>VLOOKUP(TablaObra5[[#This Row],[Equipo]],Catalogos!$I$4:$J$64,2,FALSE)</f>
      </c>
      <c r="F210" s="3">
        <v>300</v>
      </c>
      <c r="G210" s="4">
        <v>28.3</v>
      </c>
      <c r="H210" s="4">
        <f t="shared" si="3"/>
      </c>
      <c r="I210">
        <f>VLOOKUP(TablaObra5[[#This Row],[Obra]],Catalogos!$B$3:$C$10,2,FALSE)</f>
      </c>
    </row>
    <row r="211" spans="1:9">
      <c r="A211" s="2">
        <v>46194</v>
      </c>
      <c r="B211" t="s">
        <v>155</v>
      </c>
      <c r="C211" s="2">
        <v>46198</v>
      </c>
      <c r="D211" t="s">
        <v>267</v>
      </c>
      <c r="E211">
        <f>VLOOKUP(TablaObra5[[#This Row],[Equipo]],Catalogos!$I$4:$J$64,2,FALSE)</f>
      </c>
      <c r="F211" s="3">
        <v>100</v>
      </c>
      <c r="G211" s="4">
        <v>28.3</v>
      </c>
      <c r="H211" s="4">
        <f t="shared" si="3"/>
      </c>
      <c r="I211">
        <f>VLOOKUP(TablaObra5[[#This Row],[Obra]],Catalogos!$B$3:$C$10,2,FALSE)</f>
      </c>
    </row>
    <row r="212" spans="1:9">
      <c r="A212" s="2">
        <v>46194</v>
      </c>
      <c r="B212" t="s">
        <v>155</v>
      </c>
      <c r="C212" s="2">
        <v>46198</v>
      </c>
      <c r="D212" t="s">
        <v>306</v>
      </c>
      <c r="E212">
        <f>VLOOKUP(TablaObra5[[#This Row],[Equipo]],Catalogos!$I$4:$J$64,2,FALSE)</f>
      </c>
      <c r="F212" s="3">
        <v>100</v>
      </c>
      <c r="G212" s="4">
        <v>28.3</v>
      </c>
      <c r="H212" s="4">
        <f t="shared" si="3"/>
      </c>
      <c r="I212">
        <f>VLOOKUP(TablaObra5[[#This Row],[Obra]],Catalogos!$B$3:$C$10,2,FALSE)</f>
      </c>
    </row>
    <row r="213" spans="1:9">
      <c r="A213" s="2">
        <v>46194</v>
      </c>
      <c r="B213" t="s">
        <v>155</v>
      </c>
      <c r="C213" s="2">
        <v>46199</v>
      </c>
      <c r="D213" t="s">
        <v>298</v>
      </c>
      <c r="E213">
        <f>VLOOKUP(TablaObra5[[#This Row],[Equipo]],Catalogos!$I$4:$J$64,2,FALSE)</f>
      </c>
      <c r="F213" s="3">
        <v>300</v>
      </c>
      <c r="G213" s="4">
        <v>28.3</v>
      </c>
      <c r="H213" s="4">
        <f t="shared" si="3"/>
      </c>
      <c r="I213">
        <f>VLOOKUP(TablaObra5[[#This Row],[Obra]],Catalogos!$B$3:$C$10,2,FALSE)</f>
      </c>
    </row>
    <row r="214" spans="1:9">
      <c r="A214" s="2">
        <v>46194</v>
      </c>
      <c r="B214" t="s">
        <v>155</v>
      </c>
      <c r="C214" s="2">
        <v>46199</v>
      </c>
      <c r="D214" t="s">
        <v>267</v>
      </c>
      <c r="E214">
        <f>VLOOKUP(TablaObra5[[#This Row],[Equipo]],Catalogos!$I$4:$J$64,2,FALSE)</f>
      </c>
      <c r="F214" s="3">
        <v>100</v>
      </c>
      <c r="G214" s="4">
        <v>28.3</v>
      </c>
      <c r="H214" s="4">
        <f t="shared" si="3"/>
      </c>
      <c r="I214">
        <f>VLOOKUP(TablaObra5[[#This Row],[Obra]],Catalogos!$B$3:$C$10,2,FALSE)</f>
      </c>
    </row>
    <row r="215" spans="1:9">
      <c r="A215" s="2">
        <v>46194</v>
      </c>
      <c r="B215" t="s">
        <v>155</v>
      </c>
      <c r="C215" s="2">
        <v>46199</v>
      </c>
      <c r="D215" t="s">
        <v>299</v>
      </c>
      <c r="E215">
        <f>VLOOKUP(TablaObra5[[#This Row],[Equipo]],Catalogos!$I$4:$J$64,2,FALSE)</f>
      </c>
      <c r="F215" s="3">
        <v>100</v>
      </c>
      <c r="G215" s="4">
        <v>28.3</v>
      </c>
      <c r="H215" s="4">
        <f t="shared" si="3"/>
      </c>
      <c r="I215">
        <f>VLOOKUP(TablaObra5[[#This Row],[Obra]],Catalogos!$B$3:$C$10,2,FALSE)</f>
      </c>
    </row>
    <row r="216" spans="1:9">
      <c r="A216" s="2">
        <v>46194</v>
      </c>
      <c r="B216" t="s">
        <v>155</v>
      </c>
      <c r="C216" s="2">
        <v>46200</v>
      </c>
      <c r="D216" t="s">
        <v>267</v>
      </c>
      <c r="E216">
        <f>VLOOKUP(TablaObra5[[#This Row],[Equipo]],Catalogos!$I$4:$J$64,2,FALSE)</f>
      </c>
      <c r="F216" s="3">
        <v>100</v>
      </c>
      <c r="G216" s="4">
        <v>28.3</v>
      </c>
      <c r="H216" s="4">
        <f t="shared" si="3"/>
      </c>
      <c r="I216">
        <f>VLOOKUP(TablaObra5[[#This Row],[Obra]],Catalogos!$B$3:$C$10,2,FALSE)</f>
      </c>
    </row>
    <row r="217" spans="1:9">
      <c r="A217" s="2">
        <v>46194</v>
      </c>
      <c r="B217" t="s">
        <v>2</v>
      </c>
      <c r="C217" s="2">
        <v>46195</v>
      </c>
      <c r="D217" t="s">
        <v>273</v>
      </c>
      <c r="E217">
        <f>VLOOKUP(TablaObra5[[#This Row],[Equipo]],Catalogos!$I$4:$J$64,2,FALSE)</f>
      </c>
      <c r="F217" s="3">
        <v>250</v>
      </c>
      <c r="G217" s="4">
        <v>28.3</v>
      </c>
      <c r="H217" s="4">
        <f t="shared" si="3"/>
      </c>
      <c r="I217">
        <f>VLOOKUP(TablaObra5[[#This Row],[Obra]],Catalogos!$B$3:$C$10,2,FALSE)</f>
      </c>
    </row>
    <row r="218" spans="1:9">
      <c r="A218" s="2">
        <v>46194</v>
      </c>
      <c r="B218" t="s">
        <v>2</v>
      </c>
      <c r="C218" s="2">
        <v>46195</v>
      </c>
      <c r="D218" t="s">
        <v>269</v>
      </c>
      <c r="E218">
        <f>VLOOKUP(TablaObra5[[#This Row],[Equipo]],Catalogos!$I$4:$J$64,2,FALSE)</f>
      </c>
      <c r="F218" s="3">
        <v>120</v>
      </c>
      <c r="G218" s="4">
        <v>28.3</v>
      </c>
      <c r="H218" s="4">
        <f t="shared" si="3"/>
      </c>
      <c r="I218">
        <f>VLOOKUP(TablaObra5[[#This Row],[Obra]],Catalogos!$B$3:$C$10,2,FALSE)</f>
      </c>
    </row>
    <row r="219" spans="1:9">
      <c r="A219" s="2">
        <v>46194</v>
      </c>
      <c r="B219" t="s">
        <v>2</v>
      </c>
      <c r="C219" s="2">
        <v>46195</v>
      </c>
      <c r="D219" t="s">
        <v>279</v>
      </c>
      <c r="E219">
        <f>VLOOKUP(TablaObra5[[#This Row],[Equipo]],Catalogos!$I$4:$J$64,2,FALSE)</f>
      </c>
      <c r="F219" s="3">
        <v>50</v>
      </c>
      <c r="G219" s="4">
        <v>28.3</v>
      </c>
      <c r="H219" s="4">
        <f t="shared" si="3"/>
      </c>
      <c r="I219">
        <f>VLOOKUP(TablaObra5[[#This Row],[Obra]],Catalogos!$B$3:$C$10,2,FALSE)</f>
      </c>
    </row>
    <row r="220" spans="1:9">
      <c r="A220" s="2">
        <v>46194</v>
      </c>
      <c r="B220" t="s">
        <v>2</v>
      </c>
      <c r="C220" s="2">
        <v>46195</v>
      </c>
      <c r="D220" t="s">
        <v>279</v>
      </c>
      <c r="E220">
        <f>VLOOKUP(TablaObra5[[#This Row],[Equipo]],Catalogos!$I$4:$J$64,2,FALSE)</f>
      </c>
      <c r="F220" s="3">
        <v>50</v>
      </c>
      <c r="G220" s="4">
        <v>28.3</v>
      </c>
      <c r="H220" s="4">
        <f t="shared" si="3"/>
      </c>
      <c r="I220">
        <f>VLOOKUP(TablaObra5[[#This Row],[Obra]],Catalogos!$B$3:$C$10,2,FALSE)</f>
      </c>
    </row>
    <row r="221" spans="1:9">
      <c r="A221" s="2">
        <v>46194</v>
      </c>
      <c r="B221" t="s">
        <v>2</v>
      </c>
      <c r="C221" s="2">
        <v>46195</v>
      </c>
      <c r="D221" t="s">
        <v>282</v>
      </c>
      <c r="E221">
        <f>VLOOKUP(TablaObra5[[#This Row],[Equipo]],Catalogos!$I$4:$J$64,2,FALSE)</f>
      </c>
      <c r="F221" s="3">
        <v>50</v>
      </c>
      <c r="G221" s="4">
        <v>28.3</v>
      </c>
      <c r="H221" s="4">
        <f t="shared" si="3"/>
      </c>
      <c r="I221">
        <f>VLOOKUP(TablaObra5[[#This Row],[Obra]],Catalogos!$B$3:$C$10,2,FALSE)</f>
      </c>
    </row>
    <row r="222" spans="1:9">
      <c r="A222" s="2">
        <v>46194</v>
      </c>
      <c r="B222" t="s">
        <v>2</v>
      </c>
      <c r="C222" s="2">
        <v>46195</v>
      </c>
      <c r="D222" t="s">
        <v>285</v>
      </c>
      <c r="E222">
        <f>VLOOKUP(TablaObra5[[#This Row],[Equipo]],Catalogos!$I$4:$J$64,2,FALSE)</f>
      </c>
      <c r="F222" s="3">
        <v>30</v>
      </c>
      <c r="G222" s="4">
        <v>28.3</v>
      </c>
      <c r="H222" s="4">
        <f t="shared" si="3"/>
      </c>
      <c r="I222">
        <f>VLOOKUP(TablaObra5[[#This Row],[Obra]],Catalogos!$B$3:$C$10,2,FALSE)</f>
      </c>
    </row>
    <row r="223" spans="1:9">
      <c r="A223" s="2">
        <v>46194</v>
      </c>
      <c r="B223" t="s">
        <v>2</v>
      </c>
      <c r="C223" s="2">
        <v>46195</v>
      </c>
      <c r="D223" t="s">
        <v>268</v>
      </c>
      <c r="E223">
        <f>VLOOKUP(TablaObra5[[#This Row],[Equipo]],Catalogos!$I$4:$J$64,2,FALSE)</f>
      </c>
      <c r="F223" s="3">
        <v>60</v>
      </c>
      <c r="G223" s="4">
        <v>28.3</v>
      </c>
      <c r="H223" s="4">
        <f t="shared" si="3"/>
      </c>
      <c r="I223">
        <f>VLOOKUP(TablaObra5[[#This Row],[Obra]],Catalogos!$B$3:$C$10,2,FALSE)</f>
      </c>
    </row>
    <row r="224" spans="1:9">
      <c r="A224" s="2">
        <v>46194</v>
      </c>
      <c r="B224" t="s">
        <v>2</v>
      </c>
      <c r="C224" s="2">
        <v>46195</v>
      </c>
      <c r="D224" t="s">
        <v>292</v>
      </c>
      <c r="E224">
        <f>VLOOKUP(TablaObra5[[#This Row],[Equipo]],Catalogos!$I$4:$J$64,2,FALSE)</f>
      </c>
      <c r="F224" s="3">
        <v>50</v>
      </c>
      <c r="G224" s="4">
        <v>28.3</v>
      </c>
      <c r="H224" s="4">
        <f t="shared" si="3"/>
      </c>
      <c r="I224">
        <f>VLOOKUP(TablaObra5[[#This Row],[Obra]],Catalogos!$B$3:$C$10,2,FALSE)</f>
      </c>
    </row>
    <row r="225" spans="1:9">
      <c r="A225" s="2">
        <v>46194</v>
      </c>
      <c r="B225" t="s">
        <v>2</v>
      </c>
      <c r="C225" s="2">
        <v>46196</v>
      </c>
      <c r="D225" t="s">
        <v>269</v>
      </c>
      <c r="E225">
        <f>VLOOKUP(TablaObra5[[#This Row],[Equipo]],Catalogos!$I$4:$J$64,2,FALSE)</f>
      </c>
      <c r="F225" s="3">
        <v>120</v>
      </c>
      <c r="G225" s="4">
        <v>28.3</v>
      </c>
      <c r="H225" s="4">
        <f t="shared" si="3"/>
      </c>
      <c r="I225">
        <f>VLOOKUP(TablaObra5[[#This Row],[Obra]],Catalogos!$B$3:$C$10,2,FALSE)</f>
      </c>
    </row>
    <row r="226" spans="1:9">
      <c r="A226" s="2">
        <v>46194</v>
      </c>
      <c r="B226" t="s">
        <v>2</v>
      </c>
      <c r="C226" s="2">
        <v>46196</v>
      </c>
      <c r="D226" t="s">
        <v>279</v>
      </c>
      <c r="E226">
        <f>VLOOKUP(TablaObra5[[#This Row],[Equipo]],Catalogos!$I$4:$J$64,2,FALSE)</f>
      </c>
      <c r="F226" s="3">
        <v>40</v>
      </c>
      <c r="G226" s="4">
        <v>28.3</v>
      </c>
      <c r="H226" s="4">
        <f t="shared" si="3"/>
      </c>
      <c r="I226">
        <f>VLOOKUP(TablaObra5[[#This Row],[Obra]],Catalogos!$B$3:$C$10,2,FALSE)</f>
      </c>
    </row>
    <row r="227" spans="1:9">
      <c r="A227" s="2">
        <v>46194</v>
      </c>
      <c r="B227" t="s">
        <v>2</v>
      </c>
      <c r="C227" s="2">
        <v>46196</v>
      </c>
      <c r="D227" t="s">
        <v>279</v>
      </c>
      <c r="E227">
        <f>VLOOKUP(TablaObra5[[#This Row],[Equipo]],Catalogos!$I$4:$J$64,2,FALSE)</f>
      </c>
      <c r="F227" s="3">
        <v>40</v>
      </c>
      <c r="G227" s="4">
        <v>28.3</v>
      </c>
      <c r="H227" s="4">
        <f t="shared" si="3"/>
      </c>
      <c r="I227">
        <f>VLOOKUP(TablaObra5[[#This Row],[Obra]],Catalogos!$B$3:$C$10,2,FALSE)</f>
      </c>
    </row>
    <row r="228" spans="1:9">
      <c r="A228" s="2">
        <v>46194</v>
      </c>
      <c r="B228" t="s">
        <v>2</v>
      </c>
      <c r="C228" s="2">
        <v>46196</v>
      </c>
      <c r="D228" t="s">
        <v>282</v>
      </c>
      <c r="E228">
        <f>VLOOKUP(TablaObra5[[#This Row],[Equipo]],Catalogos!$I$4:$J$64,2,FALSE)</f>
      </c>
      <c r="F228" s="3">
        <v>50</v>
      </c>
      <c r="G228" s="4">
        <v>28.3</v>
      </c>
      <c r="H228" s="4">
        <f t="shared" si="3"/>
      </c>
      <c r="I228">
        <f>VLOOKUP(TablaObra5[[#This Row],[Obra]],Catalogos!$B$3:$C$10,2,FALSE)</f>
      </c>
    </row>
    <row r="229" spans="1:9">
      <c r="A229" s="2">
        <v>46194</v>
      </c>
      <c r="B229" t="s">
        <v>2</v>
      </c>
      <c r="C229" s="2">
        <v>46196</v>
      </c>
      <c r="D229" t="s">
        <v>285</v>
      </c>
      <c r="E229">
        <f>VLOOKUP(TablaObra5[[#This Row],[Equipo]],Catalogos!$I$4:$J$64,2,FALSE)</f>
      </c>
      <c r="F229" s="3">
        <v>30</v>
      </c>
      <c r="G229" s="4">
        <v>28.3</v>
      </c>
      <c r="H229" s="4">
        <f t="shared" si="3"/>
      </c>
      <c r="I229">
        <f>VLOOKUP(TablaObra5[[#This Row],[Obra]],Catalogos!$B$3:$C$10,2,FALSE)</f>
      </c>
    </row>
    <row r="230" spans="1:9">
      <c r="A230" s="2">
        <v>46194</v>
      </c>
      <c r="B230" t="s">
        <v>2</v>
      </c>
      <c r="C230" s="2">
        <v>46196</v>
      </c>
      <c r="D230" t="s">
        <v>268</v>
      </c>
      <c r="E230">
        <f>VLOOKUP(TablaObra5[[#This Row],[Equipo]],Catalogos!$I$4:$J$64,2,FALSE)</f>
      </c>
      <c r="F230" s="3">
        <v>50</v>
      </c>
      <c r="G230" s="4">
        <v>28.3</v>
      </c>
      <c r="H230" s="4">
        <f t="shared" si="3"/>
      </c>
      <c r="I230">
        <f>VLOOKUP(TablaObra5[[#This Row],[Obra]],Catalogos!$B$3:$C$10,2,FALSE)</f>
      </c>
    </row>
    <row r="231" spans="1:9">
      <c r="A231" s="2">
        <v>46194</v>
      </c>
      <c r="B231" t="s">
        <v>2</v>
      </c>
      <c r="C231" s="2">
        <v>46196</v>
      </c>
      <c r="D231" t="s">
        <v>292</v>
      </c>
      <c r="E231">
        <f>VLOOKUP(TablaObra5[[#This Row],[Equipo]],Catalogos!$I$4:$J$64,2,FALSE)</f>
      </c>
      <c r="F231" s="3">
        <v>50</v>
      </c>
      <c r="G231" s="4">
        <v>28.3</v>
      </c>
      <c r="H231" s="4">
        <f t="shared" si="3"/>
      </c>
      <c r="I231">
        <f>VLOOKUP(TablaObra5[[#This Row],[Obra]],Catalogos!$B$3:$C$10,2,FALSE)</f>
      </c>
    </row>
    <row r="232" spans="1:9">
      <c r="A232" s="2">
        <v>46194</v>
      </c>
      <c r="B232" t="s">
        <v>2</v>
      </c>
      <c r="C232" s="2">
        <v>46197</v>
      </c>
      <c r="D232" t="s">
        <v>273</v>
      </c>
      <c r="E232">
        <f>VLOOKUP(TablaObra5[[#This Row],[Equipo]],Catalogos!$I$4:$J$64,2,FALSE)</f>
      </c>
      <c r="F232" s="3">
        <v>250</v>
      </c>
      <c r="G232" s="4">
        <v>28.3</v>
      </c>
      <c r="H232" s="4">
        <f t="shared" si="3"/>
      </c>
      <c r="I232">
        <f>VLOOKUP(TablaObra5[[#This Row],[Obra]],Catalogos!$B$3:$C$10,2,FALSE)</f>
      </c>
    </row>
    <row r="233" spans="1:9">
      <c r="A233" s="2">
        <v>46194</v>
      </c>
      <c r="B233" t="s">
        <v>2</v>
      </c>
      <c r="C233" s="2">
        <v>46197</v>
      </c>
      <c r="D233" t="s">
        <v>269</v>
      </c>
      <c r="E233">
        <f>VLOOKUP(TablaObra5[[#This Row],[Equipo]],Catalogos!$I$4:$J$64,2,FALSE)</f>
      </c>
      <c r="F233" s="3">
        <v>120</v>
      </c>
      <c r="G233" s="4">
        <v>28.3</v>
      </c>
      <c r="H233" s="4">
        <f t="shared" si="3"/>
      </c>
      <c r="I233">
        <f>VLOOKUP(TablaObra5[[#This Row],[Obra]],Catalogos!$B$3:$C$10,2,FALSE)</f>
      </c>
    </row>
    <row r="234" spans="1:9">
      <c r="A234" s="2">
        <v>46194</v>
      </c>
      <c r="B234" t="s">
        <v>2</v>
      </c>
      <c r="C234" s="2">
        <v>46197</v>
      </c>
      <c r="D234" t="s">
        <v>279</v>
      </c>
      <c r="E234">
        <f>VLOOKUP(TablaObra5[[#This Row],[Equipo]],Catalogos!$I$4:$J$64,2,FALSE)</f>
      </c>
      <c r="F234" s="3">
        <v>40</v>
      </c>
      <c r="G234" s="4">
        <v>28.3</v>
      </c>
      <c r="H234" s="4">
        <f t="shared" si="3"/>
      </c>
      <c r="I234">
        <f>VLOOKUP(TablaObra5[[#This Row],[Obra]],Catalogos!$B$3:$C$10,2,FALSE)</f>
      </c>
    </row>
    <row r="235" spans="1:9">
      <c r="A235" s="2">
        <v>46194</v>
      </c>
      <c r="B235" t="s">
        <v>2</v>
      </c>
      <c r="C235" s="2">
        <v>46197</v>
      </c>
      <c r="D235" t="s">
        <v>279</v>
      </c>
      <c r="E235">
        <f>VLOOKUP(TablaObra5[[#This Row],[Equipo]],Catalogos!$I$4:$J$64,2,FALSE)</f>
      </c>
      <c r="F235" s="3">
        <v>40</v>
      </c>
      <c r="G235" s="4">
        <v>28.3</v>
      </c>
      <c r="H235" s="4">
        <f t="shared" si="3"/>
      </c>
      <c r="I235">
        <f>VLOOKUP(TablaObra5[[#This Row],[Obra]],Catalogos!$B$3:$C$10,2,FALSE)</f>
      </c>
    </row>
    <row r="236" spans="1:9">
      <c r="A236" s="2">
        <v>46194</v>
      </c>
      <c r="B236" t="s">
        <v>2</v>
      </c>
      <c r="C236" s="2">
        <v>46197</v>
      </c>
      <c r="D236" t="s">
        <v>282</v>
      </c>
      <c r="E236">
        <f>VLOOKUP(TablaObra5[[#This Row],[Equipo]],Catalogos!$I$4:$J$64,2,FALSE)</f>
      </c>
      <c r="F236" s="3">
        <v>50</v>
      </c>
      <c r="G236" s="4">
        <v>28.3</v>
      </c>
      <c r="H236" s="4">
        <f t="shared" si="3"/>
      </c>
      <c r="I236">
        <f>VLOOKUP(TablaObra5[[#This Row],[Obra]],Catalogos!$B$3:$C$10,2,FALSE)</f>
      </c>
    </row>
    <row r="237" spans="1:9">
      <c r="A237" s="2">
        <v>46194</v>
      </c>
      <c r="B237" t="s">
        <v>2</v>
      </c>
      <c r="C237" s="2">
        <v>46197</v>
      </c>
      <c r="D237" t="s">
        <v>285</v>
      </c>
      <c r="E237">
        <f>VLOOKUP(TablaObra5[[#This Row],[Equipo]],Catalogos!$I$4:$J$64,2,FALSE)</f>
      </c>
      <c r="F237" s="3">
        <v>20</v>
      </c>
      <c r="G237" s="4">
        <v>28.3</v>
      </c>
      <c r="H237" s="4">
        <f t="shared" si="3"/>
      </c>
      <c r="I237">
        <f>VLOOKUP(TablaObra5[[#This Row],[Obra]],Catalogos!$B$3:$C$10,2,FALSE)</f>
      </c>
    </row>
    <row r="238" spans="1:9">
      <c r="A238" s="2">
        <v>46194</v>
      </c>
      <c r="B238" t="s">
        <v>2</v>
      </c>
      <c r="C238" s="2">
        <v>46197</v>
      </c>
      <c r="D238" t="s">
        <v>268</v>
      </c>
      <c r="E238">
        <f>VLOOKUP(TablaObra5[[#This Row],[Equipo]],Catalogos!$I$4:$J$64,2,FALSE)</f>
      </c>
      <c r="F238" s="3">
        <v>50</v>
      </c>
      <c r="G238" s="4">
        <v>28.3</v>
      </c>
      <c r="H238" s="4">
        <f t="shared" si="3"/>
      </c>
      <c r="I238">
        <f>VLOOKUP(TablaObra5[[#This Row],[Obra]],Catalogos!$B$3:$C$10,2,FALSE)</f>
      </c>
    </row>
    <row r="239" spans="1:9">
      <c r="A239" s="2">
        <v>46194</v>
      </c>
      <c r="B239" t="s">
        <v>2</v>
      </c>
      <c r="C239" s="2">
        <v>46197</v>
      </c>
      <c r="D239" t="s">
        <v>292</v>
      </c>
      <c r="E239">
        <f>VLOOKUP(TablaObra5[[#This Row],[Equipo]],Catalogos!$I$4:$J$64,2,FALSE)</f>
      </c>
      <c r="F239" s="3">
        <v>50</v>
      </c>
      <c r="G239" s="4">
        <v>28.3</v>
      </c>
      <c r="H239" s="4">
        <f t="shared" si="3"/>
      </c>
      <c r="I239">
        <f>VLOOKUP(TablaObra5[[#This Row],[Obra]],Catalogos!$B$3:$C$10,2,FALSE)</f>
      </c>
    </row>
    <row r="240" spans="1:9">
      <c r="A240" s="2">
        <v>46194</v>
      </c>
      <c r="B240" t="s">
        <v>2</v>
      </c>
      <c r="C240" s="2">
        <v>46198</v>
      </c>
      <c r="D240" t="s">
        <v>273</v>
      </c>
      <c r="E240">
        <f>VLOOKUP(TablaObra5[[#This Row],[Equipo]],Catalogos!$I$4:$J$64,2,FALSE)</f>
      </c>
      <c r="F240" s="3">
        <v>250</v>
      </c>
      <c r="G240" s="4">
        <v>28.3</v>
      </c>
      <c r="H240" s="4">
        <f t="shared" si="3"/>
      </c>
      <c r="I240">
        <f>VLOOKUP(TablaObra5[[#This Row],[Obra]],Catalogos!$B$3:$C$10,2,FALSE)</f>
      </c>
    </row>
    <row r="241" spans="1:9">
      <c r="A241" s="2">
        <v>46194</v>
      </c>
      <c r="B241" t="s">
        <v>2</v>
      </c>
      <c r="C241" s="2">
        <v>46198</v>
      </c>
      <c r="D241" t="s">
        <v>269</v>
      </c>
      <c r="E241">
        <f>VLOOKUP(TablaObra5[[#This Row],[Equipo]],Catalogos!$I$4:$J$64,2,FALSE)</f>
      </c>
      <c r="F241" s="3">
        <v>120</v>
      </c>
      <c r="G241" s="4">
        <v>28.3</v>
      </c>
      <c r="H241" s="4">
        <f t="shared" si="3"/>
      </c>
      <c r="I241">
        <f>VLOOKUP(TablaObra5[[#This Row],[Obra]],Catalogos!$B$3:$C$10,2,FALSE)</f>
      </c>
    </row>
    <row r="242" spans="1:9">
      <c r="A242" s="2">
        <v>46194</v>
      </c>
      <c r="B242" t="s">
        <v>2</v>
      </c>
      <c r="C242" s="2">
        <v>46198</v>
      </c>
      <c r="D242" t="s">
        <v>279</v>
      </c>
      <c r="E242">
        <f>VLOOKUP(TablaObra5[[#This Row],[Equipo]],Catalogos!$I$4:$J$64,2,FALSE)</f>
      </c>
      <c r="F242" s="3">
        <v>40</v>
      </c>
      <c r="G242" s="4">
        <v>28.3</v>
      </c>
      <c r="H242" s="4">
        <f t="shared" si="3"/>
      </c>
      <c r="I242">
        <f>VLOOKUP(TablaObra5[[#This Row],[Obra]],Catalogos!$B$3:$C$10,2,FALSE)</f>
      </c>
    </row>
    <row r="243" spans="1:9">
      <c r="A243" s="2">
        <v>46194</v>
      </c>
      <c r="B243" t="s">
        <v>2</v>
      </c>
      <c r="C243" s="2">
        <v>46198</v>
      </c>
      <c r="D243" t="s">
        <v>279</v>
      </c>
      <c r="E243">
        <f>VLOOKUP(TablaObra5[[#This Row],[Equipo]],Catalogos!$I$4:$J$64,2,FALSE)</f>
      </c>
      <c r="F243" s="3">
        <v>40</v>
      </c>
      <c r="G243" s="4">
        <v>28.3</v>
      </c>
      <c r="H243" s="4">
        <f t="shared" si="3"/>
      </c>
      <c r="I243">
        <f>VLOOKUP(TablaObra5[[#This Row],[Obra]],Catalogos!$B$3:$C$10,2,FALSE)</f>
      </c>
    </row>
    <row r="244" spans="1:9">
      <c r="A244" s="2">
        <v>46194</v>
      </c>
      <c r="B244" t="s">
        <v>2</v>
      </c>
      <c r="C244" s="2">
        <v>46198</v>
      </c>
      <c r="D244" t="s">
        <v>282</v>
      </c>
      <c r="E244">
        <f>VLOOKUP(TablaObra5[[#This Row],[Equipo]],Catalogos!$I$4:$J$64,2,FALSE)</f>
      </c>
      <c r="F244" s="3">
        <v>50</v>
      </c>
      <c r="G244" s="4">
        <v>28.3</v>
      </c>
      <c r="H244" s="4">
        <f t="shared" si="3"/>
      </c>
      <c r="I244">
        <f>VLOOKUP(TablaObra5[[#This Row],[Obra]],Catalogos!$B$3:$C$10,2,FALSE)</f>
      </c>
    </row>
    <row r="245" spans="1:9">
      <c r="A245" s="2">
        <v>46194</v>
      </c>
      <c r="B245" t="s">
        <v>2</v>
      </c>
      <c r="C245" s="2">
        <v>46198</v>
      </c>
      <c r="D245" t="s">
        <v>285</v>
      </c>
      <c r="E245">
        <f>VLOOKUP(TablaObra5[[#This Row],[Equipo]],Catalogos!$I$4:$J$64,2,FALSE)</f>
      </c>
      <c r="F245" s="3">
        <v>20</v>
      </c>
      <c r="G245" s="4">
        <v>28.3</v>
      </c>
      <c r="H245" s="4">
        <f t="shared" si="3"/>
      </c>
      <c r="I245">
        <f>VLOOKUP(TablaObra5[[#This Row],[Obra]],Catalogos!$B$3:$C$10,2,FALSE)</f>
      </c>
    </row>
    <row r="246" spans="1:9">
      <c r="A246" s="2">
        <v>46194</v>
      </c>
      <c r="B246" t="s">
        <v>2</v>
      </c>
      <c r="C246" s="2">
        <v>46198</v>
      </c>
      <c r="D246" t="s">
        <v>268</v>
      </c>
      <c r="E246">
        <f>VLOOKUP(TablaObra5[[#This Row],[Equipo]],Catalogos!$I$4:$J$64,2,FALSE)</f>
      </c>
      <c r="F246" s="3">
        <v>50</v>
      </c>
      <c r="G246" s="4">
        <v>28.3</v>
      </c>
      <c r="H246" s="4">
        <f t="shared" si="3"/>
      </c>
      <c r="I246">
        <f>VLOOKUP(TablaObra5[[#This Row],[Obra]],Catalogos!$B$3:$C$10,2,FALSE)</f>
      </c>
    </row>
    <row r="247" spans="1:9">
      <c r="A247" s="2">
        <v>46194</v>
      </c>
      <c r="B247" t="s">
        <v>2</v>
      </c>
      <c r="C247" s="2">
        <v>46198</v>
      </c>
      <c r="D247" t="s">
        <v>292</v>
      </c>
      <c r="E247">
        <f>VLOOKUP(TablaObra5[[#This Row],[Equipo]],Catalogos!$I$4:$J$64,2,FALSE)</f>
      </c>
      <c r="F247" s="3">
        <v>50</v>
      </c>
      <c r="G247" s="4">
        <v>28.3</v>
      </c>
      <c r="H247" s="4">
        <f t="shared" si="3"/>
      </c>
      <c r="I247">
        <f>VLOOKUP(TablaObra5[[#This Row],[Obra]],Catalogos!$B$3:$C$10,2,FALSE)</f>
      </c>
    </row>
    <row r="248" spans="1:9">
      <c r="A248" s="2">
        <v>46194</v>
      </c>
      <c r="B248" t="s">
        <v>2</v>
      </c>
      <c r="C248" s="2">
        <v>46199</v>
      </c>
      <c r="D248" t="s">
        <v>273</v>
      </c>
      <c r="E248">
        <f>VLOOKUP(TablaObra5[[#This Row],[Equipo]],Catalogos!$I$4:$J$64,2,FALSE)</f>
      </c>
      <c r="F248" s="3">
        <v>250</v>
      </c>
      <c r="G248" s="4">
        <v>28.3</v>
      </c>
      <c r="H248" s="4">
        <f t="shared" si="3"/>
      </c>
      <c r="I248">
        <f>VLOOKUP(TablaObra5[[#This Row],[Obra]],Catalogos!$B$3:$C$10,2,FALSE)</f>
      </c>
    </row>
    <row r="249" spans="1:9">
      <c r="A249" s="2">
        <v>46194</v>
      </c>
      <c r="B249" t="s">
        <v>2</v>
      </c>
      <c r="C249" s="2">
        <v>46199</v>
      </c>
      <c r="D249" t="s">
        <v>269</v>
      </c>
      <c r="E249">
        <f>VLOOKUP(TablaObra5[[#This Row],[Equipo]],Catalogos!$I$4:$J$64,2,FALSE)</f>
      </c>
      <c r="F249" s="3">
        <v>120</v>
      </c>
      <c r="G249" s="4">
        <v>28.3</v>
      </c>
      <c r="H249" s="4">
        <f t="shared" si="3"/>
      </c>
      <c r="I249">
        <f>VLOOKUP(TablaObra5[[#This Row],[Obra]],Catalogos!$B$3:$C$10,2,FALSE)</f>
      </c>
    </row>
    <row r="250" spans="1:9">
      <c r="A250" s="2">
        <v>46194</v>
      </c>
      <c r="B250" t="s">
        <v>2</v>
      </c>
      <c r="C250" s="2">
        <v>46199</v>
      </c>
      <c r="D250" t="s">
        <v>279</v>
      </c>
      <c r="E250">
        <f>VLOOKUP(TablaObra5[[#This Row],[Equipo]],Catalogos!$I$4:$J$64,2,FALSE)</f>
      </c>
      <c r="F250" s="3">
        <v>40</v>
      </c>
      <c r="G250" s="4">
        <v>28.3</v>
      </c>
      <c r="H250" s="4">
        <f t="shared" si="3"/>
      </c>
      <c r="I250">
        <f>VLOOKUP(TablaObra5[[#This Row],[Obra]],Catalogos!$B$3:$C$10,2,FALSE)</f>
      </c>
    </row>
    <row r="251" spans="1:9">
      <c r="A251" s="2">
        <v>46194</v>
      </c>
      <c r="B251" t="s">
        <v>2</v>
      </c>
      <c r="C251" s="2">
        <v>46199</v>
      </c>
      <c r="D251" t="s">
        <v>279</v>
      </c>
      <c r="E251">
        <f>VLOOKUP(TablaObra5[[#This Row],[Equipo]],Catalogos!$I$4:$J$64,2,FALSE)</f>
      </c>
      <c r="F251" s="3">
        <v>40</v>
      </c>
      <c r="G251" s="4">
        <v>28.3</v>
      </c>
      <c r="H251" s="4">
        <f t="shared" si="3"/>
      </c>
      <c r="I251">
        <f>VLOOKUP(TablaObra5[[#This Row],[Obra]],Catalogos!$B$3:$C$10,2,FALSE)</f>
      </c>
    </row>
    <row r="252" spans="1:9">
      <c r="A252" s="2">
        <v>46194</v>
      </c>
      <c r="B252" t="s">
        <v>2</v>
      </c>
      <c r="C252" s="2">
        <v>46199</v>
      </c>
      <c r="D252" t="s">
        <v>282</v>
      </c>
      <c r="E252">
        <f>VLOOKUP(TablaObra5[[#This Row],[Equipo]],Catalogos!$I$4:$J$64,2,FALSE)</f>
      </c>
      <c r="F252" s="3">
        <v>50</v>
      </c>
      <c r="G252" s="4">
        <v>28.3</v>
      </c>
      <c r="H252" s="4">
        <f t="shared" si="3"/>
      </c>
      <c r="I252">
        <f>VLOOKUP(TablaObra5[[#This Row],[Obra]],Catalogos!$B$3:$C$10,2,FALSE)</f>
      </c>
    </row>
    <row r="253" spans="1:9">
      <c r="A253" s="2">
        <v>46194</v>
      </c>
      <c r="B253" t="s">
        <v>2</v>
      </c>
      <c r="C253" s="2">
        <v>46199</v>
      </c>
      <c r="D253" t="s">
        <v>285</v>
      </c>
      <c r="E253">
        <f>VLOOKUP(TablaObra5[[#This Row],[Equipo]],Catalogos!$I$4:$J$64,2,FALSE)</f>
      </c>
      <c r="F253" s="3">
        <v>20</v>
      </c>
      <c r="G253" s="4">
        <v>28.3</v>
      </c>
      <c r="H253" s="4">
        <f t="shared" si="3"/>
      </c>
      <c r="I253">
        <f>VLOOKUP(TablaObra5[[#This Row],[Obra]],Catalogos!$B$3:$C$10,2,FALSE)</f>
      </c>
    </row>
    <row r="254" spans="1:9">
      <c r="A254" s="2">
        <v>46194</v>
      </c>
      <c r="B254" t="s">
        <v>2</v>
      </c>
      <c r="C254" s="2">
        <v>46199</v>
      </c>
      <c r="D254" t="s">
        <v>268</v>
      </c>
      <c r="E254">
        <f>VLOOKUP(TablaObra5[[#This Row],[Equipo]],Catalogos!$I$4:$J$64,2,FALSE)</f>
      </c>
      <c r="F254" s="3">
        <v>50</v>
      </c>
      <c r="G254" s="4">
        <v>28.3</v>
      </c>
      <c r="H254" s="4">
        <f t="shared" si="3"/>
      </c>
      <c r="I254">
        <f>VLOOKUP(TablaObra5[[#This Row],[Obra]],Catalogos!$B$3:$C$10,2,FALSE)</f>
      </c>
    </row>
    <row r="255" spans="1:9">
      <c r="A255" s="2">
        <v>46194</v>
      </c>
      <c r="B255" t="s">
        <v>2</v>
      </c>
      <c r="C255" s="2">
        <v>46199</v>
      </c>
      <c r="D255" t="s">
        <v>292</v>
      </c>
      <c r="E255">
        <f>VLOOKUP(TablaObra5[[#This Row],[Equipo]],Catalogos!$I$4:$J$64,2,FALSE)</f>
      </c>
      <c r="F255" s="3">
        <v>50</v>
      </c>
      <c r="G255" s="4">
        <v>28.3</v>
      </c>
      <c r="H255" s="4">
        <f t="shared" si="3"/>
      </c>
      <c r="I255">
        <f>VLOOKUP(TablaObra5[[#This Row],[Obra]],Catalogos!$B$3:$C$10,2,FALSE)</f>
      </c>
    </row>
    <row r="256" spans="1:9">
      <c r="A256" s="2">
        <v>46194</v>
      </c>
      <c r="B256" t="s">
        <v>142</v>
      </c>
      <c r="C256" s="2">
        <v>46195</v>
      </c>
      <c r="D256" t="s">
        <v>267</v>
      </c>
      <c r="E256">
        <f>VLOOKUP(TablaObra5[[#This Row],[Equipo]],Catalogos!$I$4:$J$64,2,FALSE)</f>
      </c>
      <c r="F256" s="3">
        <v>50</v>
      </c>
      <c r="G256" s="4">
        <v>28.3</v>
      </c>
      <c r="H256" s="4">
        <f t="shared" si="3"/>
      </c>
      <c r="I256">
        <f>VLOOKUP(TablaObra5[[#This Row],[Obra]],Catalogos!$B$3:$C$10,2,FALSE)</f>
      </c>
    </row>
    <row r="257" spans="1:9">
      <c r="A257" s="2">
        <v>46194</v>
      </c>
      <c r="B257" t="s">
        <v>142</v>
      </c>
      <c r="C257" s="2">
        <v>46195</v>
      </c>
      <c r="D257" t="s">
        <v>267</v>
      </c>
      <c r="E257">
        <f>VLOOKUP(TablaObra5[[#This Row],[Equipo]],Catalogos!$I$4:$J$64,2,FALSE)</f>
      </c>
      <c r="F257" s="3">
        <v>50</v>
      </c>
      <c r="G257" s="4">
        <v>28.3</v>
      </c>
      <c r="H257" s="4">
        <f t="shared" si="3"/>
      </c>
      <c r="I257">
        <f>VLOOKUP(TablaObra5[[#This Row],[Obra]],Catalogos!$B$3:$C$10,2,FALSE)</f>
      </c>
    </row>
    <row r="258" spans="1:9">
      <c r="A258" s="2">
        <v>46194</v>
      </c>
      <c r="B258" t="s">
        <v>142</v>
      </c>
      <c r="C258" s="2">
        <v>46195</v>
      </c>
      <c r="D258" t="s">
        <v>308</v>
      </c>
      <c r="E258">
        <f>VLOOKUP(TablaObra5[[#This Row],[Equipo]],Catalogos!$I$4:$J$64,2,FALSE)</f>
      </c>
      <c r="F258" s="3">
        <v>10</v>
      </c>
      <c r="G258" s="4">
        <v>28.3</v>
      </c>
      <c r="H258" s="4">
        <f t="shared" si="3"/>
      </c>
      <c r="I258">
        <f>VLOOKUP(TablaObra5[[#This Row],[Obra]],Catalogos!$B$3:$C$10,2,FALSE)</f>
      </c>
    </row>
    <row r="259" spans="1:9">
      <c r="A259" s="2">
        <v>46194</v>
      </c>
      <c r="B259" t="s">
        <v>142</v>
      </c>
      <c r="C259" s="2">
        <v>46195</v>
      </c>
      <c r="D259" t="s">
        <v>304</v>
      </c>
      <c r="E259">
        <f>VLOOKUP(TablaObra5[[#This Row],[Equipo]],Catalogos!$I$4:$J$64,2,FALSE)</f>
      </c>
      <c r="F259" s="3">
        <v>8</v>
      </c>
      <c r="G259" s="4">
        <v>28.3</v>
      </c>
      <c r="H259" s="4">
        <f t="shared" si="3"/>
      </c>
      <c r="I259">
        <f>VLOOKUP(TablaObra5[[#This Row],[Obra]],Catalogos!$B$3:$C$10,2,FALSE)</f>
      </c>
    </row>
    <row r="260" spans="1:9">
      <c r="A260" s="2">
        <v>46194</v>
      </c>
      <c r="B260" t="s">
        <v>142</v>
      </c>
      <c r="C260" s="2">
        <v>46196</v>
      </c>
      <c r="D260" t="s">
        <v>267</v>
      </c>
      <c r="E260">
        <f>VLOOKUP(TablaObra5[[#This Row],[Equipo]],Catalogos!$I$4:$J$64,2,FALSE)</f>
      </c>
      <c r="F260" s="3">
        <v>50</v>
      </c>
      <c r="G260" s="4">
        <v>28.3</v>
      </c>
      <c r="H260" s="4">
        <f t="shared" si="3"/>
      </c>
      <c r="I260">
        <f>VLOOKUP(TablaObra5[[#This Row],[Obra]],Catalogos!$B$3:$C$10,2,FALSE)</f>
      </c>
    </row>
    <row r="261" spans="1:9">
      <c r="A261" s="2">
        <v>46194</v>
      </c>
      <c r="B261" t="s">
        <v>142</v>
      </c>
      <c r="C261" s="2">
        <v>46196</v>
      </c>
      <c r="D261" t="s">
        <v>267</v>
      </c>
      <c r="E261">
        <f>VLOOKUP(TablaObra5[[#This Row],[Equipo]],Catalogos!$I$4:$J$64,2,FALSE)</f>
      </c>
      <c r="F261" s="3">
        <v>40</v>
      </c>
      <c r="G261" s="4">
        <v>28.3</v>
      </c>
      <c r="H261" s="4">
        <f t="shared" si="3"/>
      </c>
      <c r="I261">
        <f>VLOOKUP(TablaObra5[[#This Row],[Obra]],Catalogos!$B$3:$C$10,2,FALSE)</f>
      </c>
    </row>
    <row r="262" spans="1:9">
      <c r="A262" s="2">
        <v>46194</v>
      </c>
      <c r="B262" t="s">
        <v>142</v>
      </c>
      <c r="C262" s="2">
        <v>46196</v>
      </c>
      <c r="D262" t="s">
        <v>308</v>
      </c>
      <c r="E262">
        <f>VLOOKUP(TablaObra5[[#This Row],[Equipo]],Catalogos!$I$4:$J$64,2,FALSE)</f>
      </c>
      <c r="F262" s="3">
        <v>10</v>
      </c>
      <c r="G262" s="4">
        <v>28.3</v>
      </c>
      <c r="H262" s="4">
        <f t="shared" si="3"/>
      </c>
      <c r="I262">
        <f>VLOOKUP(TablaObra5[[#This Row],[Obra]],Catalogos!$B$3:$C$10,2,FALSE)</f>
      </c>
    </row>
    <row r="263" spans="1:9">
      <c r="A263" s="2">
        <v>46194</v>
      </c>
      <c r="B263" t="s">
        <v>142</v>
      </c>
      <c r="C263" s="2">
        <v>46196</v>
      </c>
      <c r="D263" t="s">
        <v>304</v>
      </c>
      <c r="E263">
        <f>VLOOKUP(TablaObra5[[#This Row],[Equipo]],Catalogos!$I$4:$J$64,2,FALSE)</f>
      </c>
      <c r="F263" s="3">
        <v>5</v>
      </c>
      <c r="G263" s="4">
        <v>28.3</v>
      </c>
      <c r="H263" s="4">
        <f t="shared" ref="H263:H306" si="5">IFERROR(F263*G263,0)</f>
      </c>
      <c r="I263">
        <f>VLOOKUP(TablaObra5[[#This Row],[Obra]],Catalogos!$B$3:$C$10,2,FALSE)</f>
      </c>
    </row>
    <row r="264" spans="1:9">
      <c r="A264" s="2">
        <v>46194</v>
      </c>
      <c r="B264" t="s">
        <v>142</v>
      </c>
      <c r="C264" s="2">
        <v>46197</v>
      </c>
      <c r="D264" t="s">
        <v>267</v>
      </c>
      <c r="E264">
        <f>VLOOKUP(TablaObra5[[#This Row],[Equipo]],Catalogos!$I$4:$J$64,2,FALSE)</f>
      </c>
      <c r="F264" s="3">
        <v>50</v>
      </c>
      <c r="G264" s="4">
        <v>28.3</v>
      </c>
      <c r="H264" s="4">
        <f t="shared" si="5"/>
      </c>
      <c r="I264">
        <f>VLOOKUP(TablaObra5[[#This Row],[Obra]],Catalogos!$B$3:$C$10,2,FALSE)</f>
      </c>
    </row>
    <row r="265" spans="1:9">
      <c r="A265" s="2">
        <v>46194</v>
      </c>
      <c r="B265" t="s">
        <v>142</v>
      </c>
      <c r="C265" s="2">
        <v>46197</v>
      </c>
      <c r="D265" t="s">
        <v>267</v>
      </c>
      <c r="E265">
        <f>VLOOKUP(TablaObra5[[#This Row],[Equipo]],Catalogos!$I$4:$J$64,2,FALSE)</f>
      </c>
      <c r="F265" s="3">
        <v>40</v>
      </c>
      <c r="G265" s="4">
        <v>28.3</v>
      </c>
      <c r="H265" s="4">
        <f t="shared" si="5"/>
      </c>
      <c r="I265">
        <f>VLOOKUP(TablaObra5[[#This Row],[Obra]],Catalogos!$B$3:$C$10,2,FALSE)</f>
      </c>
    </row>
    <row r="266" spans="1:9">
      <c r="A266" s="2">
        <v>46194</v>
      </c>
      <c r="B266" t="s">
        <v>142</v>
      </c>
      <c r="C266" s="2">
        <v>46197</v>
      </c>
      <c r="D266" t="s">
        <v>308</v>
      </c>
      <c r="E266">
        <f>VLOOKUP(TablaObra5[[#This Row],[Equipo]],Catalogos!$I$4:$J$64,2,FALSE)</f>
      </c>
      <c r="F266" s="3">
        <v>10</v>
      </c>
      <c r="G266" s="4">
        <v>28.3</v>
      </c>
      <c r="H266" s="4">
        <f t="shared" si="5"/>
      </c>
      <c r="I266">
        <f>VLOOKUP(TablaObra5[[#This Row],[Obra]],Catalogos!$B$3:$C$10,2,FALSE)</f>
      </c>
    </row>
    <row r="267" spans="1:9">
      <c r="A267" s="2">
        <v>46194</v>
      </c>
      <c r="B267" t="s">
        <v>142</v>
      </c>
      <c r="C267" s="2">
        <v>46197</v>
      </c>
      <c r="D267" t="s">
        <v>304</v>
      </c>
      <c r="E267">
        <f>VLOOKUP(TablaObra5[[#This Row],[Equipo]],Catalogos!$I$4:$J$64,2,FALSE)</f>
      </c>
      <c r="F267" s="3">
        <v>8</v>
      </c>
      <c r="G267" s="4">
        <v>28.3</v>
      </c>
      <c r="H267" s="4">
        <f t="shared" si="5"/>
      </c>
      <c r="I267">
        <f>VLOOKUP(TablaObra5[[#This Row],[Obra]],Catalogos!$B$3:$C$10,2,FALSE)</f>
      </c>
    </row>
    <row r="268" spans="1:9">
      <c r="A268" s="2">
        <v>46194</v>
      </c>
      <c r="B268" t="s">
        <v>142</v>
      </c>
      <c r="C268" s="2">
        <v>46198</v>
      </c>
      <c r="D268" t="s">
        <v>267</v>
      </c>
      <c r="E268">
        <f>VLOOKUP(TablaObra5[[#This Row],[Equipo]],Catalogos!$I$4:$J$64,2,FALSE)</f>
      </c>
      <c r="F268" s="3">
        <v>60</v>
      </c>
      <c r="G268" s="4">
        <v>28.3</v>
      </c>
      <c r="H268" s="4">
        <f t="shared" si="5"/>
      </c>
      <c r="I268">
        <f>VLOOKUP(TablaObra5[[#This Row],[Obra]],Catalogos!$B$3:$C$10,2,FALSE)</f>
      </c>
    </row>
    <row r="269" spans="1:9">
      <c r="A269" s="2">
        <v>46194</v>
      </c>
      <c r="B269" t="s">
        <v>142</v>
      </c>
      <c r="C269" s="2">
        <v>46198</v>
      </c>
      <c r="D269" t="s">
        <v>267</v>
      </c>
      <c r="E269">
        <f>VLOOKUP(TablaObra5[[#This Row],[Equipo]],Catalogos!$I$4:$J$64,2,FALSE)</f>
      </c>
      <c r="F269" s="3">
        <v>60</v>
      </c>
      <c r="G269" s="4">
        <v>28.3</v>
      </c>
      <c r="H269" s="4">
        <f t="shared" si="5"/>
      </c>
      <c r="I269">
        <f>VLOOKUP(TablaObra5[[#This Row],[Obra]],Catalogos!$B$3:$C$10,2,FALSE)</f>
      </c>
    </row>
    <row r="270" spans="1:9">
      <c r="A270" s="2">
        <v>46194</v>
      </c>
      <c r="B270" t="s">
        <v>142</v>
      </c>
      <c r="C270" s="2">
        <v>46198</v>
      </c>
      <c r="D270" t="s">
        <v>304</v>
      </c>
      <c r="E270">
        <f>VLOOKUP(TablaObra5[[#This Row],[Equipo]],Catalogos!$I$4:$J$64,2,FALSE)</f>
      </c>
      <c r="F270" s="3">
        <v>5</v>
      </c>
      <c r="G270" s="4">
        <v>28.3</v>
      </c>
      <c r="H270" s="4">
        <f t="shared" si="5"/>
      </c>
      <c r="I270">
        <f>VLOOKUP(TablaObra5[[#This Row],[Obra]],Catalogos!$B$3:$C$10,2,FALSE)</f>
      </c>
    </row>
    <row r="271" spans="1:9">
      <c r="A271" s="2">
        <v>46194</v>
      </c>
      <c r="B271" t="s">
        <v>142</v>
      </c>
      <c r="C271" s="2">
        <v>46199</v>
      </c>
      <c r="D271" t="s">
        <v>267</v>
      </c>
      <c r="E271">
        <f>VLOOKUP(TablaObra5[[#This Row],[Equipo]],Catalogos!$I$4:$J$64,2,FALSE)</f>
      </c>
      <c r="F271" s="3">
        <v>50</v>
      </c>
      <c r="G271" s="4">
        <v>28.3</v>
      </c>
      <c r="H271" s="4">
        <f t="shared" si="5"/>
      </c>
      <c r="I271">
        <f>VLOOKUP(TablaObra5[[#This Row],[Obra]],Catalogos!$B$3:$C$10,2,FALSE)</f>
      </c>
    </row>
    <row r="272" spans="1:9">
      <c r="A272" s="2">
        <v>46194</v>
      </c>
      <c r="B272" t="s">
        <v>142</v>
      </c>
      <c r="C272" s="2">
        <v>46199</v>
      </c>
      <c r="D272" t="s">
        <v>267</v>
      </c>
      <c r="E272">
        <f>VLOOKUP(TablaObra5[[#This Row],[Equipo]],Catalogos!$I$4:$J$64,2,FALSE)</f>
      </c>
      <c r="F272" s="3">
        <v>50</v>
      </c>
      <c r="G272" s="4">
        <v>28.3</v>
      </c>
      <c r="H272" s="4">
        <f t="shared" si="5"/>
      </c>
      <c r="I272">
        <f>VLOOKUP(TablaObra5[[#This Row],[Obra]],Catalogos!$B$3:$C$10,2,FALSE)</f>
      </c>
    </row>
    <row r="273" spans="1:9">
      <c r="A273" s="2">
        <v>46194</v>
      </c>
      <c r="B273" t="s">
        <v>142</v>
      </c>
      <c r="C273" s="2">
        <v>46199</v>
      </c>
      <c r="D273" t="s">
        <v>308</v>
      </c>
      <c r="E273">
        <f>VLOOKUP(TablaObra5[[#This Row],[Equipo]],Catalogos!$I$4:$J$64,2,FALSE)</f>
      </c>
      <c r="F273" s="3">
        <v>10</v>
      </c>
      <c r="G273" s="4">
        <v>28.3</v>
      </c>
      <c r="H273" s="4">
        <f t="shared" si="5"/>
      </c>
      <c r="I273">
        <f>VLOOKUP(TablaObra5[[#This Row],[Obra]],Catalogos!$B$3:$C$10,2,FALSE)</f>
      </c>
    </row>
    <row r="274" spans="1:9">
      <c r="A274" s="2">
        <v>46194</v>
      </c>
      <c r="B274" t="s">
        <v>142</v>
      </c>
      <c r="C274" s="2">
        <v>46199</v>
      </c>
      <c r="D274" t="s">
        <v>304</v>
      </c>
      <c r="E274">
        <f>VLOOKUP(TablaObra5[[#This Row],[Equipo]],Catalogos!$I$4:$J$64,2,FALSE)</f>
      </c>
      <c r="F274" s="3">
        <v>8</v>
      </c>
      <c r="G274" s="4">
        <v>28.3</v>
      </c>
      <c r="H274" s="4">
        <f t="shared" si="5"/>
      </c>
      <c r="I274">
        <f>VLOOKUP(TablaObra5[[#This Row],[Obra]],Catalogos!$B$3:$C$10,2,FALSE)</f>
      </c>
    </row>
    <row r="275" spans="1:9">
      <c r="A275" s="2">
        <v>46194</v>
      </c>
      <c r="B275" t="s">
        <v>146</v>
      </c>
      <c r="C275" s="2">
        <v>46196</v>
      </c>
      <c r="D275" t="s">
        <v>303</v>
      </c>
      <c r="E275">
        <f>VLOOKUP(TablaObra5[[#This Row],[Equipo]],Catalogos!$I$4:$J$64,2,FALSE)</f>
      </c>
      <c r="F275" s="3">
        <v>300</v>
      </c>
      <c r="G275" s="4">
        <v>28.3</v>
      </c>
      <c r="H275" s="4">
        <f t="shared" si="5"/>
      </c>
      <c r="I275">
        <f>VLOOKUP(TablaObra5[[#This Row],[Obra]],Catalogos!$B$3:$C$10,2,FALSE)</f>
      </c>
    </row>
    <row r="276" spans="1:9">
      <c r="A276" s="2">
        <v>46194</v>
      </c>
      <c r="B276" t="s">
        <v>146</v>
      </c>
      <c r="C276" s="2">
        <v>46197</v>
      </c>
      <c r="D276" t="s">
        <v>423</v>
      </c>
      <c r="E276">
        <f>VLOOKUP(TablaObra5[[#This Row],[Equipo]],Catalogos!$I$4:$J$64,2,FALSE)</f>
      </c>
      <c r="F276" s="3">
        <v>600</v>
      </c>
      <c r="G276" s="4">
        <v>28.3</v>
      </c>
      <c r="H276" s="4">
        <f t="shared" si="5"/>
      </c>
      <c r="I276">
        <f>VLOOKUP(TablaObra5[[#This Row],[Obra]],Catalogos!$B$3:$C$10,2,FALSE)</f>
      </c>
    </row>
    <row r="277" spans="1:9">
      <c r="A277" s="2">
        <v>46194</v>
      </c>
      <c r="B277" t="s">
        <v>146</v>
      </c>
      <c r="C277" s="2">
        <v>46197</v>
      </c>
      <c r="D277" t="s">
        <v>425</v>
      </c>
      <c r="E277">
        <f>VLOOKUP(TablaObra5[[#This Row],[Equipo]],Catalogos!$I$4:$J$64,2,FALSE)</f>
      </c>
      <c r="F277" s="3">
        <v>400</v>
      </c>
      <c r="G277" s="4">
        <v>28.3</v>
      </c>
      <c r="H277" s="4">
        <f t="shared" si="5"/>
      </c>
      <c r="I277">
        <f>VLOOKUP(TablaObra5[[#This Row],[Obra]],Catalogos!$B$3:$C$10,2,FALSE)</f>
      </c>
    </row>
    <row r="278" spans="1:9">
      <c r="A278" s="2">
        <v>46194</v>
      </c>
      <c r="B278" t="s">
        <v>146</v>
      </c>
      <c r="C278" s="2">
        <v>46198</v>
      </c>
      <c r="D278" t="s">
        <v>303</v>
      </c>
      <c r="E278">
        <f>VLOOKUP(TablaObra5[[#This Row],[Equipo]],Catalogos!$I$4:$J$64,2,FALSE)</f>
      </c>
      <c r="F278" s="3">
        <v>300</v>
      </c>
      <c r="G278" s="4">
        <v>28.3</v>
      </c>
      <c r="H278" s="4">
        <f t="shared" si="5"/>
      </c>
      <c r="I278">
        <f>VLOOKUP(TablaObra5[[#This Row],[Obra]],Catalogos!$B$3:$C$10,2,FALSE)</f>
      </c>
    </row>
    <row r="279" spans="1:9">
      <c r="A279" s="2">
        <v>46194</v>
      </c>
      <c r="B279" t="s">
        <v>3</v>
      </c>
      <c r="C279" s="2">
        <v>46195</v>
      </c>
      <c r="D279" t="s">
        <v>293</v>
      </c>
      <c r="E279">
        <f>VLOOKUP(TablaObra5[[#This Row],[Equipo]],Catalogos!$I$4:$J$64,2,FALSE)</f>
      </c>
      <c r="F279" s="3">
        <v>30</v>
      </c>
      <c r="G279" s="4">
        <v>28.3</v>
      </c>
      <c r="H279" s="4">
        <f t="shared" si="5"/>
      </c>
      <c r="I279">
        <f>VLOOKUP(TablaObra5[[#This Row],[Obra]],Catalogos!$B$3:$C$10,2,FALSE)</f>
      </c>
    </row>
    <row r="280" spans="1:9">
      <c r="A280" s="2">
        <v>46194</v>
      </c>
      <c r="B280" t="s">
        <v>3</v>
      </c>
      <c r="C280" s="2">
        <v>46196</v>
      </c>
      <c r="D280" t="s">
        <v>293</v>
      </c>
      <c r="E280">
        <f>VLOOKUP(TablaObra5[[#This Row],[Equipo]],Catalogos!$I$4:$J$64,2,FALSE)</f>
      </c>
      <c r="F280" s="3">
        <v>30</v>
      </c>
      <c r="G280" s="4">
        <v>28.3</v>
      </c>
      <c r="H280" s="4">
        <f t="shared" si="5"/>
      </c>
      <c r="I280">
        <f>VLOOKUP(TablaObra5[[#This Row],[Obra]],Catalogos!$B$3:$C$10,2,FALSE)</f>
      </c>
    </row>
    <row r="281" spans="1:9">
      <c r="A281" s="2">
        <v>46194</v>
      </c>
      <c r="B281" t="s">
        <v>3</v>
      </c>
      <c r="C281" s="2">
        <v>46197</v>
      </c>
      <c r="D281" t="s">
        <v>293</v>
      </c>
      <c r="E281">
        <f>VLOOKUP(TablaObra5[[#This Row],[Equipo]],Catalogos!$I$4:$J$64,2,FALSE)</f>
      </c>
      <c r="F281" s="3">
        <v>30</v>
      </c>
      <c r="G281" s="4">
        <v>28.3</v>
      </c>
      <c r="H281" s="4">
        <f t="shared" si="5"/>
      </c>
      <c r="I281">
        <f>VLOOKUP(TablaObra5[[#This Row],[Obra]],Catalogos!$B$3:$C$10,2,FALSE)</f>
      </c>
    </row>
    <row r="282" spans="1:9">
      <c r="A282" s="2">
        <v>46194</v>
      </c>
      <c r="B282" t="s">
        <v>3</v>
      </c>
      <c r="C282" s="2">
        <v>46198</v>
      </c>
      <c r="D282" t="s">
        <v>293</v>
      </c>
      <c r="E282">
        <f>VLOOKUP(TablaObra5[[#This Row],[Equipo]],Catalogos!$I$4:$J$64,2,FALSE)</f>
      </c>
      <c r="F282" s="3">
        <v>30</v>
      </c>
      <c r="G282" s="4">
        <v>28.3</v>
      </c>
      <c r="H282" s="4">
        <f t="shared" si="5"/>
      </c>
      <c r="I282">
        <f>VLOOKUP(TablaObra5[[#This Row],[Obra]],Catalogos!$B$3:$C$10,2,FALSE)</f>
      </c>
    </row>
    <row r="283" spans="1:9">
      <c r="A283" s="2">
        <v>46194</v>
      </c>
      <c r="B283" t="s">
        <v>3</v>
      </c>
      <c r="C283" s="2">
        <v>46199</v>
      </c>
      <c r="D283" t="s">
        <v>293</v>
      </c>
      <c r="E283">
        <f>VLOOKUP(TablaObra5[[#This Row],[Equipo]],Catalogos!$I$4:$J$64,2,FALSE)</f>
      </c>
      <c r="F283" s="3">
        <v>30</v>
      </c>
      <c r="G283" s="4">
        <v>28.3</v>
      </c>
      <c r="H283" s="4">
        <f t="shared" si="5"/>
      </c>
      <c r="I283">
        <f>VLOOKUP(TablaObra5[[#This Row],[Obra]],Catalogos!$B$3:$C$10,2,FALSE)</f>
      </c>
    </row>
    <row r="284" spans="1:9">
      <c r="A284" s="2"/>
      <c r="E284">
        <f>VLOOKUP(TablaObra5[[#This Row],[Equipo]],Catalogos!$I$4:$J$64,2,FALSE)</f>
      </c>
      <c r="F284" s="3"/>
      <c r="G284" s="4">
        <v>28.3</v>
      </c>
      <c r="H284" s="4">
        <f t="shared" si="5"/>
      </c>
      <c r="I284">
        <f>VLOOKUP(TablaObra5[[#This Row],[Obra]],Catalogos!$B$3:$C$10,2,FALSE)</f>
      </c>
    </row>
    <row r="285" spans="1:9">
      <c r="A285" s="2"/>
      <c r="E285">
        <f>VLOOKUP(TablaObra5[[#This Row],[Equipo]],Catalogos!$I$4:$J$64,2,FALSE)</f>
      </c>
      <c r="F285" s="3"/>
      <c r="G285" s="4">
        <v>28.3</v>
      </c>
      <c r="H285" s="4">
        <f t="shared" si="5"/>
      </c>
      <c r="I285">
        <f>VLOOKUP(TablaObra5[[#This Row],[Obra]],Catalogos!$B$3:$C$10,2,FALSE)</f>
      </c>
    </row>
    <row r="286" spans="1:9">
      <c r="A286" s="2"/>
      <c r="E286">
        <f>VLOOKUP(TablaObra5[[#This Row],[Equipo]],Catalogos!$I$4:$J$64,2,FALSE)</f>
      </c>
      <c r="F286" s="3"/>
      <c r="G286" s="4">
        <v>28.3</v>
      </c>
      <c r="H286" s="4">
        <f t="shared" si="5"/>
      </c>
      <c r="I286">
        <f>VLOOKUP(TablaObra5[[#This Row],[Obra]],Catalogos!$B$3:$C$10,2,FALSE)</f>
      </c>
    </row>
    <row r="287" spans="1:9">
      <c r="A287" s="2"/>
      <c r="E287">
        <f>VLOOKUP(TablaObra5[[#This Row],[Equipo]],Catalogos!$I$4:$J$64,2,FALSE)</f>
      </c>
      <c r="F287" s="3"/>
      <c r="G287" s="4">
        <v>28.3</v>
      </c>
      <c r="H287" s="4">
        <f t="shared" si="5"/>
      </c>
      <c r="I287">
        <f>VLOOKUP(TablaObra5[[#This Row],[Obra]],Catalogos!$B$3:$C$10,2,FALSE)</f>
      </c>
    </row>
    <row r="288" spans="1:9">
      <c r="A288" s="2"/>
      <c r="E288">
        <f>VLOOKUP(TablaObra5[[#This Row],[Equipo]],Catalogos!$I$4:$J$64,2,FALSE)</f>
      </c>
      <c r="F288" s="3"/>
      <c r="G288" s="4">
        <v>28.3</v>
      </c>
      <c r="H288" s="4">
        <f t="shared" si="5"/>
      </c>
      <c r="I288">
        <f>VLOOKUP(TablaObra5[[#This Row],[Obra]],Catalogos!$B$3:$C$10,2,FALSE)</f>
      </c>
    </row>
    <row r="289" spans="1:9">
      <c r="A289" s="2"/>
      <c r="E289">
        <f>VLOOKUP(TablaObra5[[#This Row],[Equipo]],Catalogos!$I$4:$J$64,2,FALSE)</f>
      </c>
      <c r="F289" s="3"/>
      <c r="G289" s="4">
        <v>28.3</v>
      </c>
      <c r="H289" s="4">
        <f t="shared" si="5"/>
      </c>
      <c r="I289">
        <f>VLOOKUP(TablaObra5[[#This Row],[Obra]],Catalogos!$B$3:$C$10,2,FALSE)</f>
      </c>
    </row>
    <row r="290" spans="1:9">
      <c r="A290" s="2"/>
      <c r="E290">
        <f>VLOOKUP(TablaObra5[[#This Row],[Equipo]],Catalogos!$I$4:$J$64,2,FALSE)</f>
      </c>
      <c r="F290" s="3"/>
      <c r="G290" s="4">
        <v>28.3</v>
      </c>
      <c r="H290" s="4">
        <f t="shared" si="5"/>
      </c>
      <c r="I290">
        <f>VLOOKUP(TablaObra5[[#This Row],[Obra]],Catalogos!$B$3:$C$10,2,FALSE)</f>
      </c>
    </row>
    <row r="291" spans="1:9">
      <c r="A291" s="2"/>
      <c r="E291">
        <f>VLOOKUP(TablaObra5[[#This Row],[Equipo]],Catalogos!$I$4:$J$64,2,FALSE)</f>
      </c>
      <c r="F291" s="3"/>
      <c r="G291" s="4">
        <v>28.3</v>
      </c>
      <c r="H291" s="4">
        <f t="shared" si="5"/>
      </c>
      <c r="I291">
        <f>VLOOKUP(TablaObra5[[#This Row],[Obra]],Catalogos!$B$3:$C$10,2,FALSE)</f>
      </c>
    </row>
    <row r="292" spans="1:9">
      <c r="A292" s="2"/>
      <c r="E292">
        <f>VLOOKUP(TablaObra5[[#This Row],[Equipo]],Catalogos!$I$4:$J$64,2,FALSE)</f>
      </c>
      <c r="F292" s="3"/>
      <c r="G292" s="4">
        <v>28.3</v>
      </c>
      <c r="H292" s="4">
        <f t="shared" si="5"/>
      </c>
      <c r="I292">
        <f>VLOOKUP(TablaObra5[[#This Row],[Obra]],Catalogos!$B$3:$C$10,2,FALSE)</f>
      </c>
    </row>
    <row r="293" spans="1:9">
      <c r="A293" s="2"/>
      <c r="E293">
        <f>VLOOKUP(TablaObra5[[#This Row],[Equipo]],Catalogos!$I$4:$J$64,2,FALSE)</f>
      </c>
      <c r="F293" s="3"/>
      <c r="G293" s="4">
        <v>28.3</v>
      </c>
      <c r="H293" s="4">
        <f t="shared" si="5"/>
      </c>
      <c r="I293">
        <f>VLOOKUP(TablaObra5[[#This Row],[Obra]],Catalogos!$B$3:$C$10,2,FALSE)</f>
      </c>
    </row>
    <row r="294" spans="1:9">
      <c r="A294" s="2"/>
      <c r="E294">
        <f>VLOOKUP(TablaObra5[[#This Row],[Equipo]],Catalogos!$I$4:$J$64,2,FALSE)</f>
      </c>
      <c r="F294" s="3"/>
      <c r="G294" s="4">
        <v>28.3</v>
      </c>
      <c r="H294" s="4">
        <f t="shared" si="5"/>
      </c>
      <c r="I294">
        <f>VLOOKUP(TablaObra5[[#This Row],[Obra]],Catalogos!$B$3:$C$10,2,FALSE)</f>
      </c>
    </row>
    <row r="295" spans="1:9">
      <c r="A295" s="2"/>
      <c r="E295">
        <f>VLOOKUP(TablaObra5[[#This Row],[Equipo]],Catalogos!$I$4:$J$64,2,FALSE)</f>
      </c>
      <c r="F295" s="3"/>
      <c r="G295" s="4">
        <v>28.3</v>
      </c>
      <c r="H295" s="4">
        <f t="shared" si="5"/>
      </c>
      <c r="I295">
        <f>VLOOKUP(TablaObra5[[#This Row],[Obra]],Catalogos!$B$3:$C$10,2,FALSE)</f>
      </c>
    </row>
    <row r="296" spans="1:9">
      <c r="A296" s="2"/>
      <c r="E296">
        <f>VLOOKUP(TablaObra5[[#This Row],[Equipo]],Catalogos!$I$4:$J$64,2,FALSE)</f>
      </c>
      <c r="F296" s="3"/>
      <c r="G296" s="4">
        <v>28.3</v>
      </c>
      <c r="H296" s="4">
        <f t="shared" si="5"/>
      </c>
      <c r="I296">
        <f>VLOOKUP(TablaObra5[[#This Row],[Obra]],Catalogos!$B$3:$C$10,2,FALSE)</f>
      </c>
    </row>
    <row r="297" spans="1:9">
      <c r="A297" s="2"/>
      <c r="E297">
        <f>VLOOKUP(TablaObra5[[#This Row],[Equipo]],Catalogos!$I$4:$J$64,2,FALSE)</f>
      </c>
      <c r="F297" s="3"/>
      <c r="G297" s="4">
        <v>28.3</v>
      </c>
      <c r="H297" s="4">
        <f t="shared" si="5"/>
      </c>
      <c r="I297">
        <f>VLOOKUP(TablaObra5[[#This Row],[Obra]],Catalogos!$B$3:$C$10,2,FALSE)</f>
      </c>
    </row>
    <row r="298" spans="1:9">
      <c r="A298" s="2"/>
      <c r="E298">
        <f>VLOOKUP(TablaObra5[[#This Row],[Equipo]],Catalogos!$I$4:$J$64,2,FALSE)</f>
      </c>
      <c r="F298" s="3"/>
      <c r="G298" s="4">
        <v>28.3</v>
      </c>
      <c r="H298" s="4">
        <f t="shared" si="5"/>
      </c>
      <c r="I298">
        <f>VLOOKUP(TablaObra5[[#This Row],[Obra]],Catalogos!$B$3:$C$10,2,FALSE)</f>
      </c>
    </row>
    <row r="299" spans="1:9">
      <c r="A299" s="2"/>
      <c r="E299">
        <f>VLOOKUP(TablaObra5[[#This Row],[Equipo]],Catalogos!$I$4:$J$64,2,FALSE)</f>
      </c>
      <c r="F299" s="3"/>
      <c r="G299" s="4">
        <v>28.3</v>
      </c>
      <c r="H299" s="4">
        <f t="shared" si="5"/>
      </c>
      <c r="I299">
        <f>VLOOKUP(TablaObra5[[#This Row],[Obra]],Catalogos!$B$3:$C$10,2,FALSE)</f>
      </c>
    </row>
    <row r="300" spans="1:9">
      <c r="A300" s="2"/>
      <c r="E300">
        <f>VLOOKUP(TablaObra5[[#This Row],[Equipo]],Catalogos!$I$4:$J$64,2,FALSE)</f>
      </c>
      <c r="F300" s="3"/>
      <c r="G300" s="4">
        <v>28.3</v>
      </c>
      <c r="H300" s="4">
        <f t="shared" si="5"/>
      </c>
      <c r="I300">
        <f>VLOOKUP(TablaObra5[[#This Row],[Obra]],Catalogos!$B$3:$C$10,2,FALSE)</f>
      </c>
    </row>
    <row r="301" spans="1:9">
      <c r="A301" s="2"/>
      <c r="E301">
        <f>VLOOKUP(TablaObra5[[#This Row],[Equipo]],Catalogos!$I$4:$J$64,2,FALSE)</f>
      </c>
      <c r="F301" s="3"/>
      <c r="G301" s="4">
        <v>28.3</v>
      </c>
      <c r="H301" s="4">
        <f t="shared" si="5"/>
      </c>
      <c r="I301">
        <f>VLOOKUP(TablaObra5[[#This Row],[Obra]],Catalogos!$B$3:$C$10,2,FALSE)</f>
      </c>
    </row>
    <row r="302" spans="1:9">
      <c r="A302" s="2"/>
      <c r="E302">
        <f>VLOOKUP(TablaObra5[[#This Row],[Equipo]],Catalogos!$I$4:$J$64,2,FALSE)</f>
      </c>
      <c r="F302" s="3"/>
      <c r="G302" s="4">
        <v>28.3</v>
      </c>
      <c r="H302" s="4">
        <f t="shared" si="5"/>
      </c>
      <c r="I302">
        <f>VLOOKUP(TablaObra5[[#This Row],[Obra]],Catalogos!$B$3:$C$10,2,FALSE)</f>
      </c>
    </row>
    <row r="303" spans="1:9">
      <c r="A303" s="2"/>
      <c r="E303">
        <f>VLOOKUP(TablaObra5[[#This Row],[Equipo]],Catalogos!$I$4:$J$64,2,FALSE)</f>
      </c>
      <c r="F303" s="3"/>
      <c r="G303" s="4">
        <v>28.3</v>
      </c>
      <c r="H303" s="4">
        <f t="shared" si="5"/>
      </c>
      <c r="I303">
        <f>VLOOKUP(TablaObra5[[#This Row],[Obra]],Catalogos!$B$3:$C$10,2,FALSE)</f>
      </c>
    </row>
    <row r="304" spans="1:9">
      <c r="A304" s="2"/>
      <c r="E304">
        <f>VLOOKUP(TablaObra5[[#This Row],[Equipo]],Catalogos!$I$4:$J$64,2,FALSE)</f>
      </c>
      <c r="F304" s="3"/>
      <c r="G304" s="4">
        <v>28.3</v>
      </c>
      <c r="H304" s="4">
        <f t="shared" si="5"/>
      </c>
      <c r="I304">
        <f>VLOOKUP(TablaObra5[[#This Row],[Obra]],Catalogos!$B$3:$C$10,2,FALSE)</f>
      </c>
    </row>
    <row r="305" spans="1:9">
      <c r="A305" s="2"/>
      <c r="E305">
        <f>VLOOKUP(TablaObra5[[#This Row],[Equipo]],Catalogos!$I$4:$J$64,2,FALSE)</f>
      </c>
      <c r="F305" s="3"/>
      <c r="G305" s="4">
        <v>28.3</v>
      </c>
      <c r="H305" s="4">
        <f t="shared" si="5"/>
      </c>
      <c r="I305">
        <f>VLOOKUP(TablaObra5[[#This Row],[Obra]],Catalogos!$B$3:$C$10,2,FALSE)</f>
      </c>
    </row>
    <row r="306" spans="1:9">
      <c r="A306" s="2"/>
      <c r="E306">
        <f>VLOOKUP(TablaObra5[[#This Row],[Equipo]],Catalogos!$I$4:$J$64,2,FALSE)</f>
      </c>
      <c r="F306" s="3"/>
      <c r="G306" s="4">
        <v>28.3</v>
      </c>
      <c r="H306" s="4">
        <f t="shared" si="5"/>
      </c>
      <c r="I306">
        <f>VLOOKUP(TablaObra5[[#This Row],[Obra]],Catalogos!$B$3:$C$10,2,FALSE)</f>
      </c>
    </row>
  </sheetData>
  <mergeCells count="1">
    <mergeCell ref="A1:K1"/>
  </mergeCells>
  <dataValidations count="3">
    <dataValidation type="list" sqref="J5:J306" xr:uid="{F088CA72-B887-4919-9599-320A81590B37}">
      <formula1>"Sin incidencia,Fuga,Reparación,Equipo parado,Consumo extraordinario,Otro"</formula1>
    </dataValidation>
    <dataValidation type="list" sqref="C297:C306" xr:uid="{D8D37BB4-CAF1-4599-8863-3A840616BA64}">
      <formula1>"Marimba M-01,Pegaso Directo,Otro"</formula1>
    </dataValidation>
    <dataValidation sqref="C5:C296" xr:uid="{C565FAA6-1CA1-46BD-AD92-EB4A143CBC04}"/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B15CE551-0D72-4710-B1D0-6AE343C140DA}">
          <x14:formula1>
            <xm:f>Catalogos!$B$4:$B$18</xm:f>
          </x14:formula1>
          <xm:sqref>B5:B306</xm:sqref>
        </x14:dataValidation>
        <x14:dataValidation type="list" allowBlank="1" showInputMessage="1" showErrorMessage="1" xr:uid="{91257FB4-FD06-4700-977F-D3F2D88C6A76}">
          <x14:formula1>
            <xm:f>Catalogos!$I$4:$I$75</xm:f>
          </x14:formula1>
          <xm:sqref>D5:D1048576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/>
  <sheetViews>
    <sheetView topLeftCell="A11" workbookViewId="0">
      <selection activeCell="E34" sqref="E34"/>
    </sheetView>
  </sheetViews>
  <sheetFormatPr baseColWidth="10" defaultColWidth="8.796875" defaultRowHeight="13.8"/>
  <cols>
    <col min="1" max="1" width="32" customWidth="1"/>
    <col min="2" max="2" width="30" customWidth="1"/>
    <col min="3" max="7" width="18" customWidth="1"/>
    <col min="8" max="8" width="16" customWidth="1"/>
  </cols>
  <sheetData>
    <row r="1" spans="1:10" ht="22.35" customHeight="1">
      <c r="A1" s="3539"/>
      <c r="B1" s="3540"/>
      <c r="C1" s="3541"/>
      <c r="D1" s="3542"/>
      <c r="E1" s="3543"/>
      <c r="F1" s="3544"/>
      <c r="G1" s="3545"/>
      <c r="H1" s="3546"/>
      <c r="I1" s="2944"/>
      <c r="J1" s="2945"/>
    </row>
    <row r="2" spans="1:10" ht="17.399999999999999">
      <c r="A2" s="2946"/>
      <c r="B2" t="s" s="3547">
        <v>442</v>
      </c>
      <c r="C2" s="3548"/>
      <c r="D2" s="3549"/>
      <c r="E2" s="3550"/>
      <c r="F2" s="3551"/>
      <c r="G2" s="3552"/>
      <c r="H2" s="2947"/>
      <c r="I2" s="2948"/>
      <c r="J2" s="2949"/>
    </row>
    <row r="3" spans="1:10">
      <c r="A3" s="2950"/>
      <c r="B3" t="s" s="2951">
        <v>432</v>
      </c>
      <c r="C3" s="2952">
        <f>Dashboard!C5</f>
      </c>
      <c r="D3" s="2953"/>
      <c r="E3" s="2954"/>
      <c r="F3" s="2955"/>
      <c r="G3" s="2956"/>
      <c r="H3" s="2957"/>
      <c r="I3" s="2958"/>
      <c r="J3" s="2959"/>
    </row>
    <row r="4" spans="1:10">
      <c r="A4" s="2960"/>
      <c r="B4" s="2961"/>
      <c r="C4" s="2962"/>
      <c r="D4" s="2963"/>
      <c r="E4" s="2964"/>
      <c r="F4" s="2965"/>
      <c r="G4" s="2966"/>
      <c r="H4" s="2967"/>
      <c r="I4" s="2968"/>
      <c r="J4" s="2969"/>
    </row>
    <row r="5" spans="1:10" ht="27.6">
      <c r="A5" s="2970"/>
      <c r="B5" t="s" s="2971">
        <v>0</v>
      </c>
      <c r="C5" t="s" s="2972">
        <v>443</v>
      </c>
      <c r="D5" t="s" s="2973">
        <v>444</v>
      </c>
      <c r="E5" t="s" s="2974">
        <v>445</v>
      </c>
      <c r="F5" t="s" s="2975">
        <v>446</v>
      </c>
      <c r="G5" t="s" s="2976">
        <v>447</v>
      </c>
      <c r="H5" s="2977"/>
      <c r="I5" s="2978"/>
      <c r="J5" s="2979"/>
    </row>
    <row r="6" spans="1:10">
      <c r="A6" s="2980"/>
      <c r="B6" s="2981">
        <f>IF(ROWS($6:6)&lt;=MAX(Catalogos!$R$4:$R$11), IFERROR(INDEX(Catalogos!$B$4:$B$11, MATCH(ROWS($6:6), Catalogos!$R$4:$R$11, 0)), ""), IF(ROWS($6:6)=MAX(Catalogos!$R$4:$R$11)+1, "TOTAL GENERAL", ""))</f>
      </c>
      <c r="C6" s="2982">
        <f>IF(ROWS($6:6)&lt;=MAX(Catalogos!$R$4:$R$11), SUMIFS(Captura_Marimba_M01!$G:$G, Captura_Marimba_M01!$C:$C, $B6, Captura_Marimba_M01!$A:$A, "&gt;=" &amp; $C$3, Captura_Marimba_M01!$A:$A, "&lt;=" &amp; ($C$3+6)), IF(ROWS($6:6)=MAX(Catalogos!$R$4:$R$11)+1, SUMIFS(Captura_Marimba_M01!$G:$G, Captura_Marimba_M01!$A:$A, "&gt;=" &amp; $C$3, Captura_Marimba_M01!$A:$A, "&lt;=" &amp; ($C$3+6)), ""))</f>
      </c>
      <c r="D6" s="2983">
        <f>IF(ROWS($6:6)&lt;=MAX(Catalogos!$R$4:$R$11), SUMIFS(Captura_Pegaso!$H:$H, Captura_Pegaso!$D:$D, $B6, Captura_Pegaso!$A:$A, "&gt;=" &amp; $C$3, Captura_Pegaso!$A:$A, "&lt;=" &amp; ($C$3+6)), IF(ROWS($6:6)=MAX(Catalogos!$R$4:$R$11)+1, SUMIFS(Captura_Pegaso!$H:$H, Captura_Pegaso!$A:$A, "&gt;=" &amp; $C$3, Captura_Pegaso!$A:$A, "&lt;=" &amp; ($C$3+6)), ""))</f>
      </c>
      <c r="E6" s="2984">
        <f>IF(ROWS($6:6)&lt;=MAX(Catalogos!$R$4:$R$11)+1, C6+D6, "")</f>
      </c>
      <c r="F6" s="2985">
        <f>IF(ROWS($6:6)&lt;=MAX(Catalogos!$R$4:$R$11), SUMIFS(Captura_Obra!$F:$F, Captura_Obra!$B:$B, $B6, Captura_Obra!$A:$A, "&gt;=" &amp; $C$3, Captura_Obra!$A:$A, "&lt;=" &amp; ($C$3+6)), IF(ROWS($6:6)=MAX(Catalogos!$R$4:$R$11)+1, SUMIFS(Captura_Obra!$F:$F, Captura_Obra!$A:$A, "&gt;=" &amp; $C$3, Captura_Obra!$A:$A, "&lt;=" &amp; ($C$3+6)), ""))</f>
      </c>
      <c r="G6" s="2986">
        <f>IF(ROWS($6:6)&lt;=MAX(Catalogos!$R$4:$R$11)+1, E6-F6, "")</f>
      </c>
      <c r="H6" s="2987"/>
      <c r="I6" s="2988"/>
      <c r="J6" s="2989"/>
    </row>
    <row r="7" spans="1:10">
      <c r="A7" s="2990"/>
      <c r="B7" s="2991">
        <f>IF(ROWS($6:7)&lt;=MAX(Catalogos!$R$4:$R$11), IFERROR(INDEX(Catalogos!$B$4:$B$11, MATCH(ROWS($6:7), Catalogos!$R$4:$R$11, 0)), ""), IF(ROWS($6:7)=MAX(Catalogos!$R$4:$R$11)+1, "TOTAL GENERAL", ""))</f>
      </c>
      <c r="C7" s="2992">
        <f>IF(ROWS($6:7)&lt;=MAX(Catalogos!$R$4:$R$11), SUMIFS(Captura_Marimba_M01!$G:$G, Captura_Marimba_M01!$C:$C, $B7, Captura_Marimba_M01!$A:$A, "&gt;=" &amp; $C$3, Captura_Marimba_M01!$A:$A, "&lt;=" &amp; ($C$3+6)), IF(ROWS($6:7)=MAX(Catalogos!$R$4:$R$11)+1, SUMIFS(Captura_Marimba_M01!$G:$G, Captura_Marimba_M01!$A:$A, "&gt;=" &amp; $C$3, Captura_Marimba_M01!$A:$A, "&lt;=" &amp; ($C$3+6)), ""))</f>
      </c>
      <c r="D7" s="2993">
        <f>IF(ROWS($6:7)&lt;=MAX(Catalogos!$R$4:$R$11), SUMIFS(Captura_Pegaso!$H:$H, Captura_Pegaso!$D:$D, $B7, Captura_Pegaso!$A:$A, "&gt;=" &amp; $C$3, Captura_Pegaso!$A:$A, "&lt;=" &amp; ($C$3+6)), IF(ROWS($6:7)=MAX(Catalogos!$R$4:$R$11)+1, SUMIFS(Captura_Pegaso!$H:$H, Captura_Pegaso!$A:$A, "&gt;=" &amp; $C$3, Captura_Pegaso!$A:$A, "&lt;=" &amp; ($C$3+6)), ""))</f>
      </c>
      <c r="E7" s="2994">
        <f>IF(ROWS($6:7)&lt;=MAX(Catalogos!$R$4:$R$11)+1, C7+D7, "")</f>
      </c>
      <c r="F7" s="2995">
        <f>IF(ROWS($6:7)&lt;=MAX(Catalogos!$R$4:$R$11), SUMIFS(Captura_Obra!$F:$F, Captura_Obra!$B:$B, $B7, Captura_Obra!$A:$A, "&gt;=" &amp; $C$3, Captura_Obra!$A:$A, "&lt;=" &amp; ($C$3+6)), IF(ROWS($6:7)=MAX(Catalogos!$R$4:$R$11)+1, SUMIFS(Captura_Obra!$F:$F, Captura_Obra!$A:$A, "&gt;=" &amp; $C$3, Captura_Obra!$A:$A, "&lt;=" &amp; ($C$3+6)), ""))</f>
      </c>
      <c r="G7" s="2996">
        <f>IF(ROWS($6:7)&lt;=MAX(Catalogos!$R$4:$R$11)+1, E7-F7, "")</f>
      </c>
      <c r="H7" s="2997"/>
      <c r="I7" s="2998"/>
      <c r="J7" s="2999"/>
    </row>
    <row r="8" spans="1:10">
      <c r="A8" s="3000"/>
      <c r="B8" s="3001">
        <f>IF(ROWS($6:8)&lt;=MAX(Catalogos!$R$4:$R$11), IFERROR(INDEX(Catalogos!$B$4:$B$11, MATCH(ROWS($6:8), Catalogos!$R$4:$R$11, 0)), ""), IF(ROWS($6:8)=MAX(Catalogos!$R$4:$R$11)+1, "TOTAL GENERAL", ""))</f>
      </c>
      <c r="C8" s="3002">
        <f>IF(ROWS($6:8)&lt;=MAX(Catalogos!$R$4:$R$11), SUMIFS(Captura_Marimba_M01!$G:$G, Captura_Marimba_M01!$C:$C, $B8, Captura_Marimba_M01!$A:$A, "&gt;=" &amp; $C$3, Captura_Marimba_M01!$A:$A, "&lt;=" &amp; ($C$3+6)), IF(ROWS($6:8)=MAX(Catalogos!$R$4:$R$11)+1, SUMIFS(Captura_Marimba_M01!$G:$G, Captura_Marimba_M01!$A:$A, "&gt;=" &amp; $C$3, Captura_Marimba_M01!$A:$A, "&lt;=" &amp; ($C$3+6)), ""))</f>
      </c>
      <c r="D8" s="3003">
        <f>IF(ROWS($6:8)&lt;=MAX(Catalogos!$R$4:$R$11), SUMIFS(Captura_Pegaso!$H:$H, Captura_Pegaso!$D:$D, $B8, Captura_Pegaso!$A:$A, "&gt;=" &amp; $C$3, Captura_Pegaso!$A:$A, "&lt;=" &amp; ($C$3+6)), IF(ROWS($6:8)=MAX(Catalogos!$R$4:$R$11)+1, SUMIFS(Captura_Pegaso!$H:$H, Captura_Pegaso!$A:$A, "&gt;=" &amp; $C$3, Captura_Pegaso!$A:$A, "&lt;=" &amp; ($C$3+6)), ""))</f>
      </c>
      <c r="E8" s="3004">
        <f>IF(ROWS($6:8)&lt;=MAX(Catalogos!$R$4:$R$11)+1, C8+D8, "")</f>
      </c>
      <c r="F8" s="3005">
        <f>IF(ROWS($6:8)&lt;=MAX(Catalogos!$R$4:$R$11), SUMIFS(Captura_Obra!$F:$F, Captura_Obra!$B:$B, $B8, Captura_Obra!$A:$A, "&gt;=" &amp; $C$3, Captura_Obra!$A:$A, "&lt;=" &amp; ($C$3+6)), IF(ROWS($6:8)=MAX(Catalogos!$R$4:$R$11)+1, SUMIFS(Captura_Obra!$F:$F, Captura_Obra!$A:$A, "&gt;=" &amp; $C$3, Captura_Obra!$A:$A, "&lt;=" &amp; ($C$3+6)), ""))</f>
      </c>
      <c r="G8" s="3006">
        <f>IF(ROWS($6:8)&lt;=MAX(Catalogos!$R$4:$R$11)+1, E8-F8, "")</f>
      </c>
      <c r="H8" s="3007"/>
      <c r="I8" s="3008"/>
      <c r="J8" s="3009"/>
    </row>
    <row r="9" spans="1:10">
      <c r="A9" s="3010"/>
      <c r="B9" s="3011">
        <f>IF(ROWS($6:9)&lt;=MAX(Catalogos!$R$4:$R$11), IFERROR(INDEX(Catalogos!$B$4:$B$11, MATCH(ROWS($6:9), Catalogos!$R$4:$R$11, 0)), ""), IF(ROWS($6:9)=MAX(Catalogos!$R$4:$R$11)+1, "TOTAL GENERAL", ""))</f>
      </c>
      <c r="C9" s="3012">
        <f>IF(ROWS($6:9)&lt;=MAX(Catalogos!$R$4:$R$11), SUMIFS(Captura_Marimba_M01!$G:$G, Captura_Marimba_M01!$C:$C, $B9, Captura_Marimba_M01!$A:$A, "&gt;=" &amp; $C$3, Captura_Marimba_M01!$A:$A, "&lt;=" &amp; ($C$3+6)), IF(ROWS($6:9)=MAX(Catalogos!$R$4:$R$11)+1, SUMIFS(Captura_Marimba_M01!$G:$G, Captura_Marimba_M01!$A:$A, "&gt;=" &amp; $C$3, Captura_Marimba_M01!$A:$A, "&lt;=" &amp; ($C$3+6)), ""))</f>
      </c>
      <c r="D9" s="3013">
        <f>IF(ROWS($6:9)&lt;=MAX(Catalogos!$R$4:$R$11), SUMIFS(Captura_Pegaso!$H:$H, Captura_Pegaso!$D:$D, $B9, Captura_Pegaso!$A:$A, "&gt;=" &amp; $C$3, Captura_Pegaso!$A:$A, "&lt;=" &amp; ($C$3+6)), IF(ROWS($6:9)=MAX(Catalogos!$R$4:$R$11)+1, SUMIFS(Captura_Pegaso!$H:$H, Captura_Pegaso!$A:$A, "&gt;=" &amp; $C$3, Captura_Pegaso!$A:$A, "&lt;=" &amp; ($C$3+6)), ""))</f>
      </c>
      <c r="E9" s="3014">
        <f>IF(ROWS($6:9)&lt;=MAX(Catalogos!$R$4:$R$11)+1, C9+D9, "")</f>
      </c>
      <c r="F9" s="3015">
        <f>IF(ROWS($6:9)&lt;=MAX(Catalogos!$R$4:$R$11), SUMIFS(Captura_Obra!$F:$F, Captura_Obra!$B:$B, $B9, Captura_Obra!$A:$A, "&gt;=" &amp; $C$3, Captura_Obra!$A:$A, "&lt;=" &amp; ($C$3+6)), IF(ROWS($6:9)=MAX(Catalogos!$R$4:$R$11)+1, SUMIFS(Captura_Obra!$F:$F, Captura_Obra!$A:$A, "&gt;=" &amp; $C$3, Captura_Obra!$A:$A, "&lt;=" &amp; ($C$3+6)), ""))</f>
      </c>
      <c r="G9" s="3016">
        <f>IF(ROWS($6:9)&lt;=MAX(Catalogos!$R$4:$R$11)+1, E9-F9, "")</f>
      </c>
      <c r="H9" s="3017"/>
      <c r="I9" s="3018"/>
      <c r="J9" s="3019"/>
    </row>
    <row r="10" spans="1:10">
      <c r="A10" s="3020"/>
      <c r="B10" s="3021">
        <f>IF(ROWS($6:10)&lt;=MAX(Catalogos!$R$4:$R$11), IFERROR(INDEX(Catalogos!$B$4:$B$11, MATCH(ROWS($6:10), Catalogos!$R$4:$R$11, 0)), ""), IF(ROWS($6:10)=MAX(Catalogos!$R$4:$R$11)+1, "TOTAL GENERAL", ""))</f>
      </c>
      <c r="C10" s="3022">
        <f>IF(ROWS($6:10)&lt;=MAX(Catalogos!$R$4:$R$11), SUMIFS(Captura_Marimba_M01!$G:$G, Captura_Marimba_M01!$C:$C, $B10, Captura_Marimba_M01!$A:$A, "&gt;=" &amp; $C$3, Captura_Marimba_M01!$A:$A, "&lt;=" &amp; ($C$3+6)), IF(ROWS($6:10)=MAX(Catalogos!$R$4:$R$11)+1, SUMIFS(Captura_Marimba_M01!$G:$G, Captura_Marimba_M01!$A:$A, "&gt;=" &amp; $C$3, Captura_Marimba_M01!$A:$A, "&lt;=" &amp; ($C$3+6)), ""))</f>
      </c>
      <c r="D10" s="3023">
        <f>IF(ROWS($6:10)&lt;=MAX(Catalogos!$R$4:$R$11), SUMIFS(Captura_Pegaso!$H:$H, Captura_Pegaso!$D:$D, $B10, Captura_Pegaso!$A:$A, "&gt;=" &amp; $C$3, Captura_Pegaso!$A:$A, "&lt;=" &amp; ($C$3+6)), IF(ROWS($6:10)=MAX(Catalogos!$R$4:$R$11)+1, SUMIFS(Captura_Pegaso!$H:$H, Captura_Pegaso!$A:$A, "&gt;=" &amp; $C$3, Captura_Pegaso!$A:$A, "&lt;=" &amp; ($C$3+6)), ""))</f>
      </c>
      <c r="E10" s="3024">
        <f>IF(ROWS($6:10)&lt;=MAX(Catalogos!$R$4:$R$11)+1, C10+D10, "")</f>
      </c>
      <c r="F10" s="3025">
        <f>IF(ROWS($6:10)&lt;=MAX(Catalogos!$R$4:$R$11), SUMIFS(Captura_Obra!$F:$F, Captura_Obra!$B:$B, $B10, Captura_Obra!$A:$A, "&gt;=" &amp; $C$3, Captura_Obra!$A:$A, "&lt;=" &amp; ($C$3+6)), IF(ROWS($6:10)=MAX(Catalogos!$R$4:$R$11)+1, SUMIFS(Captura_Obra!$F:$F, Captura_Obra!$A:$A, "&gt;=" &amp; $C$3, Captura_Obra!$A:$A, "&lt;=" &amp; ($C$3+6)), ""))</f>
      </c>
      <c r="G10" s="3026">
        <f>IF(ROWS($6:10)&lt;=MAX(Catalogos!$R$4:$R$11)+1, E10-F10, "")</f>
      </c>
      <c r="H10" s="3027"/>
      <c r="I10" s="3028"/>
      <c r="J10" s="3029"/>
    </row>
    <row r="11" spans="1:10">
      <c r="A11" s="3030"/>
      <c r="B11" s="3031">
        <f>IF(ROWS($6:11)&lt;=MAX(Catalogos!$R$4:$R$11), IFERROR(INDEX(Catalogos!$B$4:$B$11, MATCH(ROWS($6:11), Catalogos!$R$4:$R$11, 0)), ""), IF(ROWS($6:11)=MAX(Catalogos!$R$4:$R$11)+1, "TOTAL GENERAL", ""))</f>
      </c>
      <c r="C11" s="3032">
        <f>IF(ROWS($6:11)&lt;=MAX(Catalogos!$R$4:$R$11), SUMIFS(Captura_Marimba_M01!$G:$G, Captura_Marimba_M01!$C:$C, $B11, Captura_Marimba_M01!$A:$A, "&gt;=" &amp; $C$3, Captura_Marimba_M01!$A:$A, "&lt;=" &amp; ($C$3+6)), IF(ROWS($6:11)=MAX(Catalogos!$R$4:$R$11)+1, SUMIFS(Captura_Marimba_M01!$G:$G, Captura_Marimba_M01!$A:$A, "&gt;=" &amp; $C$3, Captura_Marimba_M01!$A:$A, "&lt;=" &amp; ($C$3+6)), ""))</f>
      </c>
      <c r="D11" s="3033">
        <f>IF(ROWS($6:11)&lt;=MAX(Catalogos!$R$4:$R$11), SUMIFS(Captura_Pegaso!$H:$H, Captura_Pegaso!$D:$D, $B11, Captura_Pegaso!$A:$A, "&gt;=" &amp; $C$3, Captura_Pegaso!$A:$A, "&lt;=" &amp; ($C$3+6)), IF(ROWS($6:11)=MAX(Catalogos!$R$4:$R$11)+1, SUMIFS(Captura_Pegaso!$H:$H, Captura_Pegaso!$A:$A, "&gt;=" &amp; $C$3, Captura_Pegaso!$A:$A, "&lt;=" &amp; ($C$3+6)), ""))</f>
      </c>
      <c r="E11" s="3034">
        <f>IF(ROWS($6:11)&lt;=MAX(Catalogos!$R$4:$R$11)+1, C11+D11, "")</f>
      </c>
      <c r="F11" s="3035">
        <f>IF(ROWS($6:11)&lt;=MAX(Catalogos!$R$4:$R$11), SUMIFS(Captura_Obra!$F:$F, Captura_Obra!$B:$B, $B11, Captura_Obra!$A:$A, "&gt;=" &amp; $C$3, Captura_Obra!$A:$A, "&lt;=" &amp; ($C$3+6)), IF(ROWS($6:11)=MAX(Catalogos!$R$4:$R$11)+1, SUMIFS(Captura_Obra!$F:$F, Captura_Obra!$A:$A, "&gt;=" &amp; $C$3, Captura_Obra!$A:$A, "&lt;=" &amp; ($C$3+6)), ""))</f>
      </c>
      <c r="G11" s="3036">
        <f>IF(ROWS($6:11)&lt;=MAX(Catalogos!$R$4:$R$11)+1, E11-F11, "")</f>
      </c>
      <c r="H11" s="3037"/>
      <c r="I11" s="3038"/>
      <c r="J11" s="3039"/>
    </row>
    <row r="12" spans="1:10">
      <c r="A12" s="3040"/>
      <c r="B12" s="3041">
        <f>IF(ROWS($6:12)&lt;=MAX(Catalogos!$R$4:$R$11), IFERROR(INDEX(Catalogos!$B$4:$B$11, MATCH(ROWS($6:12), Catalogos!$R$4:$R$11, 0)), ""), IF(ROWS($6:12)=MAX(Catalogos!$R$4:$R$11)+1, "TOTAL GENERAL", ""))</f>
      </c>
      <c r="C12" s="3042">
        <f>IF(ROWS($6:12)&lt;=MAX(Catalogos!$R$4:$R$11), SUMIFS(Captura_Marimba_M01!$G:$G, Captura_Marimba_M01!$C:$C, $B12, Captura_Marimba_M01!$A:$A, "&gt;=" &amp; $C$3, Captura_Marimba_M01!$A:$A, "&lt;=" &amp; ($C$3+6)), IF(ROWS($6:12)=MAX(Catalogos!$R$4:$R$11)+1, SUMIFS(Captura_Marimba_M01!$G:$G, Captura_Marimba_M01!$A:$A, "&gt;=" &amp; $C$3, Captura_Marimba_M01!$A:$A, "&lt;=" &amp; ($C$3+6)), ""))</f>
      </c>
      <c r="D12" s="3043">
        <f>IF(ROWS($6:12)&lt;=MAX(Catalogos!$R$4:$R$11), SUMIFS(Captura_Pegaso!$H:$H, Captura_Pegaso!$D:$D, $B12, Captura_Pegaso!$A:$A, "&gt;=" &amp; $C$3, Captura_Pegaso!$A:$A, "&lt;=" &amp; ($C$3+6)), IF(ROWS($6:12)=MAX(Catalogos!$R$4:$R$11)+1, SUMIFS(Captura_Pegaso!$H:$H, Captura_Pegaso!$A:$A, "&gt;=" &amp; $C$3, Captura_Pegaso!$A:$A, "&lt;=" &amp; ($C$3+6)), ""))</f>
      </c>
      <c r="E12" s="3044">
        <f>IF(ROWS($6:12)&lt;=MAX(Catalogos!$R$4:$R$11)+1, C12+D12, "")</f>
      </c>
      <c r="F12" s="3045">
        <f>IF(ROWS($6:12)&lt;=MAX(Catalogos!$R$4:$R$11), SUMIFS(Captura_Obra!$F:$F, Captura_Obra!$B:$B, $B12, Captura_Obra!$A:$A, "&gt;=" &amp; $C$3, Captura_Obra!$A:$A, "&lt;=" &amp; ($C$3+6)), IF(ROWS($6:12)=MAX(Catalogos!$R$4:$R$11)+1, SUMIFS(Captura_Obra!$F:$F, Captura_Obra!$A:$A, "&gt;=" &amp; $C$3, Captura_Obra!$A:$A, "&lt;=" &amp; ($C$3+6)), ""))</f>
      </c>
      <c r="G12" s="3046">
        <f>IF(ROWS($6:12)&lt;=MAX(Catalogos!$R$4:$R$11)+1, E12-F12, "")</f>
      </c>
      <c r="H12" s="3047"/>
      <c r="I12" s="3048"/>
      <c r="J12" s="3049"/>
    </row>
    <row r="13" spans="1:10">
      <c r="A13" s="3050"/>
      <c r="B13" s="3051">
        <f>IF(ROWS($6:13)&lt;=MAX(Catalogos!$R$4:$R$11), IFERROR(INDEX(Catalogos!$B$4:$B$11, MATCH(ROWS($6:13), Catalogos!$R$4:$R$11, 0)), ""), IF(ROWS($6:13)=MAX(Catalogos!$R$4:$R$11)+1, "TOTAL GENERAL", ""))</f>
      </c>
      <c r="C13" s="3052">
        <f>IF(ROWS($6:13)&lt;=MAX(Catalogos!$R$4:$R$11), SUMIFS(Captura_Marimba_M01!$G:$G, Captura_Marimba_M01!$C:$C, $B13, Captura_Marimba_M01!$A:$A, "&gt;=" &amp; $C$3, Captura_Marimba_M01!$A:$A, "&lt;=" &amp; ($C$3+6)), IF(ROWS($6:13)=MAX(Catalogos!$R$4:$R$11)+1, SUMIFS(Captura_Marimba_M01!$G:$G, Captura_Marimba_M01!$A:$A, "&gt;=" &amp; $C$3, Captura_Marimba_M01!$A:$A, "&lt;=" &amp; ($C$3+6)), ""))</f>
      </c>
      <c r="D13" s="3053">
        <f>IF(ROWS($6:13)&lt;=MAX(Catalogos!$R$4:$R$11), SUMIFS(Captura_Pegaso!$H:$H, Captura_Pegaso!$D:$D, $B13, Captura_Pegaso!$A:$A, "&gt;=" &amp; $C$3, Captura_Pegaso!$A:$A, "&lt;=" &amp; ($C$3+6)), IF(ROWS($6:13)=MAX(Catalogos!$R$4:$R$11)+1, SUMIFS(Captura_Pegaso!$H:$H, Captura_Pegaso!$A:$A, "&gt;=" &amp; $C$3, Captura_Pegaso!$A:$A, "&lt;=" &amp; ($C$3+6)), ""))</f>
      </c>
      <c r="E13" s="3054">
        <f>IF(ROWS($6:13)&lt;=MAX(Catalogos!$R$4:$R$11)+1, C13+D13, "")</f>
      </c>
      <c r="F13" s="3055">
        <f>IF(ROWS($6:13)&lt;=MAX(Catalogos!$R$4:$R$11), SUMIFS(Captura_Obra!$F:$F, Captura_Obra!$B:$B, $B13, Captura_Obra!$A:$A, "&gt;=" &amp; $C$3, Captura_Obra!$A:$A, "&lt;=" &amp; ($C$3+6)), IF(ROWS($6:13)=MAX(Catalogos!$R$4:$R$11)+1, SUMIFS(Captura_Obra!$F:$F, Captura_Obra!$A:$A, "&gt;=" &amp; $C$3, Captura_Obra!$A:$A, "&lt;=" &amp; ($C$3+6)), ""))</f>
      </c>
      <c r="G13" s="3056">
        <f>IF(ROWS($6:13)&lt;=MAX(Catalogos!$R$4:$R$11)+1, E13-F13, "")</f>
      </c>
      <c r="H13" s="3057"/>
      <c r="I13" s="3058"/>
      <c r="J13" s="3059"/>
    </row>
    <row r="14" spans="1:10">
      <c r="A14" s="3060"/>
      <c r="B14" s="3061">
        <f>IF(ROWS($6:14)&lt;=MAX(Catalogos!$R$4:$R$11), IFERROR(INDEX(Catalogos!$B$4:$B$11, MATCH(ROWS($6:14), Catalogos!$R$4:$R$11, 0)), ""), IF(ROWS($6:14)=MAX(Catalogos!$R$4:$R$11)+1, "TOTAL GENERAL", ""))</f>
      </c>
      <c r="C14" s="3062">
        <f>IF(ROWS($6:14)&lt;=MAX(Catalogos!$R$4:$R$11), SUMIFS(Captura_Marimba_M01!$G:$G, Captura_Marimba_M01!$C:$C, $B14, Captura_Marimba_M01!$A:$A, "&gt;=" &amp; $C$3, Captura_Marimba_M01!$A:$A, "&lt;=" &amp; ($C$3+6)), IF(ROWS($6:14)=MAX(Catalogos!$R$4:$R$11)+1, SUMIFS(Captura_Marimba_M01!$G:$G, Captura_Marimba_M01!$A:$A, "&gt;=" &amp; $C$3, Captura_Marimba_M01!$A:$A, "&lt;=" &amp; ($C$3+6)), ""))</f>
      </c>
      <c r="D14" s="3063">
        <f>IF(ROWS($6:14)&lt;=MAX(Catalogos!$R$4:$R$11), SUMIFS(Captura_Pegaso!$H:$H, Captura_Pegaso!$D:$D, $B14, Captura_Pegaso!$A:$A, "&gt;=" &amp; $C$3, Captura_Pegaso!$A:$A, "&lt;=" &amp; ($C$3+6)), IF(ROWS($6:14)=MAX(Catalogos!$R$4:$R$11)+1, SUMIFS(Captura_Pegaso!$H:$H, Captura_Pegaso!$A:$A, "&gt;=" &amp; $C$3, Captura_Pegaso!$A:$A, "&lt;=" &amp; ($C$3+6)), ""))</f>
      </c>
      <c r="E14" s="3064">
        <f>IF(ROWS($6:14)&lt;=MAX(Catalogos!$R$4:$R$11)+1, C14+D14, "")</f>
      </c>
      <c r="F14" s="3065">
        <f>IF(ROWS($6:14)&lt;=MAX(Catalogos!$R$4:$R$11), SUMIFS(Captura_Obra!$F:$F, Captura_Obra!$B:$B, $B14, Captura_Obra!$A:$A, "&gt;=" &amp; $C$3, Captura_Obra!$A:$A, "&lt;=" &amp; ($C$3+6)), IF(ROWS($6:14)=MAX(Catalogos!$R$4:$R$11)+1, SUMIFS(Captura_Obra!$F:$F, Captura_Obra!$A:$A, "&gt;=" &amp; $C$3, Captura_Obra!$A:$A, "&lt;=" &amp; ($C$3+6)), ""))</f>
      </c>
      <c r="G14" s="3066">
        <f>IF(ROWS($6:14)&lt;=MAX(Catalogos!$R$4:$R$11)+1, E14-F14, "")</f>
      </c>
      <c r="H14" s="3067"/>
      <c r="I14" s="3068"/>
      <c r="J14" s="3069"/>
    </row>
    <row r="15" spans="1:10">
      <c r="A15" s="3070"/>
      <c r="B15" s="3071"/>
      <c r="C15" s="3072"/>
      <c r="D15" s="3073"/>
      <c r="E15" s="3074"/>
      <c r="F15" s="3075"/>
      <c r="G15" s="3076"/>
      <c r="H15" s="3077"/>
      <c r="I15" s="3078"/>
      <c r="J15" s="3079"/>
    </row>
    <row r="16" spans="1:10">
      <c r="A16" s="3080"/>
      <c r="B16" s="3081"/>
      <c r="C16" s="3082"/>
      <c r="D16" s="3083"/>
      <c r="E16" s="3084"/>
      <c r="F16" s="3085"/>
      <c r="G16" s="3086"/>
      <c r="H16" s="3087"/>
      <c r="I16" s="3088"/>
      <c r="J16" s="3089"/>
    </row>
    <row r="17" spans="1:10">
      <c r="A17" s="3090"/>
      <c r="B17" s="3091"/>
      <c r="C17" s="3092"/>
      <c r="D17" s="3093"/>
      <c r="E17" s="3094"/>
      <c r="F17" s="3095"/>
      <c r="G17" s="3096"/>
      <c r="H17" s="3097"/>
      <c r="I17" s="3098"/>
      <c r="J17" s="3099"/>
    </row>
    <row r="18" spans="1:10" ht="17.399999999999999">
      <c r="A18" s="3100"/>
      <c r="B18" t="s" s="3553">
        <v>449</v>
      </c>
      <c r="C18" s="3554"/>
      <c r="D18" s="3555"/>
      <c r="E18" s="3556"/>
      <c r="F18" s="3557"/>
      <c r="G18" s="3558"/>
      <c r="H18" s="3101"/>
      <c r="I18" s="3102"/>
      <c r="J18" s="3103"/>
    </row>
    <row r="19" spans="1:10">
      <c r="A19" s="3104"/>
      <c r="B19" t="s" s="3105">
        <v>432</v>
      </c>
      <c r="C19" s="3106">
        <f>$C$3</f>
      </c>
      <c r="D19" s="3107"/>
      <c r="E19" s="3108"/>
      <c r="F19" s="3109"/>
      <c r="G19" s="3110"/>
      <c r="H19" s="3111"/>
      <c r="I19" s="3112"/>
      <c r="J19" s="3113"/>
    </row>
    <row r="20" spans="1:10">
      <c r="A20" s="3114"/>
      <c r="B20" t="s" s="3115">
        <v>450</v>
      </c>
      <c r="C20" t="s" s="3116">
        <v>3</v>
      </c>
      <c r="D20" s="3117"/>
      <c r="E20" s="3118"/>
      <c r="F20" s="3119"/>
      <c r="G20" s="3120"/>
      <c r="H20" s="3121"/>
      <c r="I20" s="3122"/>
      <c r="J20" s="3123"/>
    </row>
    <row r="21" spans="1:10">
      <c r="A21" s="3124"/>
      <c r="B21" s="3125"/>
      <c r="C21" s="3126"/>
      <c r="D21" s="3127"/>
      <c r="E21" s="3128"/>
      <c r="F21" s="3129"/>
      <c r="G21" s="3130"/>
      <c r="H21" s="3131"/>
      <c r="I21" s="3132"/>
      <c r="J21" s="3133"/>
    </row>
    <row r="22" spans="1:10" ht="27.6">
      <c r="A22" s="3134"/>
      <c r="B22" t="s" s="3135">
        <v>451</v>
      </c>
      <c r="C22" t="s" s="3136">
        <v>443</v>
      </c>
      <c r="D22" t="s" s="3137">
        <v>444</v>
      </c>
      <c r="E22" t="s" s="3138">
        <v>445</v>
      </c>
      <c r="F22" t="s" s="3139">
        <v>446</v>
      </c>
      <c r="G22" t="s" s="3140">
        <v>447</v>
      </c>
      <c r="H22" s="3141"/>
      <c r="I22" s="3142"/>
      <c r="J22" s="3143"/>
    </row>
    <row r="23" spans="1:10" ht="15" customHeight="1">
      <c r="A23" s="3144"/>
      <c r="B23" s="3268">
        <f>$C$19</f>
      </c>
      <c r="C23" s="3269">
        <f>IF(OR($C$19="", $C$20=""), "", SUMIFS(Captura_Marimba_M01!$G:$G, Captura_Marimba_M01!$C:$C, $C$20, Captura_Marimba_M01!$A:$A, $B23))</f>
      </c>
      <c r="D23" s="3270">
        <f>IF(OR($C$19="", $C$20=""), "", SUMIFS(Captura_Pegaso!$H:$H, Captura_Pegaso!$D:$D, $C$20, Captura_Pegaso!$A:$A, $B23))</f>
      </c>
      <c r="E23" s="3271">
        <f t="shared" ref="E23:E29" si="0">IF(OR($C$19="", $C$20=""), "", C23+D23)</f>
      </c>
      <c r="F23" s="3272">
        <f>IF(OR($C$19="", $C$20=""), "", SUMIFS(Captura_Obra!$F:$F, Captura_Obra!$B:$B, $C$20, Captura_Obra!$A:$A, $B23))</f>
      </c>
      <c r="G23" s="3273">
        <f t="shared" ref="G23:G29" si="1">IF(OR($C$19="", $C$20=""), "", E23-F23)</f>
      </c>
      <c r="H23" s="3145"/>
      <c r="I23" s="3146"/>
      <c r="J23" s="3147"/>
    </row>
    <row r="24" spans="1:10">
      <c r="A24" s="3148"/>
      <c r="B24" s="3149">
        <f t="shared" ref="B24:B29" si="2">B23+1</f>
      </c>
      <c r="C24" s="3150">
        <f>IF(OR($C$19="", $C$20=""), "", SUMIFS(Captura_Marimba_M01!$G:$G, Captura_Marimba_M01!$C:$C, $C$20, Captura_Marimba_M01!$A:$A, $B24))</f>
      </c>
      <c r="D24" s="3151">
        <f>IF(OR($C$19="", $C$20=""), "", SUMIFS(Captura_Pegaso!$H:$H, Captura_Pegaso!$D:$D, $C$20, Captura_Pegaso!$A:$A, $B24))</f>
      </c>
      <c r="E24" s="3152">
        <f t="shared" si="0"/>
      </c>
      <c r="F24" s="3153">
        <f>IF(OR($C$19="", $C$20=""), "", SUMIFS(Captura_Obra!$F:$F, Captura_Obra!$B:$B, $C$20, Captura_Obra!$A:$A, $B24))</f>
      </c>
      <c r="G24" s="3154">
        <f t="shared" si="1"/>
      </c>
      <c r="H24" s="3155"/>
      <c r="I24" s="3156"/>
      <c r="J24" s="3157"/>
    </row>
    <row r="25" spans="1:10">
      <c r="A25" s="3158"/>
      <c r="B25" s="3159">
        <f t="shared" si="2"/>
      </c>
      <c r="C25" s="3160">
        <f>IF(OR($C$19="", $C$20=""), "", SUMIFS(Captura_Marimba_M01!$G:$G, Captura_Marimba_M01!$C:$C, $C$20, Captura_Marimba_M01!$A:$A, $B25))</f>
      </c>
      <c r="D25" s="3161">
        <f>IF(OR($C$19="", $C$20=""), "", SUMIFS(Captura_Pegaso!$H:$H, Captura_Pegaso!$D:$D, $C$20, Captura_Pegaso!$A:$A, $B25))</f>
      </c>
      <c r="E25" s="3162">
        <f t="shared" si="0"/>
      </c>
      <c r="F25" s="3163">
        <f>IF(OR($C$19="", $C$20=""), "", SUMIFS(Captura_Obra!$F:$F, Captura_Obra!$B:$B, $C$20, Captura_Obra!$A:$A, $B25))</f>
      </c>
      <c r="G25" s="3164">
        <f t="shared" si="1"/>
      </c>
      <c r="H25" s="3165"/>
      <c r="I25" s="3166"/>
      <c r="J25" s="3167"/>
    </row>
    <row r="26" spans="1:10">
      <c r="A26" s="3168"/>
      <c r="B26" s="3169">
        <f t="shared" si="2"/>
      </c>
      <c r="C26" s="3170">
        <f>IF(OR($C$19="", $C$20=""), "", SUMIFS(Captura_Marimba_M01!$G:$G, Captura_Marimba_M01!$C:$C, $C$20, Captura_Marimba_M01!$A:$A, $B26))</f>
      </c>
      <c r="D26" s="3171">
        <f>IF(OR($C$19="", $C$20=""), "", SUMIFS(Captura_Pegaso!$H:$H, Captura_Pegaso!$D:$D, $C$20, Captura_Pegaso!$A:$A, $B26))</f>
      </c>
      <c r="E26" s="3172">
        <f t="shared" si="0"/>
      </c>
      <c r="F26" s="3173">
        <f>IF(OR($C$19="", $C$20=""), "", SUMIFS(Captura_Obra!$F:$F, Captura_Obra!$B:$B, $C$20, Captura_Obra!$A:$A, $B26))</f>
      </c>
      <c r="G26" s="3174">
        <f t="shared" si="1"/>
      </c>
      <c r="H26" s="3175"/>
      <c r="I26" s="3176"/>
      <c r="J26" s="3177"/>
    </row>
    <row r="27" spans="1:10">
      <c r="A27" s="3178"/>
      <c r="B27" s="3179">
        <f t="shared" si="2"/>
      </c>
      <c r="C27" s="3180">
        <f>IF(OR($C$19="", $C$20=""), "", SUMIFS(Captura_Marimba_M01!$G:$G, Captura_Marimba_M01!$C:$C, $C$20, Captura_Marimba_M01!$A:$A, $B27))</f>
      </c>
      <c r="D27" s="3181">
        <f>IF(OR($C$19="", $C$20=""), "", SUMIFS(Captura_Pegaso!$H:$H, Captura_Pegaso!$D:$D, $C$20, Captura_Pegaso!$A:$A, $B27))</f>
      </c>
      <c r="E27" s="3182">
        <f t="shared" si="0"/>
      </c>
      <c r="F27" s="3183">
        <f>IF(OR($C$19="", $C$20=""), "", SUMIFS(Captura_Obra!$F:$F, Captura_Obra!$B:$B, $C$20, Captura_Obra!$A:$A, $B27))</f>
      </c>
      <c r="G27" s="3184">
        <f t="shared" si="1"/>
      </c>
      <c r="H27" s="3185"/>
      <c r="I27" s="3186"/>
      <c r="J27" s="3187"/>
    </row>
    <row r="28" spans="1:10">
      <c r="A28" s="3188"/>
      <c r="B28" s="3189">
        <f t="shared" si="2"/>
      </c>
      <c r="C28" s="3190">
        <f>IF(OR($C$19="", $C$20=""), "", SUMIFS(Captura_Marimba_M01!$G:$G, Captura_Marimba_M01!$C:$C, $C$20, Captura_Marimba_M01!$A:$A, $B28))</f>
      </c>
      <c r="D28" s="3191">
        <f>IF(OR($C$19="", $C$20=""), "", SUMIFS(Captura_Pegaso!$H:$H, Captura_Pegaso!$D:$D, $C$20, Captura_Pegaso!$A:$A, $B28))</f>
      </c>
      <c r="E28" s="3192">
        <f t="shared" si="0"/>
      </c>
      <c r="F28" s="3193">
        <f>IF(OR($C$19="", $C$20=""), "", SUMIFS(Captura_Obra!$F:$F, Captura_Obra!$B:$B, $C$20, Captura_Obra!$A:$A, $B28))</f>
      </c>
      <c r="G28" s="3194">
        <f t="shared" si="1"/>
      </c>
      <c r="H28" s="3195"/>
      <c r="I28" s="3196"/>
      <c r="J28" s="3197"/>
    </row>
    <row r="29" spans="1:10">
      <c r="A29" s="3198"/>
      <c r="B29" s="3199">
        <f t="shared" si="2"/>
      </c>
      <c r="C29" s="3200">
        <f>IF(OR($C$19="", $C$20=""), "", SUMIFS(Captura_Marimba_M01!$G:$G, Captura_Marimba_M01!$C:$C, $C$20, Captura_Marimba_M01!$A:$A, $B29))</f>
      </c>
      <c r="D29" s="3201">
        <f>IF(OR($C$19="", $C$20=""), "", SUMIFS(Captura_Pegaso!$H:$H, Captura_Pegaso!$D:$D, $C$20, Captura_Pegaso!$A:$A, $B29))</f>
      </c>
      <c r="E29" s="3202">
        <f t="shared" si="0"/>
      </c>
      <c r="F29" s="3203">
        <f>IF(OR($C$19="", $C$20=""), "", SUMIFS(Captura_Obra!$F:$F, Captura_Obra!$B:$B, $C$20, Captura_Obra!$A:$A, $B29))</f>
      </c>
      <c r="G29" s="3204">
        <f t="shared" si="1"/>
      </c>
      <c r="H29" s="3205"/>
      <c r="I29" s="3206"/>
      <c r="J29" s="3207"/>
    </row>
    <row r="30" spans="1:10">
      <c r="A30" s="3208"/>
      <c r="B30" t="s" s="3209">
        <v>231</v>
      </c>
      <c r="C30" s="3210">
        <f>IF(OR($C$19="", $C$20=""), "", SUM(C23:C29))</f>
      </c>
      <c r="D30" s="3211">
        <f>IF(OR($C$19="", $C$20=""), "", SUM(D23:D29))</f>
      </c>
      <c r="E30" s="3212">
        <f>IF(OR($C$19="", $C$20=""), "", SUM(E23:E29))</f>
      </c>
      <c r="F30" s="3213">
        <f>IF(OR($C$19="", $C$20=""), "", SUM(F23:F29))</f>
      </c>
      <c r="G30" s="3214">
        <f>IF(OR($C$19="", $C$20=""), "", SUM(G23:G29))</f>
      </c>
      <c r="H30" s="3215"/>
      <c r="I30" s="3216"/>
      <c r="J30" s="3217"/>
    </row>
    <row r="31" spans="1:10">
      <c r="A31" s="3218"/>
      <c r="B31" s="3219"/>
      <c r="C31" s="3220"/>
      <c r="D31" s="3221"/>
      <c r="E31" s="3222"/>
      <c r="F31" s="3223"/>
      <c r="G31" s="3224"/>
      <c r="H31" s="3225"/>
      <c r="I31" s="3226"/>
      <c r="J31" s="3227"/>
    </row>
    <row r="32" spans="1:10">
      <c r="A32" s="3228"/>
      <c r="B32" s="3229"/>
      <c r="C32" s="3230"/>
      <c r="D32" s="3231"/>
      <c r="E32" s="3232"/>
      <c r="F32" s="3233"/>
      <c r="G32" s="3234"/>
      <c r="H32" s="3235"/>
      <c r="I32" s="3236"/>
      <c r="J32" s="3237"/>
    </row>
    <row r="33" spans="1:10">
      <c r="A33" s="3238"/>
      <c r="B33" s="3239"/>
      <c r="C33" s="3240"/>
      <c r="D33" s="3241"/>
      <c r="E33" s="3242"/>
      <c r="F33" s="3243"/>
      <c r="G33" s="3244"/>
      <c r="H33" s="3245"/>
      <c r="I33" s="3246"/>
      <c r="J33" s="3247"/>
    </row>
    <row r="34" spans="1:10">
      <c r="A34" s="3248"/>
      <c r="B34" s="3249"/>
      <c r="C34" s="3250"/>
      <c r="D34" s="3251"/>
      <c r="E34" s="3252"/>
      <c r="F34" s="3253"/>
      <c r="G34" s="3254"/>
      <c r="H34" s="3255"/>
      <c r="I34" s="3256"/>
      <c r="J34" s="3257"/>
    </row>
    <row r="35" spans="1:10">
      <c r="A35" s="3258"/>
      <c r="B35" s="3259"/>
      <c r="C35" s="3260"/>
      <c r="D35" s="3261"/>
      <c r="E35" s="3262"/>
      <c r="F35" s="3263"/>
      <c r="G35" s="3264"/>
      <c r="H35" s="3265"/>
      <c r="I35" s="3266"/>
      <c r="J35" s="3267"/>
    </row>
  </sheetData>
  <mergeCells count="3">
    <mergeCell ref="A1:H1"/>
    <mergeCell ref="B2:G2"/>
    <mergeCell ref="B18:G18"/>
  </mergeCells>
  <conditionalFormatting sqref="B10:B12">
    <cfRule type="expression" dxfId="0" priority="1">
      <formula>B10&lt;&gt;0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undefined" error="undefined" promptTitle="undefined" prompt="undefined" xr:uid="{00000000-0002-0000-0700-000000000000}">
          <x14:formula1>
            <xm:f>Catalogos!$L$4:$L$55</xm:f>
          </x14:formula1>
          <xm:sqref>C19 C3</xm:sqref>
        </x14:dataValidation>
        <x14:dataValidation type="list" allowBlank="1" showInputMessage="1" showErrorMessage="1" errorTitle="undefined" error="undefined" promptTitle="undefined" prompt="undefined" xr:uid="{00000000-0002-0000-0700-000001000000}">
          <x14:formula1>
            <xm:f>Catalogos!$B$4:$B$11</xm:f>
          </x14:formula1>
          <xm:sqref>C20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/>
  <sheetViews>
    <sheetView tabSelected="1" topLeftCell="Q1" workbookViewId="0">
      <selection activeCell="W12" sqref="W12"/>
    </sheetView>
  </sheetViews>
  <sheetFormatPr baseColWidth="10" defaultColWidth="8.796875" defaultRowHeight="13.8"/>
  <cols>
    <col min="1" max="1" width="14" customWidth="1"/>
    <col min="2" max="3" width="24" customWidth="1"/>
    <col min="5" max="5" width="14" customWidth="1"/>
    <col min="6" max="6" width="28" customWidth="1"/>
    <col min="8" max="8" width="14" customWidth="1"/>
    <col min="9" max="9" width="63.5" bestFit="1" customWidth="1"/>
    <col min="10" max="10" width="12.09765625" customWidth="1"/>
    <col min="11" max="11" width="16.3984375" bestFit="1" customWidth="1"/>
    <col min="12" max="12" width="17.8984375" bestFit="1" customWidth="1"/>
    <col min="21" max="21" width="15" customWidth="1"/>
    <col min="22" max="22" width="45" customWidth="1"/>
    <col min="23" max="23" width="25" customWidth="1"/>
    <col min="24" max="24" width="35" customWidth="1"/>
  </cols>
  <sheetData>
    <row r="1" spans="1:24" ht="22.35" customHeight="1">
      <c r="A1" t="s" s="3537">
        <v>38</v>
      </c>
      <c r="B1" s="3538"/>
      <c r="C1" s="3538"/>
      <c r="D1" s="3538"/>
      <c r="E1" s="3538"/>
      <c r="F1" s="3538"/>
      <c r="G1" s="3538"/>
      <c r="H1" s="3538"/>
      <c r="I1" s="3538"/>
      <c r="K1" s="48"/>
      <c r="L1" s="49"/>
    </row>
    <row r="2" spans="1:24" ht="16.8">
      <c r="K2" t="s" s="16">
        <v>209</v>
      </c>
      <c r="L2" t="s" s="17">
        <v>210</v>
      </c>
      <c r="U2" t="s" s="3559">
        <v>452</v>
      </c>
      <c r="V2" s="3560"/>
      <c r="W2" s="3561"/>
      <c r="X2" s="3562"/>
    </row>
    <row r="3" spans="1:24" ht="16.8">
      <c r="A3" t="s" s="1">
        <v>39</v>
      </c>
      <c r="B3" t="s" s="1">
        <v>0</v>
      </c>
      <c r="C3" t="s" s="1">
        <v>137</v>
      </c>
      <c r="E3" t="s" s="1">
        <v>40</v>
      </c>
      <c r="F3" t="s" s="1">
        <v>41</v>
      </c>
      <c r="I3" t="s" s="1">
        <v>42</v>
      </c>
      <c r="J3" t="s" s="1">
        <v>29</v>
      </c>
      <c r="K3" s="50"/>
      <c r="L3" s="51"/>
      <c r="M3" t="s">
        <v>433</v>
      </c>
      <c r="N3">
        <v>0</v>
      </c>
      <c r="Q3" t="s">
        <v>448</v>
      </c>
      <c r="R3">
        <v>0</v>
      </c>
      <c r="U3" t="s" s="3306">
        <v>453</v>
      </c>
      <c r="V3" t="s" s="3307">
        <v>42</v>
      </c>
      <c r="W3" t="s" s="3308">
        <v>454</v>
      </c>
      <c r="X3" t="s" s="3309">
        <v>455</v>
      </c>
    </row>
    <row r="4" spans="1:24" ht="16.8">
      <c r="A4" t="s">
        <v>43</v>
      </c>
      <c r="B4" t="s">
        <v>2</v>
      </c>
      <c r="C4" t="s">
        <v>139</v>
      </c>
      <c r="E4" t="s">
        <v>44</v>
      </c>
      <c r="F4" t="s">
        <v>45</v>
      </c>
      <c r="I4" t="s">
        <v>267</v>
      </c>
      <c r="J4" t="s">
        <v>57</v>
      </c>
      <c r="K4" t="s" s="52">
        <v>2</v>
      </c>
      <c r="L4" s="18">
        <v>46167</v>
      </c>
      <c r="M4">
        <f>SUMIFS(Solicitudes!$F:$F, Solicitudes!$B:$B, $B4, Solicitudes!$C:$C, "&gt;=" &amp; Dashboard!$C$55, Solicitudes!$C:$C, "&lt;=" &amp; (Dashboard!$C$55+6)) + IF($B4="Jalisco", SUMIFS(Captura_Jalisco!$G:$G, Captura_Jalisco!$A:$A, "&gt;=" &amp; Dashboard!$C$55, Captura_Jalisco!$A:$A, "&lt;=" &amp; (Dashboard!$C$55+6), Captura_Jalisco!$B:$B, "Salida"), SUMIFS(Captura_Obra!$F:$F, Captura_Obra!$B:$B, $B4, Captura_Obra!$A:$A, "&gt;=" &amp; Dashboard!$C$55, Captura_Obra!$A:$A, "&lt;=" &amp; (Dashboard!$C$55+6)))</f>
      </c>
      <c r="N4">
        <f>IF(M4&gt;0, MAX($N$3:N3)+1, "")</f>
      </c>
      <c r="Q4">
        <f>SUMIFS(Captura_Pegaso!$H:$H, Captura_Pegaso!$D:$D, $B4, Captura_Pegaso!$A:$A, "&gt;=" &amp; Conciliacion!$C$3, Captura_Pegaso!$A:$A, "&lt;=" &amp; (Conciliacion!$C$3+6)) + SUMIFS(Captura_Marimba_M01!$G:$G, Captura_Marimba_M01!$C:$C, $B4, Captura_Marimba_M01!$A:$A, "&gt;=" &amp; Conciliacion!$C$3, Captura_Marimba_M01!$A:$A, "&lt;=" &amp; (Conciliacion!$C$3+6)) + SUMIFS(Captura_Obra!$F:$F, Captura_Obra!$B:$B, $B4, Captura_Obra!$A:$A, "&gt;=" &amp; Conciliacion!$C$3, Captura_Obra!$A:$A, "&lt;=" &amp; (Conciliacion!$C$3+6))</f>
      </c>
      <c r="R4">
        <f>IF(Q4&gt;0, MAX($R$3:R3)+1, "")</f>
      </c>
      <c r="U4" t="s" s="3310">
        <v>254</v>
      </c>
      <c r="V4" t="s" s="3311">
        <v>267</v>
      </c>
      <c r="W4" s="3312"/>
      <c r="X4" s="3313"/>
    </row>
    <row r="5" spans="1:24" ht="16.8">
      <c r="A5" t="s">
        <v>47</v>
      </c>
      <c r="B5" t="s">
        <v>3</v>
      </c>
      <c r="C5" t="s">
        <v>138</v>
      </c>
      <c r="E5" t="s">
        <v>48</v>
      </c>
      <c r="F5" t="s">
        <v>49</v>
      </c>
      <c r="I5" t="s">
        <v>268</v>
      </c>
      <c r="J5" t="s">
        <v>111</v>
      </c>
      <c r="K5" t="s" s="53">
        <v>3</v>
      </c>
      <c r="L5" s="19">
        <v>46174</v>
      </c>
      <c r="M5">
        <f>SUMIFS(Solicitudes!$F:$F, Solicitudes!$B:$B, $B5, Solicitudes!$C:$C, "&gt;=" &amp; Dashboard!$C$55, Solicitudes!$C:$C, "&lt;=" &amp; (Dashboard!$C$55+6)) + IF($B5="Jalisco", SUMIFS(Captura_Jalisco!$G:$G, Captura_Jalisco!$A:$A, "&gt;=" &amp; Dashboard!$C$55, Captura_Jalisco!$A:$A, "&lt;=" &amp; (Dashboard!$C$55+6), Captura_Jalisco!$B:$B, "Salida"), SUMIFS(Captura_Obra!$F:$F, Captura_Obra!$B:$B, $B5, Captura_Obra!$A:$A, "&gt;=" &amp; Dashboard!$C$55, Captura_Obra!$A:$A, "&lt;=" &amp; (Dashboard!$C$55+6)))</f>
      </c>
      <c r="N5">
        <f>IF(M5&gt;0, MAX($N$3:N4)+1, "")</f>
      </c>
      <c r="Q5">
        <f>SUMIFS(Captura_Pegaso!$H:$H, Captura_Pegaso!$D:$D, $B5, Captura_Pegaso!$A:$A, "&gt;=" &amp; Conciliacion!$C$3, Captura_Pegaso!$A:$A, "&lt;=" &amp; (Conciliacion!$C$3+6)) + SUMIFS(Captura_Marimba_M01!$G:$G, Captura_Marimba_M01!$C:$C, $B5, Captura_Marimba_M01!$A:$A, "&gt;=" &amp; Conciliacion!$C$3, Captura_Marimba_M01!$A:$A, "&lt;=" &amp; (Conciliacion!$C$3+6)) + SUMIFS(Captura_Obra!$F:$F, Captura_Obra!$B:$B, $B5, Captura_Obra!$A:$A, "&gt;=" &amp; Conciliacion!$C$3, Captura_Obra!$A:$A, "&lt;=" &amp; (Conciliacion!$C$3+6))</f>
      </c>
      <c r="R5">
        <f>IF(Q5&gt;0, MAX($R$3:R4)+1, "")</f>
      </c>
      <c r="U5" t="s" s="3314">
        <v>95</v>
      </c>
      <c r="V5" t="s" s="3315">
        <v>456</v>
      </c>
      <c r="W5" t="s" s="3316">
        <v>2</v>
      </c>
      <c r="X5" t="s" s="3317">
        <v>457</v>
      </c>
    </row>
    <row r="6" spans="1:24" ht="16.8">
      <c r="A6" t="s">
        <v>151</v>
      </c>
      <c r="B6" t="s">
        <v>145</v>
      </c>
      <c r="E6" t="s">
        <v>152</v>
      </c>
      <c r="F6" t="s">
        <v>146</v>
      </c>
      <c r="I6" t="s">
        <v>267</v>
      </c>
      <c r="J6" t="s">
        <v>254</v>
      </c>
      <c r="K6" t="s" s="54">
        <v>4</v>
      </c>
      <c r="L6" s="20">
        <v>46181</v>
      </c>
      <c r="M6">
        <f>SUMIFS(Solicitudes!$F:$F, Solicitudes!$B:$B, $B6, Solicitudes!$C:$C, "&gt;=" &amp; Dashboard!$C$55, Solicitudes!$C:$C, "&lt;=" &amp; (Dashboard!$C$55+6)) + IF($B6="Jalisco", SUMIFS(Captura_Jalisco!$G:$G, Captura_Jalisco!$A:$A, "&gt;=" &amp; Dashboard!$C$55, Captura_Jalisco!$A:$A, "&lt;=" &amp; (Dashboard!$C$55+6), Captura_Jalisco!$B:$B, "Salida"), SUMIFS(Captura_Obra!$F:$F, Captura_Obra!$B:$B, $B6, Captura_Obra!$A:$A, "&gt;=" &amp; Dashboard!$C$55, Captura_Obra!$A:$A, "&lt;=" &amp; (Dashboard!$C$55+6)))</f>
      </c>
      <c r="N6">
        <f>IF(M6&gt;0, MAX($N$3:N5)+1, "")</f>
      </c>
      <c r="Q6">
        <f>SUMIFS(Captura_Pegaso!$H:$H, Captura_Pegaso!$D:$D, $B6, Captura_Pegaso!$A:$A, "&gt;=" &amp; Conciliacion!$C$3, Captura_Pegaso!$A:$A, "&lt;=" &amp; (Conciliacion!$C$3+6)) + SUMIFS(Captura_Marimba_M01!$G:$G, Captura_Marimba_M01!$C:$C, $B6, Captura_Marimba_M01!$A:$A, "&gt;=" &amp; Conciliacion!$C$3, Captura_Marimba_M01!$A:$A, "&lt;=" &amp; (Conciliacion!$C$3+6)) + SUMIFS(Captura_Obra!$F:$F, Captura_Obra!$B:$B, $B6, Captura_Obra!$A:$A, "&gt;=" &amp; Conciliacion!$C$3, Captura_Obra!$A:$A, "&lt;=" &amp; (Conciliacion!$C$3+6))</f>
      </c>
      <c r="R6">
        <f>IF(Q6&gt;0, MAX($R$3:R5)+1, "")</f>
      </c>
      <c r="U6" t="s" s="3318">
        <v>116</v>
      </c>
      <c r="V6" t="s" s="3319">
        <v>458</v>
      </c>
      <c r="W6" s="3320"/>
      <c r="X6" s="3321"/>
    </row>
    <row r="7" spans="1:24" ht="16.8">
      <c r="A7" t="s">
        <v>51</v>
      </c>
      <c r="B7" t="s">
        <v>4</v>
      </c>
      <c r="C7" t="s">
        <v>139</v>
      </c>
      <c r="E7" t="s">
        <v>52</v>
      </c>
      <c r="F7" t="s">
        <v>53</v>
      </c>
      <c r="I7" t="s">
        <v>269</v>
      </c>
      <c r="J7" t="s">
        <v>95</v>
      </c>
      <c r="K7" t="s" s="55">
        <v>142</v>
      </c>
      <c r="L7" s="21">
        <v>46188</v>
      </c>
      <c r="M7">
        <f>SUMIFS(Solicitudes!$F:$F, Solicitudes!$B:$B, $B7, Solicitudes!$C:$C, "&gt;=" &amp; Dashboard!$C$55, Solicitudes!$C:$C, "&lt;=" &amp; (Dashboard!$C$55+6)) + IF($B7="Jalisco", SUMIFS(Captura_Jalisco!$G:$G, Captura_Jalisco!$A:$A, "&gt;=" &amp; Dashboard!$C$55, Captura_Jalisco!$A:$A, "&lt;=" &amp; (Dashboard!$C$55+6), Captura_Jalisco!$B:$B, "Salida"), SUMIFS(Captura_Obra!$F:$F, Captura_Obra!$B:$B, $B7, Captura_Obra!$A:$A, "&gt;=" &amp; Dashboard!$C$55, Captura_Obra!$A:$A, "&lt;=" &amp; (Dashboard!$C$55+6)))</f>
      </c>
      <c r="N7">
        <f>IF(M7&gt;0, MAX($N$3:N6)+1, "")</f>
      </c>
      <c r="Q7">
        <f>SUMIFS(Captura_Pegaso!$H:$H, Captura_Pegaso!$D:$D, $B7, Captura_Pegaso!$A:$A, "&gt;=" &amp; Conciliacion!$C$3, Captura_Pegaso!$A:$A, "&lt;=" &amp; (Conciliacion!$C$3+6)) + SUMIFS(Captura_Marimba_M01!$G:$G, Captura_Marimba_M01!$C:$C, $B7, Captura_Marimba_M01!$A:$A, "&gt;=" &amp; Conciliacion!$C$3, Captura_Marimba_M01!$A:$A, "&lt;=" &amp; (Conciliacion!$C$3+6)) + SUMIFS(Captura_Obra!$F:$F, Captura_Obra!$B:$B, $B7, Captura_Obra!$A:$A, "&gt;=" &amp; Conciliacion!$C$3, Captura_Obra!$A:$A, "&lt;=" &amp; (Conciliacion!$C$3+6))</f>
      </c>
      <c r="R7">
        <f>IF(Q7&gt;0, MAX($R$3:R6)+1, "")</f>
      </c>
      <c r="U7" t="s" s="3322">
        <v>255</v>
      </c>
      <c r="V7" t="s" s="3323">
        <v>459</v>
      </c>
      <c r="W7" t="s" s="3324">
        <v>3</v>
      </c>
      <c r="X7" t="s" s="3325">
        <v>460</v>
      </c>
    </row>
    <row r="8" spans="1:24" ht="16.8">
      <c r="A8" t="s">
        <v>150</v>
      </c>
      <c r="B8" t="s">
        <v>142</v>
      </c>
      <c r="C8" t="s">
        <v>154</v>
      </c>
      <c r="E8" t="s">
        <v>55</v>
      </c>
      <c r="F8" t="s">
        <v>56</v>
      </c>
      <c r="I8" t="s">
        <v>270</v>
      </c>
      <c r="J8" t="s">
        <v>116</v>
      </c>
      <c r="K8" t="s" s="56">
        <v>146</v>
      </c>
      <c r="L8" s="22">
        <v>46195</v>
      </c>
      <c r="M8">
        <f>SUMIFS(Solicitudes!$F:$F, Solicitudes!$B:$B, $B8, Solicitudes!$C:$C, "&gt;=" &amp; Dashboard!$C$55, Solicitudes!$C:$C, "&lt;=" &amp; (Dashboard!$C$55+6)) + IF($B8="Jalisco", SUMIFS(Captura_Jalisco!$G:$G, Captura_Jalisco!$A:$A, "&gt;=" &amp; Dashboard!$C$55, Captura_Jalisco!$A:$A, "&lt;=" &amp; (Dashboard!$C$55+6), Captura_Jalisco!$B:$B, "Salida"), SUMIFS(Captura_Obra!$F:$F, Captura_Obra!$B:$B, $B8, Captura_Obra!$A:$A, "&gt;=" &amp; Dashboard!$C$55, Captura_Obra!$A:$A, "&lt;=" &amp; (Dashboard!$C$55+6)))</f>
      </c>
      <c r="N8">
        <f>IF(M8&gt;0, MAX($N$3:N7)+1, "")</f>
      </c>
      <c r="Q8">
        <f>SUMIFS(Captura_Pegaso!$H:$H, Captura_Pegaso!$D:$D, $B8, Captura_Pegaso!$A:$A, "&gt;=" &amp; Conciliacion!$C$3, Captura_Pegaso!$A:$A, "&lt;=" &amp; (Conciliacion!$C$3+6)) + SUMIFS(Captura_Marimba_M01!$G:$G, Captura_Marimba_M01!$C:$C, $B8, Captura_Marimba_M01!$A:$A, "&gt;=" &amp; Conciliacion!$C$3, Captura_Marimba_M01!$A:$A, "&lt;=" &amp; (Conciliacion!$C$3+6)) + SUMIFS(Captura_Obra!$F:$F, Captura_Obra!$B:$B, $B8, Captura_Obra!$A:$A, "&gt;=" &amp; Conciliacion!$C$3, Captura_Obra!$A:$A, "&lt;=" &amp; (Conciliacion!$C$3+6))</f>
      </c>
      <c r="R8">
        <f>IF(Q8&gt;0, MAX($R$3:R7)+1, "")</f>
      </c>
      <c r="U8" t="s" s="3326">
        <v>97</v>
      </c>
      <c r="V8" t="s" s="3327">
        <v>272</v>
      </c>
      <c r="W8" s="3328"/>
      <c r="X8" s="3329"/>
    </row>
    <row r="9" spans="1:24" ht="16.8">
      <c r="A9" t="s">
        <v>152</v>
      </c>
      <c r="B9" t="s">
        <v>146</v>
      </c>
      <c r="C9" t="s">
        <v>310</v>
      </c>
      <c r="E9" t="s">
        <v>153</v>
      </c>
      <c r="F9" t="s">
        <v>147</v>
      </c>
      <c r="I9" t="s">
        <v>271</v>
      </c>
      <c r="J9" t="s">
        <v>255</v>
      </c>
      <c r="K9" t="s" s="57">
        <v>155</v>
      </c>
      <c r="L9" s="23">
        <v>46202</v>
      </c>
      <c r="M9">
        <f>SUMIFS(Solicitudes!$F:$F, Solicitudes!$B:$B, $B9, Solicitudes!$C:$C, "&gt;=" &amp; Dashboard!$C$55, Solicitudes!$C:$C, "&lt;=" &amp; (Dashboard!$C$55+6)) + IF($B9="Jalisco", SUMIFS(Captura_Jalisco!$G:$G, Captura_Jalisco!$A:$A, "&gt;=" &amp; Dashboard!$C$55, Captura_Jalisco!$A:$A, "&lt;=" &amp; (Dashboard!$C$55+6), Captura_Jalisco!$B:$B, "Salida"), SUMIFS(Captura_Obra!$F:$F, Captura_Obra!$B:$B, $B9, Captura_Obra!$A:$A, "&gt;=" &amp; Dashboard!$C$55, Captura_Obra!$A:$A, "&lt;=" &amp; (Dashboard!$C$55+6)))</f>
      </c>
      <c r="N9">
        <f>IF(M9&gt;0, MAX($N$3:N8)+1, "")</f>
      </c>
      <c r="Q9">
        <f>SUMIFS(Captura_Pegaso!$H:$H, Captura_Pegaso!$D:$D, $B9, Captura_Pegaso!$A:$A, "&gt;=" &amp; Conciliacion!$C$3, Captura_Pegaso!$A:$A, "&lt;=" &amp; (Conciliacion!$C$3+6)) + SUMIFS(Captura_Marimba_M01!$G:$G, Captura_Marimba_M01!$C:$C, $B9, Captura_Marimba_M01!$A:$A, "&gt;=" &amp; Conciliacion!$C$3, Captura_Marimba_M01!$A:$A, "&lt;=" &amp; (Conciliacion!$C$3+6)) + SUMIFS(Captura_Obra!$F:$F, Captura_Obra!$B:$B, $B9, Captura_Obra!$A:$A, "&gt;=" &amp; Conciliacion!$C$3, Captura_Obra!$A:$A, "&lt;=" &amp; (Conciliacion!$C$3+6))</f>
      </c>
      <c r="R9">
        <f>IF(Q9&gt;0, MAX($R$3:R8)+1, "")</f>
      </c>
      <c r="U9" t="s" s="3330">
        <v>106</v>
      </c>
      <c r="V9" t="s" s="3331">
        <v>273</v>
      </c>
      <c r="W9" t="s" s="3332">
        <v>3</v>
      </c>
      <c r="X9" t="s" s="3333">
        <v>461</v>
      </c>
    </row>
    <row r="10" spans="1:24" ht="16.8">
      <c r="A10" t="s" s="6">
        <v>153</v>
      </c>
      <c r="B10" t="s" s="6">
        <v>155</v>
      </c>
      <c r="C10" t="s" s="6">
        <v>307</v>
      </c>
      <c r="E10" t="s">
        <v>221</v>
      </c>
      <c r="F10" t="s">
        <v>156</v>
      </c>
      <c r="I10" t="s">
        <v>272</v>
      </c>
      <c r="J10" t="s">
        <v>97</v>
      </c>
      <c r="K10" t="s" s="58">
        <v>214</v>
      </c>
      <c r="L10" s="24">
        <v>46209</v>
      </c>
      <c r="M10">
        <f>SUMIFS(Solicitudes!$F:$F, Solicitudes!$B:$B, $B10, Solicitudes!$C:$C, "&gt;=" &amp; Dashboard!$C$55, Solicitudes!$C:$C, "&lt;=" &amp; (Dashboard!$C$55+6)) + IF($B10="Jalisco", SUMIFS(Captura_Jalisco!$G:$G, Captura_Jalisco!$A:$A, "&gt;=" &amp; Dashboard!$C$55, Captura_Jalisco!$A:$A, "&lt;=" &amp; (Dashboard!$C$55+6), Captura_Jalisco!$B:$B, "Salida"), SUMIFS(Captura_Obra!$F:$F, Captura_Obra!$B:$B, $B10, Captura_Obra!$A:$A, "&gt;=" &amp; Dashboard!$C$55, Captura_Obra!$A:$A, "&lt;=" &amp; (Dashboard!$C$55+6)))</f>
      </c>
      <c r="N10">
        <f>IF(M10&gt;0, MAX($N$3:N9)+1, "")</f>
      </c>
      <c r="Q10">
        <f>SUMIFS(Captura_Pegaso!$H:$H, Captura_Pegaso!$D:$D, $B10, Captura_Pegaso!$A:$A, "&gt;=" &amp; Conciliacion!$C$3, Captura_Pegaso!$A:$A, "&lt;=" &amp; (Conciliacion!$C$3+6)) + SUMIFS(Captura_Marimba_M01!$G:$G, Captura_Marimba_M01!$C:$C, $B10, Captura_Marimba_M01!$A:$A, "&gt;=" &amp; Conciliacion!$C$3, Captura_Marimba_M01!$A:$A, "&lt;=" &amp; (Conciliacion!$C$3+6)) + SUMIFS(Captura_Obra!$F:$F, Captura_Obra!$B:$B, $B10, Captura_Obra!$A:$A, "&gt;=" &amp; Conciliacion!$C$3, Captura_Obra!$A:$A, "&lt;=" &amp; (Conciliacion!$C$3+6))</f>
      </c>
      <c r="R10">
        <f>IF(Q10&gt;0, MAX($R$3:R9)+1, "")</f>
      </c>
      <c r="U10" t="s" s="3334">
        <v>100</v>
      </c>
      <c r="V10" t="s" s="3335">
        <v>274</v>
      </c>
      <c r="W10" t="s" s="3336">
        <v>2</v>
      </c>
      <c r="X10" t="s" s="3337">
        <v>462</v>
      </c>
    </row>
    <row r="11" spans="1:24" ht="16.8">
      <c r="B11" t="s">
        <v>214</v>
      </c>
      <c r="E11" t="s">
        <v>228</v>
      </c>
      <c r="F11" t="s">
        <v>227</v>
      </c>
      <c r="I11" t="s">
        <v>273</v>
      </c>
      <c r="J11" t="s">
        <v>106</v>
      </c>
      <c r="K11" t="s" s="59">
        <v>222</v>
      </c>
      <c r="L11" s="25">
        <v>46216</v>
      </c>
      <c r="M11">
        <f>SUMIFS(Solicitudes!$F:$F, Solicitudes!$B:$B, $B11, Solicitudes!$C:$C, "&gt;=" &amp; Dashboard!$C$55, Solicitudes!$C:$C, "&lt;=" &amp; (Dashboard!$C$55+6)) + IF($B11="Jalisco", SUMIFS(Captura_Jalisco!$G:$G, Captura_Jalisco!$A:$A, "&gt;=" &amp; Dashboard!$C$55, Captura_Jalisco!$A:$A, "&lt;=" &amp; (Dashboard!$C$55+6), Captura_Jalisco!$B:$B, "Salida"), SUMIFS(Captura_Obra!$F:$F, Captura_Obra!$B:$B, $B11, Captura_Obra!$A:$A, "&gt;=" &amp; Dashboard!$C$55, Captura_Obra!$A:$A, "&lt;=" &amp; (Dashboard!$C$55+6)))</f>
      </c>
      <c r="N11">
        <f>IF(M11&gt;0, MAX($N$3:N10)+1, "")</f>
      </c>
      <c r="Q11">
        <f>SUMIFS(Captura_Pegaso!$H:$H, Captura_Pegaso!$D:$D, $B11, Captura_Pegaso!$A:$A, "&gt;=" &amp; Conciliacion!$C$3, Captura_Pegaso!$A:$A, "&lt;=" &amp; (Conciliacion!$C$3+6)) + SUMIFS(Captura_Marimba_M01!$G:$G, Captura_Marimba_M01!$C:$C, $B11, Captura_Marimba_M01!$A:$A, "&gt;=" &amp; Conciliacion!$C$3, Captura_Marimba_M01!$A:$A, "&lt;=" &amp; (Conciliacion!$C$3+6)) + SUMIFS(Captura_Obra!$F:$F, Captura_Obra!$B:$B, $B11, Captura_Obra!$A:$A, "&gt;=" &amp; Conciliacion!$C$3, Captura_Obra!$A:$A, "&lt;=" &amp; (Conciliacion!$C$3+6))</f>
      </c>
      <c r="R11">
        <f>IF(Q11&gt;0, MAX($R$3:R10)+1, "")</f>
      </c>
      <c r="U11" t="s" s="3338">
        <v>109</v>
      </c>
      <c r="V11" t="s" s="3339">
        <v>275</v>
      </c>
      <c r="W11" s="3340"/>
      <c r="X11" s="3341"/>
    </row>
    <row r="12" spans="1:24" ht="16.8">
      <c r="B12" t="s">
        <v>222</v>
      </c>
      <c r="I12" t="s">
        <v>274</v>
      </c>
      <c r="J12" t="s">
        <v>100</v>
      </c>
      <c r="K12" t="s" s="60">
        <v>211</v>
      </c>
      <c r="L12" s="26">
        <v>46223</v>
      </c>
      <c r="U12" t="s" s="3342">
        <v>256</v>
      </c>
      <c r="V12" t="s" s="3343">
        <v>276</v>
      </c>
      <c r="W12" s="3344"/>
      <c r="X12" s="3345"/>
    </row>
    <row r="13" spans="1:24" ht="16.8">
      <c r="I13" t="s">
        <v>275</v>
      </c>
      <c r="J13" t="s">
        <v>109</v>
      </c>
      <c r="K13" s="61"/>
      <c r="L13" s="27">
        <v>46230</v>
      </c>
      <c r="U13" t="s" s="3346">
        <v>257</v>
      </c>
      <c r="V13" t="s" s="3347">
        <v>275</v>
      </c>
      <c r="W13" t="s" s="3348">
        <v>3</v>
      </c>
      <c r="X13" t="s" s="3349">
        <v>463</v>
      </c>
    </row>
    <row r="14" spans="1:24" ht="16.8">
      <c r="I14" t="s">
        <v>276</v>
      </c>
      <c r="J14" t="s">
        <v>256</v>
      </c>
      <c r="K14" s="62"/>
      <c r="L14" s="28">
        <v>46237</v>
      </c>
      <c r="U14" t="s" s="3350">
        <v>134</v>
      </c>
      <c r="V14" t="s" s="3351">
        <v>277</v>
      </c>
      <c r="W14" t="s" s="3352">
        <v>2</v>
      </c>
      <c r="X14" t="s" s="3353">
        <v>464</v>
      </c>
    </row>
    <row r="15" spans="1:24" ht="16.8">
      <c r="I15" t="s">
        <v>275</v>
      </c>
      <c r="J15" t="s">
        <v>257</v>
      </c>
      <c r="K15" s="63"/>
      <c r="L15" s="29">
        <v>46244</v>
      </c>
      <c r="U15" t="s" s="3354">
        <v>258</v>
      </c>
      <c r="V15" t="s" s="3355">
        <v>278</v>
      </c>
      <c r="W15" t="s" s="3356">
        <v>2</v>
      </c>
      <c r="X15" t="s" s="3357">
        <v>465</v>
      </c>
    </row>
    <row r="16" spans="1:24" ht="16.8">
      <c r="I16" t="s">
        <v>277</v>
      </c>
      <c r="J16" t="s">
        <v>134</v>
      </c>
      <c r="K16" s="64"/>
      <c r="L16" s="30">
        <v>46251</v>
      </c>
      <c r="U16" t="s" s="3358">
        <v>118</v>
      </c>
      <c r="V16" t="s" s="3359">
        <v>279</v>
      </c>
      <c r="W16" s="3360"/>
      <c r="X16" s="3361"/>
    </row>
    <row r="17" spans="9:24" ht="16.8">
      <c r="I17" t="s">
        <v>278</v>
      </c>
      <c r="J17" t="s">
        <v>258</v>
      </c>
      <c r="K17" s="65"/>
      <c r="L17" s="31">
        <v>46258</v>
      </c>
      <c r="U17" t="s" s="3362">
        <v>226</v>
      </c>
      <c r="V17" t="s" s="3363">
        <v>280</v>
      </c>
      <c r="W17" t="s" s="3364">
        <v>3</v>
      </c>
      <c r="X17" t="s" s="3365">
        <v>466</v>
      </c>
    </row>
    <row r="18" spans="9:24" ht="16.8">
      <c r="I18" t="s">
        <v>279</v>
      </c>
      <c r="J18" t="s">
        <v>118</v>
      </c>
      <c r="K18" s="66"/>
      <c r="L18" s="32">
        <v>46265</v>
      </c>
      <c r="U18" t="s" s="3366">
        <v>101</v>
      </c>
      <c r="V18" t="s" s="3367">
        <v>281</v>
      </c>
      <c r="W18" t="s" s="3368">
        <v>3</v>
      </c>
      <c r="X18" t="s" s="3369">
        <v>467</v>
      </c>
    </row>
    <row r="19" spans="9:24" ht="16.8">
      <c r="I19" t="s">
        <v>280</v>
      </c>
      <c r="J19" t="s">
        <v>226</v>
      </c>
      <c r="K19" s="67"/>
      <c r="L19" s="33">
        <v>46272</v>
      </c>
      <c r="U19" t="s" s="3370">
        <v>120</v>
      </c>
      <c r="V19" t="s" s="3371">
        <v>282</v>
      </c>
      <c r="W19" t="s" s="3372">
        <v>2</v>
      </c>
      <c r="X19" t="s" s="3373">
        <v>468</v>
      </c>
    </row>
    <row r="20" spans="9:24" ht="16.8">
      <c r="I20" t="s">
        <v>281</v>
      </c>
      <c r="J20" t="s">
        <v>101</v>
      </c>
      <c r="K20" s="68"/>
      <c r="L20" s="34">
        <v>46279</v>
      </c>
      <c r="U20" t="s" s="3374">
        <v>128</v>
      </c>
      <c r="V20" t="s" s="3375">
        <v>469</v>
      </c>
      <c r="W20" t="s" s="3376">
        <v>3</v>
      </c>
      <c r="X20" t="s" s="3377">
        <v>470</v>
      </c>
    </row>
    <row r="21" spans="9:24" ht="16.8">
      <c r="I21" t="s">
        <v>282</v>
      </c>
      <c r="J21" t="s">
        <v>120</v>
      </c>
      <c r="K21" s="69"/>
      <c r="L21" s="35">
        <v>46286</v>
      </c>
      <c r="U21" t="s" s="3378">
        <v>259</v>
      </c>
      <c r="V21" t="s" s="3379">
        <v>469</v>
      </c>
      <c r="W21" s="3380"/>
      <c r="X21" s="3381"/>
    </row>
    <row r="22" spans="9:24" ht="16.8">
      <c r="I22" t="s">
        <v>283</v>
      </c>
      <c r="J22" t="s">
        <v>128</v>
      </c>
      <c r="K22" s="70"/>
      <c r="L22" s="36">
        <v>46293</v>
      </c>
      <c r="U22" t="s" s="3382">
        <v>260</v>
      </c>
      <c r="V22" t="s" s="3383">
        <v>284</v>
      </c>
      <c r="W22" s="3384"/>
      <c r="X22" s="3385"/>
    </row>
    <row r="23" spans="9:24" ht="16.8">
      <c r="I23" t="s">
        <v>283</v>
      </c>
      <c r="J23" t="s">
        <v>259</v>
      </c>
      <c r="K23" s="71"/>
      <c r="L23" s="37">
        <v>46300</v>
      </c>
      <c r="U23" t="s" s="3386">
        <v>261</v>
      </c>
      <c r="V23" t="s" s="3387">
        <v>285</v>
      </c>
      <c r="W23" s="3388"/>
      <c r="X23" s="3389"/>
    </row>
    <row r="24" spans="9:24" ht="16.8">
      <c r="I24" t="s">
        <v>284</v>
      </c>
      <c r="J24" t="s">
        <v>260</v>
      </c>
      <c r="K24" s="72"/>
      <c r="L24" s="38">
        <v>46307</v>
      </c>
      <c r="U24" t="s" s="3390">
        <v>262</v>
      </c>
      <c r="V24" t="s" s="3391">
        <v>286</v>
      </c>
      <c r="W24" t="s" s="3392">
        <v>2</v>
      </c>
      <c r="X24" t="s" s="3393">
        <v>471</v>
      </c>
    </row>
    <row r="25" spans="9:24" ht="16.8">
      <c r="I25" t="s">
        <v>285</v>
      </c>
      <c r="J25" t="s">
        <v>261</v>
      </c>
      <c r="K25" s="73"/>
      <c r="L25" s="39">
        <v>46314</v>
      </c>
      <c r="U25" t="s" s="3394">
        <v>263</v>
      </c>
      <c r="V25" t="s" s="3395">
        <v>285</v>
      </c>
      <c r="W25" s="3396"/>
      <c r="X25" s="3397"/>
    </row>
    <row r="26" spans="9:24" ht="16.8">
      <c r="I26" t="s">
        <v>286</v>
      </c>
      <c r="J26" t="s">
        <v>262</v>
      </c>
      <c r="K26" s="74"/>
      <c r="L26" s="40">
        <v>46321</v>
      </c>
      <c r="U26" t="s" s="3398">
        <v>264</v>
      </c>
      <c r="V26" t="s" s="3399">
        <v>472</v>
      </c>
      <c r="W26" s="3400"/>
      <c r="X26" s="3401"/>
    </row>
    <row r="27" spans="9:24" ht="16.8">
      <c r="I27" t="s">
        <v>285</v>
      </c>
      <c r="J27" t="s">
        <v>263</v>
      </c>
      <c r="K27" s="75"/>
      <c r="L27" s="41">
        <v>46328</v>
      </c>
      <c r="U27" t="s" s="3402">
        <v>113</v>
      </c>
      <c r="V27" t="s" s="3403">
        <v>288</v>
      </c>
      <c r="W27" s="3404"/>
      <c r="X27" s="3405"/>
    </row>
    <row r="28" spans="9:24" ht="16.8">
      <c r="I28" t="s">
        <v>287</v>
      </c>
      <c r="J28" t="s">
        <v>264</v>
      </c>
      <c r="K28" s="76"/>
      <c r="L28" s="42">
        <v>46335</v>
      </c>
      <c r="U28" t="s" s="3406">
        <v>124</v>
      </c>
      <c r="V28" t="s" s="3407">
        <v>289</v>
      </c>
      <c r="W28" s="3408"/>
      <c r="X28" s="3409"/>
    </row>
    <row r="29" spans="9:24" ht="16.8">
      <c r="I29" t="s">
        <v>288</v>
      </c>
      <c r="J29" t="s">
        <v>113</v>
      </c>
      <c r="K29" s="77"/>
      <c r="L29" s="43">
        <v>46342</v>
      </c>
      <c r="U29" t="s" s="3410">
        <v>265</v>
      </c>
      <c r="V29" t="s" s="3411">
        <v>290</v>
      </c>
      <c r="W29" t="s" s="3412">
        <v>3</v>
      </c>
      <c r="X29" t="s" s="3413">
        <v>473</v>
      </c>
    </row>
    <row r="30" spans="9:24" ht="16.8">
      <c r="I30" t="s">
        <v>289</v>
      </c>
      <c r="J30" t="s">
        <v>124</v>
      </c>
      <c r="K30" s="78"/>
      <c r="L30" s="44">
        <v>46349</v>
      </c>
      <c r="U30" t="s" s="3414">
        <v>61</v>
      </c>
      <c r="V30" t="s" s="3415">
        <v>291</v>
      </c>
      <c r="W30" s="3416"/>
      <c r="X30" s="3417"/>
    </row>
    <row r="31" spans="9:24" ht="16.8">
      <c r="I31" t="s">
        <v>290</v>
      </c>
      <c r="J31" t="s">
        <v>265</v>
      </c>
      <c r="K31" s="79"/>
      <c r="L31" s="45">
        <v>46356</v>
      </c>
      <c r="U31" t="s" s="3418">
        <v>122</v>
      </c>
      <c r="V31" t="s" s="3419">
        <v>474</v>
      </c>
      <c r="W31" t="s" s="3420">
        <v>3</v>
      </c>
      <c r="X31" t="s" s="3421">
        <v>475</v>
      </c>
    </row>
    <row r="32" spans="9:24" ht="16.8">
      <c r="I32" t="s">
        <v>291</v>
      </c>
      <c r="J32" t="s">
        <v>61</v>
      </c>
      <c r="K32" s="80"/>
      <c r="L32" s="46">
        <v>46363</v>
      </c>
      <c r="U32" t="s" s="3422">
        <v>63</v>
      </c>
      <c r="V32" t="s" s="3423">
        <v>293</v>
      </c>
      <c r="W32" s="3424"/>
      <c r="X32" s="3425"/>
    </row>
    <row r="33" spans="9:24" ht="16.8">
      <c r="I33" t="s">
        <v>292</v>
      </c>
      <c r="J33" t="s">
        <v>122</v>
      </c>
      <c r="K33" s="81"/>
      <c r="L33" s="47">
        <v>46370</v>
      </c>
      <c r="U33" t="s" s="3426">
        <v>266</v>
      </c>
      <c r="V33" t="s" s="3427">
        <v>294</v>
      </c>
      <c r="W33" s="3428"/>
      <c r="X33" s="3429"/>
    </row>
    <row r="34" spans="9:24" ht="16.8">
      <c r="I34" t="s">
        <v>293</v>
      </c>
      <c r="J34" t="s">
        <v>63</v>
      </c>
      <c r="K34" s="82"/>
      <c r="L34" s="83"/>
      <c r="U34" t="s" s="3430">
        <v>476</v>
      </c>
      <c r="V34" t="s" s="3431">
        <v>477</v>
      </c>
      <c r="W34" t="s" s="3432">
        <v>2</v>
      </c>
      <c r="X34" t="s" s="3433">
        <v>478</v>
      </c>
    </row>
    <row r="35" spans="9:24" ht="16.8">
      <c r="I35" t="s">
        <v>294</v>
      </c>
      <c r="J35" t="s">
        <v>266</v>
      </c>
      <c r="K35" s="84"/>
      <c r="L35" s="85"/>
      <c r="U35" t="s" s="3434">
        <v>479</v>
      </c>
      <c r="V35" t="s" s="3435">
        <v>480</v>
      </c>
      <c r="W35" t="s" s="3436">
        <v>2</v>
      </c>
      <c r="X35" t="s" s="3437">
        <v>481</v>
      </c>
    </row>
    <row r="36" spans="9:24" ht="16.8">
      <c r="I36" t="s">
        <v>295</v>
      </c>
      <c r="J36" t="s">
        <v>144</v>
      </c>
      <c r="K36" s="86"/>
      <c r="L36" s="87"/>
    </row>
    <row r="37" spans="9:24" ht="16.8">
      <c r="I37" t="s">
        <v>296</v>
      </c>
      <c r="J37" t="s">
        <v>102</v>
      </c>
      <c r="K37" s="88"/>
      <c r="L37" s="89"/>
    </row>
    <row r="38" spans="9:24" ht="16.8">
      <c r="I38" t="s">
        <v>297</v>
      </c>
      <c r="J38" t="s">
        <v>213</v>
      </c>
      <c r="K38" s="90"/>
      <c r="L38" s="91"/>
    </row>
    <row r="39" spans="9:24" ht="16.8">
      <c r="I39" t="s">
        <v>298</v>
      </c>
      <c r="J39" t="s">
        <v>216</v>
      </c>
      <c r="K39" s="92"/>
      <c r="L39" s="93"/>
    </row>
    <row r="40" spans="9:24" ht="16.8">
      <c r="I40" t="s">
        <v>299</v>
      </c>
      <c r="J40" t="s">
        <v>65</v>
      </c>
      <c r="K40" s="94"/>
      <c r="L40" s="95"/>
    </row>
    <row r="41" spans="9:24" ht="16.8">
      <c r="I41" t="s">
        <v>300</v>
      </c>
      <c r="J41" t="s">
        <v>219</v>
      </c>
      <c r="K41" s="96"/>
      <c r="L41" s="97"/>
    </row>
    <row r="42" spans="9:24" ht="16.8">
      <c r="I42" t="s">
        <v>301</v>
      </c>
      <c r="J42" t="s">
        <v>224</v>
      </c>
      <c r="K42" s="98"/>
      <c r="L42" s="99"/>
    </row>
    <row r="43" spans="9:24" ht="16.8">
      <c r="I43" t="s">
        <v>302</v>
      </c>
      <c r="J43" t="s">
        <v>226</v>
      </c>
      <c r="K43" s="100"/>
      <c r="L43" s="101"/>
    </row>
    <row r="44" spans="9:24" ht="16.8">
      <c r="I44" t="s">
        <v>303</v>
      </c>
      <c r="J44" t="s">
        <v>149</v>
      </c>
      <c r="K44" s="102"/>
      <c r="L44" s="103"/>
    </row>
    <row r="45" spans="9:24" ht="16.8">
      <c r="I45" t="s">
        <v>304</v>
      </c>
      <c r="J45" t="s">
        <v>132</v>
      </c>
      <c r="K45" s="104"/>
      <c r="L45" s="105"/>
    </row>
    <row r="46" spans="9:24" ht="16.8">
      <c r="I46" t="s">
        <v>305</v>
      </c>
      <c r="J46" t="s">
        <v>130</v>
      </c>
      <c r="K46" s="106"/>
      <c r="L46" s="107"/>
    </row>
    <row r="47" spans="9:24" ht="16.8">
      <c r="I47" t="s">
        <v>306</v>
      </c>
      <c r="J47" t="s">
        <v>126</v>
      </c>
      <c r="K47" s="108"/>
      <c r="L47" s="109"/>
    </row>
    <row r="48" spans="9:24" ht="16.8">
      <c r="I48" t="s">
        <v>308</v>
      </c>
      <c r="J48" t="s">
        <v>309</v>
      </c>
      <c r="K48" s="110"/>
      <c r="L48" s="111"/>
    </row>
    <row r="49" spans="9:12" ht="16.8">
      <c r="I49" t="s">
        <v>311</v>
      </c>
      <c r="J49" t="s">
        <v>312</v>
      </c>
      <c r="K49" s="112"/>
      <c r="L49" s="113"/>
    </row>
    <row r="50" spans="9:12" ht="16.8">
      <c r="I50" t="s">
        <v>423</v>
      </c>
      <c r="J50" t="s">
        <v>424</v>
      </c>
      <c r="K50" s="114"/>
      <c r="L50" s="115"/>
    </row>
    <row r="51" spans="9:12" ht="16.8">
      <c r="I51" t="s">
        <v>425</v>
      </c>
      <c r="J51" t="s">
        <v>426</v>
      </c>
      <c r="K51" s="116"/>
      <c r="L51" s="117"/>
    </row>
    <row r="52" spans="9:12" ht="16.8">
      <c r="K52" s="118"/>
      <c r="L52" s="119"/>
    </row>
    <row r="53" spans="9:12" ht="16.8">
      <c r="K53" s="120"/>
      <c r="L53" s="121"/>
    </row>
    <row r="54" spans="9:12" ht="16.8">
      <c r="K54" s="122"/>
      <c r="L54" s="123"/>
    </row>
    <row r="55" spans="9:12" ht="16.8">
      <c r="K55" s="124"/>
      <c r="L55" s="125"/>
    </row>
    <row r="56" spans="9:12" ht="16.8">
      <c r="K56" s="126"/>
      <c r="L56" s="127"/>
    </row>
    <row r="57" spans="9:12" ht="16.8">
      <c r="K57" s="128"/>
      <c r="L57" s="129"/>
    </row>
    <row r="58" spans="9:12" ht="16.8">
      <c r="K58" s="130"/>
      <c r="L58" s="131"/>
    </row>
    <row r="59" spans="9:12" ht="16.8">
      <c r="K59" s="132"/>
      <c r="L59" s="133"/>
    </row>
    <row r="60" spans="9:12" ht="16.8">
      <c r="K60" s="134"/>
      <c r="L60" s="135"/>
    </row>
    <row r="61" spans="9:12" ht="16.8">
      <c r="K61" s="136"/>
      <c r="L61" s="137"/>
    </row>
    <row r="62" spans="9:12" ht="16.8">
      <c r="K62" s="138"/>
      <c r="L62" s="139"/>
    </row>
    <row r="63" spans="9:12" ht="16.8">
      <c r="K63" s="140"/>
      <c r="L63" s="141"/>
    </row>
    <row r="64" spans="9:12" ht="16.8">
      <c r="K64" s="142"/>
      <c r="L64" s="143"/>
    </row>
    <row r="65" spans="11:12" ht="16.8">
      <c r="K65" s="144"/>
      <c r="L65" s="145"/>
    </row>
    <row r="66" spans="11:12" ht="16.8">
      <c r="K66" s="146"/>
      <c r="L66" s="147"/>
    </row>
    <row r="67" spans="11:12" ht="16.8">
      <c r="K67" s="148"/>
      <c r="L67" s="149"/>
    </row>
    <row r="68" spans="11:12" ht="16.8">
      <c r="K68" s="150"/>
      <c r="L68" s="151"/>
    </row>
    <row r="69" spans="11:12" ht="16.8">
      <c r="K69" s="152"/>
      <c r="L69" s="153"/>
    </row>
    <row r="70" spans="11:12" ht="16.8">
      <c r="K70" s="154"/>
      <c r="L70" s="155"/>
    </row>
    <row r="71" spans="11:12" ht="16.8">
      <c r="K71" s="156"/>
      <c r="L71" s="157"/>
    </row>
    <row r="72" spans="11:12" ht="16.8">
      <c r="K72" s="158"/>
      <c r="L72" s="159"/>
    </row>
    <row r="73" spans="11:12" ht="16.8">
      <c r="K73" s="160"/>
      <c r="L73" s="161"/>
    </row>
    <row r="74" spans="11:12" ht="16.8">
      <c r="K74" s="162"/>
      <c r="L74" s="163"/>
    </row>
    <row r="75" spans="11:12" ht="16.8">
      <c r="K75" s="164"/>
      <c r="L75" s="165"/>
    </row>
    <row r="76" spans="11:12" ht="16.8">
      <c r="K76" s="166"/>
      <c r="L76" s="167"/>
    </row>
    <row r="77" spans="11:12" ht="16.8">
      <c r="K77" s="168"/>
      <c r="L77" s="169"/>
    </row>
    <row r="78" spans="11:12" ht="16.8">
      <c r="K78" s="170"/>
      <c r="L78" s="171"/>
    </row>
    <row r="79" spans="11:12" ht="16.8">
      <c r="K79" s="172"/>
      <c r="L79" s="173"/>
    </row>
    <row r="80" spans="11:12" ht="16.8">
      <c r="K80" s="174"/>
      <c r="L80" s="175"/>
    </row>
    <row r="81" spans="11:12" ht="16.8">
      <c r="K81" s="176"/>
      <c r="L81" s="177"/>
    </row>
    <row r="82" spans="11:12" ht="16.8">
      <c r="K82" s="178"/>
      <c r="L82" s="179"/>
    </row>
    <row r="83" spans="11:12" ht="16.8">
      <c r="K83" s="180"/>
      <c r="L83" s="181"/>
    </row>
    <row r="84" spans="11:12" ht="16.8">
      <c r="K84" s="182"/>
      <c r="L84" s="183"/>
    </row>
    <row r="85" spans="11:12" ht="16.8">
      <c r="K85" s="184"/>
      <c r="L85" s="185"/>
    </row>
    <row r="86" spans="11:12" ht="16.8">
      <c r="K86" s="186"/>
      <c r="L86" s="187"/>
    </row>
    <row r="87" spans="11:12" ht="16.8">
      <c r="K87" s="188"/>
      <c r="L87" s="189"/>
    </row>
    <row r="88" spans="11:12" ht="16.8">
      <c r="K88" s="190"/>
      <c r="L88" s="191"/>
    </row>
    <row r="89" spans="11:12" ht="16.8">
      <c r="K89" s="192"/>
      <c r="L89" s="193"/>
    </row>
    <row r="90" spans="11:12" ht="16.8">
      <c r="K90" s="194"/>
      <c r="L90" s="195"/>
    </row>
    <row r="91" spans="11:12" ht="16.8">
      <c r="K91" s="196"/>
      <c r="L91" s="197"/>
    </row>
    <row r="92" spans="11:12" ht="16.8">
      <c r="K92" s="198"/>
      <c r="L92" s="199"/>
    </row>
    <row r="93" spans="11:12" ht="16.8">
      <c r="K93" s="200"/>
      <c r="L93" s="201"/>
    </row>
    <row r="94" spans="11:12" ht="16.8">
      <c r="K94" s="202"/>
      <c r="L94" s="203"/>
    </row>
    <row r="95" spans="11:12" ht="16.8">
      <c r="K95" s="204"/>
      <c r="L95" s="205"/>
    </row>
    <row r="96" spans="11:12" ht="16.8">
      <c r="K96" s="206"/>
      <c r="L96" s="207"/>
    </row>
    <row r="97" spans="11:12" ht="16.8">
      <c r="K97" s="208"/>
      <c r="L97" s="209"/>
    </row>
    <row r="98" spans="11:12" ht="16.8">
      <c r="K98" s="210"/>
      <c r="L98" s="211"/>
    </row>
    <row r="99" spans="11:12" ht="16.8">
      <c r="K99" s="212"/>
      <c r="L99" s="213"/>
    </row>
    <row r="100" spans="11:12" ht="16.8">
      <c r="K100" s="214"/>
      <c r="L100" s="215"/>
    </row>
  </sheetData>
  <mergeCells count="2">
    <mergeCell ref="A1:I1"/>
    <mergeCell ref="U2:X2"/>
  </mergeCells>
  <dataValidations count="1">
    <dataValidation type="list" allowBlank="1" showInputMessage="1" showErrorMessage="1" errorTitle="undefined" error="undefined" promptTitle="undefined" prompt="undefined" sqref="W4:W35" xr:uid="{00000000-0002-0000-0800-000000000000}">
      <formula1>$B$4:$B$11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/>
  <sheetViews>
    <sheetView workbookViewId="0">
      <selection sqref="A1:H1"/>
    </sheetView>
  </sheetViews>
  <sheetFormatPr baseColWidth="10" defaultColWidth="8.796875" defaultRowHeight="13.8"/>
  <cols>
    <col min="1" max="1" width="8" customWidth="1"/>
    <col min="2" max="2" width="24" customWidth="1"/>
    <col min="3" max="3" width="75" customWidth="1"/>
    <col min="4" max="8" width="10" customWidth="1"/>
  </cols>
  <sheetData>
    <row r="1" spans="1:8" ht="22.35" customHeight="1">
      <c r="A1" t="s" s="3537">
        <v>66</v>
      </c>
      <c r="B1" s="3538"/>
      <c r="C1" s="3538"/>
      <c r="D1" s="3538"/>
      <c r="E1" s="3538"/>
      <c r="F1" s="3538"/>
      <c r="G1" s="3538"/>
      <c r="H1" s="3538"/>
    </row>
    <row r="3" spans="1:8">
      <c r="A3" s="1">
        <v>1</v>
      </c>
      <c r="B3" t="s" s="1">
        <v>67</v>
      </c>
      <c r="C3" t="s" s="1">
        <v>68</v>
      </c>
    </row>
    <row r="4" spans="1:8" ht="27.6">
      <c r="A4" s="5">
        <v>2</v>
      </c>
      <c r="B4" t="s" s="5">
        <v>69</v>
      </c>
      <c r="C4" t="s" s="5">
        <v>70</v>
      </c>
    </row>
    <row r="5" spans="1:8" ht="27.6">
      <c r="A5" s="5">
        <v>3</v>
      </c>
      <c r="B5" t="s" s="5">
        <v>71</v>
      </c>
      <c r="C5" t="s" s="5">
        <v>72</v>
      </c>
    </row>
    <row r="6" spans="1:8" ht="27.6">
      <c r="A6" s="5">
        <v>4</v>
      </c>
      <c r="B6" t="s" s="5">
        <v>73</v>
      </c>
      <c r="C6" t="s" s="5">
        <v>74</v>
      </c>
    </row>
    <row r="7" spans="1:8">
      <c r="A7" s="5">
        <v>5</v>
      </c>
      <c r="B7" t="s" s="5">
        <v>75</v>
      </c>
      <c r="C7" t="s" s="5">
        <v>76</v>
      </c>
    </row>
    <row r="8" spans="1:8" ht="27.6">
      <c r="A8" s="5">
        <v>6</v>
      </c>
      <c r="B8" t="s" s="5">
        <v>77</v>
      </c>
      <c r="C8" t="s" s="5">
        <v>78</v>
      </c>
    </row>
    <row r="9" spans="1:8">
      <c r="A9" s="5">
        <v>7</v>
      </c>
      <c r="B9" t="s" s="5">
        <v>1</v>
      </c>
      <c r="C9" t="s" s="5">
        <v>79</v>
      </c>
    </row>
    <row r="10" spans="1:8" ht="27.6">
      <c r="A10" s="5">
        <v>8</v>
      </c>
      <c r="B10" t="s" s="5">
        <v>80</v>
      </c>
      <c r="C10" t="s" s="5">
        <v>81</v>
      </c>
    </row>
    <row r="11" spans="1:8" ht="27.6">
      <c r="A11" s="5">
        <v>9</v>
      </c>
      <c r="B11" t="s" s="5">
        <v>82</v>
      </c>
      <c r="C11" t="s" s="5">
        <v>83</v>
      </c>
    </row>
    <row r="12" spans="1:8">
      <c r="A12" s="5">
        <v>10</v>
      </c>
      <c r="B12" t="s" s="5">
        <v>84</v>
      </c>
      <c r="C12" t="s" s="5">
        <v>85</v>
      </c>
    </row>
    <row r="13" spans="1:8">
      <c r="A13" s="5"/>
      <c r="B13" s="5"/>
      <c r="C13" s="5"/>
    </row>
    <row r="14" spans="1:8" ht="27.6">
      <c r="A14" t="s" s="5">
        <v>86</v>
      </c>
      <c r="B14" s="5"/>
      <c r="C14" t="s" s="5">
        <v>87</v>
      </c>
    </row>
    <row r="15" spans="1:8">
      <c r="A15" s="5"/>
      <c r="B15" s="5"/>
      <c r="C15" s="5"/>
    </row>
    <row r="16" spans="1:8" ht="41.4">
      <c r="A16" t="s" s="5">
        <v>88</v>
      </c>
      <c r="B16" s="5"/>
      <c r="C16" t="s" s="5">
        <v>89</v>
      </c>
    </row>
    <row r="17" spans="1:3">
      <c r="A17" s="5"/>
      <c r="B17" s="5"/>
      <c r="C17" s="5"/>
    </row>
    <row r="18" spans="1:3" ht="27.6">
      <c r="A18" t="s" s="5">
        <v>90</v>
      </c>
      <c r="B18" s="5"/>
      <c r="C18" t="s" s="5">
        <v>91</v>
      </c>
    </row>
  </sheetData>
  <mergeCells count="1">
    <mergeCell ref="A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/>
  <sheetViews>
    <sheetView workbookViewId="0">
      <selection activeCell="J14" sqref="J14"/>
    </sheetView>
  </sheetViews>
  <sheetFormatPr baseColWidth="10" defaultRowHeight="13.8"/>
  <cols>
    <col min="2" max="2" width="21" customWidth="1"/>
    <col min="3" max="3" width="22.69921875" customWidth="1"/>
    <col min="4" max="4" width="20.8984375" customWidth="1"/>
    <col min="5" max="5" width="13.69921875" customWidth="1"/>
    <col min="7" max="7" width="27" customWidth="1"/>
    <col min="8" max="9" width="18" customWidth="1"/>
    <col min="10" max="10" width="14" customWidth="1"/>
    <col min="11" max="11" width="28" customWidth="1"/>
    <col min="12" max="12" width="15" customWidth="1"/>
  </cols>
  <sheetData>
    <row r="1" spans="1:15" ht="15">
      <c r="A1" t="s" s="594">
        <v>313</v>
      </c>
      <c r="B1" t="s" s="595">
        <v>314</v>
      </c>
      <c r="C1" t="s" s="596">
        <v>315</v>
      </c>
      <c r="D1" t="s" s="597">
        <v>316</v>
      </c>
      <c r="E1" t="s" s="598">
        <v>317</v>
      </c>
      <c r="F1" t="s" s="599">
        <v>318</v>
      </c>
      <c r="G1" t="s" s="600">
        <v>319</v>
      </c>
      <c r="H1" t="s" s="601">
        <v>320</v>
      </c>
      <c r="I1" t="s" s="602">
        <v>321</v>
      </c>
      <c r="J1" t="s" s="603">
        <v>322</v>
      </c>
      <c r="K1" t="s" s="2496">
        <v>323</v>
      </c>
      <c r="L1" t="s" s="2495">
        <v>29</v>
      </c>
      <c r="M1" s="604"/>
      <c r="N1" s="605"/>
      <c r="O1" s="606"/>
    </row>
    <row r="2" spans="1:15" ht="15">
      <c r="A2" s="607">
        <v>1</v>
      </c>
      <c r="B2" t="s" s="608">
        <v>324</v>
      </c>
      <c r="C2" t="s" s="609">
        <v>325</v>
      </c>
      <c r="D2" t="s" s="610">
        <v>326</v>
      </c>
      <c r="E2" t="s" s="611">
        <v>327</v>
      </c>
      <c r="F2" s="612">
        <v>2011</v>
      </c>
      <c r="G2" t="s" s="613">
        <v>328</v>
      </c>
      <c r="H2" s="614">
        <v>6.5</v>
      </c>
      <c r="I2" t="s" s="615">
        <v>329</v>
      </c>
      <c r="J2" s="616">
        <f>IF(OR(ISBLANK(F2), F2=""), Maquinaria_Calculo_Rendimiento!$B$5, Maquinaria_Calculo_Rendimiento!$B$3 - F2)</f>
      </c>
      <c r="K2" s="3274">
        <f>IF(I2="km/L", H2 / (1 + (J2 * Maquinaria_Calculo_Rendimiento!$B$4)), H2 * (1 + (J2 * Maquinaria_Calculo_Rendimiento!$B$4)))</f>
      </c>
      <c r="L2" t="s" s="2497">
        <v>57</v>
      </c>
      <c r="M2" s="617"/>
      <c r="N2" s="618"/>
      <c r="O2" s="619"/>
    </row>
    <row r="3" spans="1:15" ht="15">
      <c r="A3" s="620">
        <v>2</v>
      </c>
      <c r="B3" t="s" s="621">
        <v>324</v>
      </c>
      <c r="C3" s="622"/>
      <c r="D3" t="s" s="623">
        <v>330</v>
      </c>
      <c r="E3" t="s" s="624">
        <v>331</v>
      </c>
      <c r="F3" s="625">
        <v>2010</v>
      </c>
      <c r="G3" t="s" s="626">
        <v>332</v>
      </c>
      <c r="H3" s="627">
        <v>6.5</v>
      </c>
      <c r="I3" t="s" s="628">
        <v>329</v>
      </c>
      <c r="J3" s="629">
        <f>IF(OR(ISBLANK(F3), F3=""), Maquinaria_Calculo_Rendimiento!$B$5, Maquinaria_Calculo_Rendimiento!$B$3 - F3)</f>
      </c>
      <c r="K3" s="3275">
        <f>IF(I3="km/L", H3 / (1 + (J3 * Maquinaria_Calculo_Rendimiento!$B$4)), H3 * (1 + (J3 * Maquinaria_Calculo_Rendimiento!$B$4)))</f>
      </c>
      <c r="L3" t="s" s="2498">
        <v>111</v>
      </c>
      <c r="M3" s="630"/>
      <c r="N3" s="631"/>
      <c r="O3" s="632"/>
    </row>
    <row r="4" spans="1:15" ht="15">
      <c r="A4" s="633">
        <v>3</v>
      </c>
      <c r="B4" t="s" s="634">
        <v>324</v>
      </c>
      <c r="C4" t="s" s="635">
        <v>325</v>
      </c>
      <c r="D4" t="s" s="636">
        <v>326</v>
      </c>
      <c r="E4" t="s" s="637">
        <v>327</v>
      </c>
      <c r="F4" s="638">
        <v>2010</v>
      </c>
      <c r="G4" t="s" s="639">
        <v>333</v>
      </c>
      <c r="H4" s="640">
        <v>6.5</v>
      </c>
      <c r="I4" t="s" s="641">
        <v>329</v>
      </c>
      <c r="J4" s="642">
        <f>IF(OR(ISBLANK(F4), F4=""), Maquinaria_Calculo_Rendimiento!$B$5, Maquinaria_Calculo_Rendimiento!$B$3 - F4)</f>
      </c>
      <c r="K4" s="3276">
        <f>IF(I4="km/L", H4 / (1 + (J4 * Maquinaria_Calculo_Rendimiento!$B$4)), H4 * (1 + (J4 * Maquinaria_Calculo_Rendimiento!$B$4)))</f>
      </c>
      <c r="L4" t="s" s="2499">
        <v>254</v>
      </c>
      <c r="M4" s="643"/>
      <c r="N4" s="644"/>
      <c r="O4" s="645"/>
    </row>
    <row r="5" spans="1:15" ht="15">
      <c r="A5" s="646">
        <v>4</v>
      </c>
      <c r="B5" t="s" s="647">
        <v>334</v>
      </c>
      <c r="C5" t="s" s="648">
        <v>335</v>
      </c>
      <c r="D5" t="s" s="649">
        <v>336</v>
      </c>
      <c r="E5" t="s" s="650">
        <v>337</v>
      </c>
      <c r="F5" s="651">
        <v>2016</v>
      </c>
      <c r="G5" s="652">
        <v>14821687</v>
      </c>
      <c r="H5" s="653">
        <v>14.5</v>
      </c>
      <c r="I5" t="s" s="654">
        <v>329</v>
      </c>
      <c r="J5" s="655">
        <f>IF(OR(ISBLANK(F5), F5=""), Maquinaria_Calculo_Rendimiento!$B$5, Maquinaria_Calculo_Rendimiento!$B$3 - F5)</f>
      </c>
      <c r="K5" s="3277">
        <f>IF(I5="km/L", H5 / (1 + (J5 * Maquinaria_Calculo_Rendimiento!$B$4)), H5 * (1 + (J5 * Maquinaria_Calculo_Rendimiento!$B$4)))</f>
      </c>
      <c r="L5" t="s" s="2500">
        <v>95</v>
      </c>
      <c r="M5" s="656"/>
      <c r="N5" s="657"/>
      <c r="O5" s="658"/>
    </row>
    <row r="6" spans="1:15" ht="15">
      <c r="A6" s="659">
        <v>5</v>
      </c>
      <c r="B6" t="s" s="660">
        <v>334</v>
      </c>
      <c r="C6" t="s" s="661">
        <v>325</v>
      </c>
      <c r="D6" t="s" s="662">
        <v>336</v>
      </c>
      <c r="E6" t="s" s="663">
        <v>338</v>
      </c>
      <c r="F6" s="664">
        <v>2009</v>
      </c>
      <c r="G6" s="665">
        <v>11821564</v>
      </c>
      <c r="H6" s="666">
        <v>14.5</v>
      </c>
      <c r="I6" t="s" s="667">
        <v>329</v>
      </c>
      <c r="J6" s="668">
        <f>IF(OR(ISBLANK(F6), F6=""), Maquinaria_Calculo_Rendimiento!$B$5, Maquinaria_Calculo_Rendimiento!$B$3 - F6)</f>
      </c>
      <c r="K6" s="3278">
        <f>IF(I6="km/L", H6 / (1 + (J6 * Maquinaria_Calculo_Rendimiento!$B$4)), H6 * (1 + (J6 * Maquinaria_Calculo_Rendimiento!$B$4)))</f>
      </c>
      <c r="L6" t="s" s="2501">
        <v>116</v>
      </c>
      <c r="M6" s="669"/>
      <c r="N6" s="670"/>
      <c r="O6" s="671"/>
    </row>
    <row r="7" spans="1:15" ht="15">
      <c r="A7" s="672">
        <v>6</v>
      </c>
      <c r="B7" t="s" s="673">
        <v>334</v>
      </c>
      <c r="C7" t="s" s="674">
        <v>335</v>
      </c>
      <c r="D7" t="s" s="675">
        <v>336</v>
      </c>
      <c r="E7" t="s" s="676">
        <v>339</v>
      </c>
      <c r="F7" s="677">
        <v>2021</v>
      </c>
      <c r="G7" s="678">
        <v>14823977</v>
      </c>
      <c r="H7" s="679">
        <v>14.5</v>
      </c>
      <c r="I7" t="s" s="680">
        <v>329</v>
      </c>
      <c r="J7" s="681">
        <f>IF(OR(ISBLANK(F7), F7=""), Maquinaria_Calculo_Rendimiento!$B$5, Maquinaria_Calculo_Rendimiento!$B$3 - F7)</f>
      </c>
      <c r="K7" s="3279">
        <f>IF(I7="km/L", H7 / (1 + (J7 * Maquinaria_Calculo_Rendimiento!$B$4)), H7 * (1 + (J7 * Maquinaria_Calculo_Rendimiento!$B$4)))</f>
      </c>
      <c r="L7" t="s" s="2502">
        <v>255</v>
      </c>
      <c r="M7" s="682"/>
      <c r="N7" s="683"/>
      <c r="O7" s="684"/>
    </row>
    <row r="8" spans="1:15" ht="15">
      <c r="A8" s="685">
        <v>7</v>
      </c>
      <c r="B8" t="s" s="686">
        <v>340</v>
      </c>
      <c r="C8" t="s" s="687">
        <v>335</v>
      </c>
      <c r="D8" t="s" s="688">
        <v>341</v>
      </c>
      <c r="E8" t="s" s="689">
        <v>342</v>
      </c>
      <c r="F8" s="690">
        <v>2015</v>
      </c>
      <c r="G8" s="691">
        <v>79816538</v>
      </c>
      <c r="H8" s="692">
        <v>65</v>
      </c>
      <c r="I8" t="s" s="693">
        <v>329</v>
      </c>
      <c r="J8" s="694">
        <f>IF(OR(ISBLANK(F8), F8=""), Maquinaria_Calculo_Rendimiento!$B$5, Maquinaria_Calculo_Rendimiento!$B$3 - F8)</f>
      </c>
      <c r="K8" s="3280">
        <f>IF(I8="km/L", H8 / (1 + (J8 * Maquinaria_Calculo_Rendimiento!$B$4)), H8 * (1 + (J8 * Maquinaria_Calculo_Rendimiento!$B$4)))</f>
      </c>
      <c r="L8" t="s" s="2503">
        <v>97</v>
      </c>
      <c r="M8" s="695"/>
      <c r="N8" s="696"/>
      <c r="O8" s="697"/>
    </row>
    <row r="9" spans="1:15" ht="26.4" customHeight="1">
      <c r="A9" s="698">
        <v>8</v>
      </c>
      <c r="B9" t="s" s="699">
        <v>340</v>
      </c>
      <c r="C9" s="700"/>
      <c r="D9" t="s" s="701">
        <v>341</v>
      </c>
      <c r="E9" t="s" s="702">
        <v>343</v>
      </c>
      <c r="F9" s="703">
        <v>2013</v>
      </c>
      <c r="G9" s="704">
        <v>79549560</v>
      </c>
      <c r="H9" s="705">
        <v>65</v>
      </c>
      <c r="I9" t="s" s="706">
        <v>329</v>
      </c>
      <c r="J9" s="707">
        <f>IF(OR(ISBLANK(F9), F9=""), Maquinaria_Calculo_Rendimiento!$B$5, Maquinaria_Calculo_Rendimiento!$B$3 - F9)</f>
      </c>
      <c r="K9" s="3281">
        <f>IF(I9="km/L", H9 / (1 + (J9 * Maquinaria_Calculo_Rendimiento!$B$4)), H9 * (1 + (J9 * Maquinaria_Calculo_Rendimiento!$B$4)))</f>
      </c>
      <c r="L9" t="s" s="2504">
        <v>106</v>
      </c>
      <c r="M9" s="708"/>
      <c r="N9" s="709"/>
      <c r="O9" s="710"/>
    </row>
    <row r="10" spans="1:15" ht="15">
      <c r="A10" s="711">
        <v>9</v>
      </c>
      <c r="B10" t="s" s="712">
        <v>344</v>
      </c>
      <c r="C10" t="s" s="713">
        <v>335</v>
      </c>
      <c r="D10" t="s" s="714">
        <v>345</v>
      </c>
      <c r="E10" t="s" s="715">
        <v>346</v>
      </c>
      <c r="F10" s="716">
        <v>2010</v>
      </c>
      <c r="G10" s="717">
        <v>89602</v>
      </c>
      <c r="H10" s="718">
        <v>7.5</v>
      </c>
      <c r="I10" t="s" s="719">
        <v>329</v>
      </c>
      <c r="J10" s="720">
        <f>IF(OR(ISBLANK(F10), F10=""), Maquinaria_Calculo_Rendimiento!$B$5, Maquinaria_Calculo_Rendimiento!$B$3 - F10)</f>
      </c>
      <c r="K10" s="3282">
        <f>IF(I10="km/L", H10 / (1 + (J10 * Maquinaria_Calculo_Rendimiento!$B$4)), H10 * (1 + (J10 * Maquinaria_Calculo_Rendimiento!$B$4)))</f>
      </c>
      <c r="L10" t="s" s="2505">
        <v>100</v>
      </c>
      <c r="M10" s="721"/>
      <c r="N10" s="722"/>
      <c r="O10" s="723"/>
    </row>
    <row r="11" spans="1:15" ht="15">
      <c r="A11" s="724">
        <v>10</v>
      </c>
      <c r="B11" t="s" s="725">
        <v>344</v>
      </c>
      <c r="C11" t="s" s="726">
        <v>325</v>
      </c>
      <c r="D11" t="s" s="727">
        <v>347</v>
      </c>
      <c r="E11" t="s" s="728">
        <v>348</v>
      </c>
      <c r="F11" s="729">
        <v>2016</v>
      </c>
      <c r="G11" s="730">
        <v>36864</v>
      </c>
      <c r="H11" s="731">
        <v>7.5</v>
      </c>
      <c r="I11" t="s" s="732">
        <v>329</v>
      </c>
      <c r="J11" s="733">
        <f>IF(OR(ISBLANK(F11), F11=""), Maquinaria_Calculo_Rendimiento!$B$5, Maquinaria_Calculo_Rendimiento!$B$3 - F11)</f>
      </c>
      <c r="K11" s="3283">
        <f>IF(I11="km/L", H11 / (1 + (J11 * Maquinaria_Calculo_Rendimiento!$B$4)), H11 * (1 + (J11 * Maquinaria_Calculo_Rendimiento!$B$4)))</f>
      </c>
      <c r="L11" t="s" s="2506">
        <v>109</v>
      </c>
      <c r="M11" s="734"/>
      <c r="N11" s="735"/>
      <c r="O11" s="736"/>
    </row>
    <row r="12" spans="1:15" ht="15">
      <c r="A12" s="737">
        <v>11</v>
      </c>
      <c r="B12" t="s" s="738">
        <v>344</v>
      </c>
      <c r="C12" s="739"/>
      <c r="D12" t="s" s="740">
        <v>349</v>
      </c>
      <c r="E12" t="s" s="741">
        <v>350</v>
      </c>
      <c r="F12" s="742">
        <v>2015</v>
      </c>
      <c r="G12" s="743">
        <v>804108</v>
      </c>
      <c r="H12" s="744">
        <v>7.5</v>
      </c>
      <c r="I12" t="s" s="745">
        <v>329</v>
      </c>
      <c r="J12" s="746">
        <f>IF(OR(ISBLANK(F12), F12=""), Maquinaria_Calculo_Rendimiento!$B$5, Maquinaria_Calculo_Rendimiento!$B$3 - F12)</f>
      </c>
      <c r="K12" s="3284">
        <f>IF(I12="km/L", H12 / (1 + (J12 * Maquinaria_Calculo_Rendimiento!$B$4)), H12 * (1 + (J12 * Maquinaria_Calculo_Rendimiento!$B$4)))</f>
      </c>
      <c r="L12" t="s" s="2507">
        <v>256</v>
      </c>
      <c r="M12" s="747"/>
      <c r="N12" s="748"/>
      <c r="O12" s="749"/>
    </row>
    <row r="13" spans="1:15" ht="15">
      <c r="A13" s="750">
        <v>12</v>
      </c>
      <c r="B13" t="s" s="751">
        <v>344</v>
      </c>
      <c r="C13" t="s" s="752">
        <v>335</v>
      </c>
      <c r="D13" t="s" s="753">
        <v>347</v>
      </c>
      <c r="E13" t="s" s="754">
        <v>348</v>
      </c>
      <c r="F13" s="755">
        <v>2017</v>
      </c>
      <c r="G13" s="756">
        <v>34091</v>
      </c>
      <c r="H13" s="757">
        <v>7.5</v>
      </c>
      <c r="I13" t="s" s="758">
        <v>329</v>
      </c>
      <c r="J13" s="759">
        <f>IF(OR(ISBLANK(F13), F13=""), Maquinaria_Calculo_Rendimiento!$B$5, Maquinaria_Calculo_Rendimiento!$B$3 - F13)</f>
      </c>
      <c r="K13" s="3285">
        <f>IF(I13="km/L", H13 / (1 + (J13 * Maquinaria_Calculo_Rendimiento!$B$4)), H13 * (1 + (J13 * Maquinaria_Calculo_Rendimiento!$B$4)))</f>
      </c>
      <c r="L13" t="s" s="2508">
        <v>257</v>
      </c>
      <c r="M13" s="760"/>
      <c r="N13" s="761"/>
      <c r="O13" s="762"/>
    </row>
    <row r="14" spans="1:15" ht="15">
      <c r="A14" s="763">
        <v>13</v>
      </c>
      <c r="B14" t="s" s="764">
        <v>351</v>
      </c>
      <c r="C14" t="s" s="765">
        <v>325</v>
      </c>
      <c r="D14" t="s" s="766">
        <v>352</v>
      </c>
      <c r="E14" t="s" s="767">
        <v>353</v>
      </c>
      <c r="F14" s="768">
        <v>2010</v>
      </c>
      <c r="G14" t="s" s="769">
        <v>354</v>
      </c>
      <c r="H14" s="770">
        <v>12</v>
      </c>
      <c r="I14" t="s" s="771">
        <v>329</v>
      </c>
      <c r="J14" s="772">
        <f>IF(OR(ISBLANK(F14), F14=""), Maquinaria_Calculo_Rendimiento!$B$5, Maquinaria_Calculo_Rendimiento!$B$3 - F14)</f>
      </c>
      <c r="K14" s="3286">
        <f>IF(I14="km/L", H14 / (1 + (J14 * Maquinaria_Calculo_Rendimiento!$B$4)), H14 * (1 + (J14 * Maquinaria_Calculo_Rendimiento!$B$4)))</f>
      </c>
      <c r="L14" t="s" s="2509">
        <v>134</v>
      </c>
      <c r="M14" s="773"/>
      <c r="N14" s="774"/>
      <c r="O14" s="775"/>
    </row>
    <row r="15" spans="1:15" ht="15">
      <c r="A15" s="776">
        <v>14</v>
      </c>
      <c r="B15" t="s" s="777">
        <v>351</v>
      </c>
      <c r="C15" t="s" s="778">
        <v>335</v>
      </c>
      <c r="D15" t="s" s="779">
        <v>352</v>
      </c>
      <c r="E15" t="s" s="780">
        <v>355</v>
      </c>
      <c r="F15" s="781">
        <v>2010</v>
      </c>
      <c r="G15" t="s" s="782">
        <v>356</v>
      </c>
      <c r="H15" s="783">
        <v>12</v>
      </c>
      <c r="I15" t="s" s="784">
        <v>329</v>
      </c>
      <c r="J15" s="785">
        <f>IF(OR(ISBLANK(F15), F15=""), Maquinaria_Calculo_Rendimiento!$B$5, Maquinaria_Calculo_Rendimiento!$B$3 - F15)</f>
      </c>
      <c r="K15" s="3287">
        <f>IF(I15="km/L", H15 / (1 + (J15 * Maquinaria_Calculo_Rendimiento!$B$4)), H15 * (1 + (J15 * Maquinaria_Calculo_Rendimiento!$B$4)))</f>
      </c>
      <c r="L15" t="s" s="2510">
        <v>258</v>
      </c>
      <c r="M15" s="786"/>
      <c r="N15" s="787"/>
      <c r="O15" s="788"/>
    </row>
    <row r="16" spans="1:15" ht="15">
      <c r="A16" s="789">
        <v>15</v>
      </c>
      <c r="B16" t="s" s="790">
        <v>357</v>
      </c>
      <c r="C16" t="s" s="791">
        <v>325</v>
      </c>
      <c r="D16" t="s" s="792">
        <v>358</v>
      </c>
      <c r="E16" t="s" s="793">
        <v>359</v>
      </c>
      <c r="F16" s="794">
        <v>2014</v>
      </c>
      <c r="G16" t="s" s="795">
        <v>360</v>
      </c>
      <c r="H16" s="796">
        <v>12</v>
      </c>
      <c r="I16" t="s" s="797">
        <v>329</v>
      </c>
      <c r="J16" s="798">
        <f>IF(OR(ISBLANK(F16), F16=""), Maquinaria_Calculo_Rendimiento!$B$5, Maquinaria_Calculo_Rendimiento!$B$3 - F16)</f>
      </c>
      <c r="K16" s="3288">
        <f>IF(I16="km/L", H16 / (1 + (J16 * Maquinaria_Calculo_Rendimiento!$B$4)), H16 * (1 + (J16 * Maquinaria_Calculo_Rendimiento!$B$4)))</f>
      </c>
      <c r="L16" t="s" s="2511">
        <v>118</v>
      </c>
      <c r="M16" s="799"/>
      <c r="N16" s="800"/>
      <c r="O16" s="801"/>
    </row>
    <row r="17" spans="1:15" ht="15">
      <c r="A17" s="802">
        <v>16</v>
      </c>
      <c r="B17" t="s" s="803">
        <v>361</v>
      </c>
      <c r="C17" t="s" s="804">
        <v>335</v>
      </c>
      <c r="D17" t="s" s="805">
        <v>362</v>
      </c>
      <c r="E17" t="s" s="806">
        <v>363</v>
      </c>
      <c r="F17" s="807">
        <v>2017</v>
      </c>
      <c r="G17" t="s" s="808">
        <v>364</v>
      </c>
      <c r="H17" s="809">
        <v>12</v>
      </c>
      <c r="I17" t="s" s="810">
        <v>329</v>
      </c>
      <c r="J17" s="811">
        <f>IF(OR(ISBLANK(F17), F17=""), Maquinaria_Calculo_Rendimiento!$B$5, Maquinaria_Calculo_Rendimiento!$B$3 - F17)</f>
      </c>
      <c r="K17" s="3289">
        <f>IF(I17="km/L", H17 / (1 + (J17 * Maquinaria_Calculo_Rendimiento!$B$4)), H17 * (1 + (J17 * Maquinaria_Calculo_Rendimiento!$B$4)))</f>
      </c>
      <c r="L17" t="s" s="2512">
        <v>226</v>
      </c>
      <c r="M17" s="812"/>
      <c r="N17" s="813"/>
      <c r="O17" s="814"/>
    </row>
    <row r="18" spans="1:15" ht="15">
      <c r="A18" s="815">
        <v>17</v>
      </c>
      <c r="B18" t="s" s="816">
        <v>365</v>
      </c>
      <c r="C18" t="s" s="817">
        <v>325</v>
      </c>
      <c r="D18" t="s" s="818">
        <v>366</v>
      </c>
      <c r="E18" t="s" s="819">
        <v>367</v>
      </c>
      <c r="F18" s="820">
        <v>2010</v>
      </c>
      <c r="G18" s="821">
        <v>23620561</v>
      </c>
      <c r="H18" s="822">
        <v>9.5</v>
      </c>
      <c r="I18" t="s" s="823">
        <v>329</v>
      </c>
      <c r="J18" s="824">
        <f>IF(OR(ISBLANK(F18), F18=""), Maquinaria_Calculo_Rendimiento!$B$5, Maquinaria_Calculo_Rendimiento!$B$3 - F18)</f>
      </c>
      <c r="K18" s="3290">
        <f>IF(I18="km/L", H18 / (1 + (J18 * Maquinaria_Calculo_Rendimiento!$B$4)), H18 * (1 + (J18 * Maquinaria_Calculo_Rendimiento!$B$4)))</f>
      </c>
      <c r="L18" t="s" s="2513">
        <v>101</v>
      </c>
      <c r="M18" s="825"/>
      <c r="N18" s="826"/>
      <c r="O18" s="827"/>
    </row>
    <row r="19" spans="1:15" ht="15">
      <c r="A19" s="828">
        <v>18</v>
      </c>
      <c r="B19" t="s" s="829">
        <v>368</v>
      </c>
      <c r="C19" t="s" s="830">
        <v>335</v>
      </c>
      <c r="D19" t="s" s="831">
        <v>369</v>
      </c>
      <c r="E19" t="s" s="832">
        <v>370</v>
      </c>
      <c r="F19" s="833">
        <v>2014</v>
      </c>
      <c r="G19" t="s" s="834">
        <v>371</v>
      </c>
      <c r="H19" s="835">
        <v>9.5</v>
      </c>
      <c r="I19" t="s" s="836">
        <v>329</v>
      </c>
      <c r="J19" s="837">
        <f>IF(OR(ISBLANK(F19), F19=""), Maquinaria_Calculo_Rendimiento!$B$5, Maquinaria_Calculo_Rendimiento!$B$3 - F19)</f>
      </c>
      <c r="K19" s="3291">
        <f>IF(I19="km/L", H19 / (1 + (J19 * Maquinaria_Calculo_Rendimiento!$B$4)), H19 * (1 + (J19 * Maquinaria_Calculo_Rendimiento!$B$4)))</f>
      </c>
      <c r="L19" t="s" s="2514">
        <v>120</v>
      </c>
      <c r="M19" s="838"/>
      <c r="N19" s="839"/>
      <c r="O19" s="840"/>
    </row>
    <row r="20" spans="1:15" ht="15">
      <c r="A20" s="841">
        <v>19</v>
      </c>
      <c r="B20" t="s" s="842">
        <v>372</v>
      </c>
      <c r="C20" s="843"/>
      <c r="D20" t="s" s="844">
        <v>373</v>
      </c>
      <c r="E20" t="s" s="845">
        <v>374</v>
      </c>
      <c r="F20" s="846">
        <v>2017</v>
      </c>
      <c r="G20" t="s" s="847">
        <v>375</v>
      </c>
      <c r="H20" s="848">
        <v>9</v>
      </c>
      <c r="I20" t="s" s="849">
        <v>329</v>
      </c>
      <c r="J20" s="850">
        <f>IF(OR(ISBLANK(F20), F20=""), Maquinaria_Calculo_Rendimiento!$B$5, Maquinaria_Calculo_Rendimiento!$B$3 - F20)</f>
      </c>
      <c r="K20" s="3292">
        <f>IF(I20="km/L", H20 / (1 + (J20 * Maquinaria_Calculo_Rendimiento!$B$4)), H20 * (1 + (J20 * Maquinaria_Calculo_Rendimiento!$B$4)))</f>
      </c>
      <c r="L20" t="s" s="2515">
        <v>128</v>
      </c>
      <c r="M20" s="851"/>
      <c r="N20" s="852"/>
      <c r="O20" s="853"/>
    </row>
    <row r="21" spans="1:15" ht="15">
      <c r="A21" s="854">
        <v>20</v>
      </c>
      <c r="B21" t="s" s="855">
        <v>372</v>
      </c>
      <c r="C21" s="856"/>
      <c r="D21" t="s" s="857">
        <v>373</v>
      </c>
      <c r="E21" t="s" s="858">
        <v>374</v>
      </c>
      <c r="F21" s="859">
        <v>2017</v>
      </c>
      <c r="G21" t="s" s="860">
        <v>376</v>
      </c>
      <c r="H21" s="861">
        <v>9</v>
      </c>
      <c r="I21" t="s" s="862">
        <v>329</v>
      </c>
      <c r="J21" s="863">
        <f>IF(OR(ISBLANK(F21), F21=""), Maquinaria_Calculo_Rendimiento!$B$5, Maquinaria_Calculo_Rendimiento!$B$3 - F21)</f>
      </c>
      <c r="K21" s="3293">
        <f>IF(I21="km/L", H21 / (1 + (J21 * Maquinaria_Calculo_Rendimiento!$B$4)), H21 * (1 + (J21 * Maquinaria_Calculo_Rendimiento!$B$4)))</f>
      </c>
      <c r="L21" t="s" s="2516">
        <v>259</v>
      </c>
      <c r="M21" s="864"/>
      <c r="N21" s="865"/>
      <c r="O21" s="866"/>
    </row>
    <row r="22" spans="1:15" ht="15">
      <c r="A22" s="867">
        <v>21</v>
      </c>
      <c r="B22" t="s" s="868">
        <v>324</v>
      </c>
      <c r="C22" s="869"/>
      <c r="D22" t="s" s="870">
        <v>326</v>
      </c>
      <c r="E22" t="s" s="871">
        <v>377</v>
      </c>
      <c r="F22" s="872"/>
      <c r="G22" t="s" s="873">
        <v>378</v>
      </c>
      <c r="H22" s="874">
        <v>6.5</v>
      </c>
      <c r="I22" t="s" s="875">
        <v>329</v>
      </c>
      <c r="J22" s="876">
        <f>IF(OR(ISBLANK(F22), F22=""), Maquinaria_Calculo_Rendimiento!$B$5, Maquinaria_Calculo_Rendimiento!$B$3 - F22)</f>
      </c>
      <c r="K22" s="3294">
        <f>IF(I22="km/L", H22 / (1 + (J22 * Maquinaria_Calculo_Rendimiento!$B$4)), H22 * (1 + (J22 * Maquinaria_Calculo_Rendimiento!$B$4)))</f>
      </c>
      <c r="L22" t="s" s="2517">
        <v>260</v>
      </c>
      <c r="M22" s="877"/>
      <c r="N22" s="878"/>
      <c r="O22" s="879"/>
    </row>
    <row r="23" spans="1:15" ht="15">
      <c r="A23" s="880">
        <v>22</v>
      </c>
      <c r="B23" t="s" s="881">
        <v>344</v>
      </c>
      <c r="C23" s="882"/>
      <c r="D23" t="s" s="883">
        <v>379</v>
      </c>
      <c r="E23" t="s" s="884">
        <v>380</v>
      </c>
      <c r="F23" s="885"/>
      <c r="G23" s="886">
        <v>407123</v>
      </c>
      <c r="H23" s="887">
        <v>7.5</v>
      </c>
      <c r="I23" t="s" s="888">
        <v>329</v>
      </c>
      <c r="J23" s="889">
        <f>IF(OR(ISBLANK(F23), F23=""), Maquinaria_Calculo_Rendimiento!$B$5, Maquinaria_Calculo_Rendimiento!$B$3 - F23)</f>
      </c>
      <c r="K23" s="3295">
        <f>IF(I23="km/L", H23 / (1 + (J23 * Maquinaria_Calculo_Rendimiento!$B$4)), H23 * (1 + (J23 * Maquinaria_Calculo_Rendimiento!$B$4)))</f>
      </c>
      <c r="L23" t="s" s="2518">
        <v>261</v>
      </c>
      <c r="M23" s="890"/>
      <c r="N23" s="891"/>
      <c r="O23" s="892"/>
    </row>
    <row r="24" spans="1:15" ht="15">
      <c r="A24" s="893">
        <v>23</v>
      </c>
      <c r="B24" t="s" s="894">
        <v>324</v>
      </c>
      <c r="C24" s="895"/>
      <c r="D24" t="s" s="896">
        <v>330</v>
      </c>
      <c r="E24" t="s" s="897">
        <v>381</v>
      </c>
      <c r="F24" s="898"/>
      <c r="G24" t="s" s="899">
        <v>382</v>
      </c>
      <c r="H24" s="900">
        <v>6.5</v>
      </c>
      <c r="I24" t="s" s="901">
        <v>329</v>
      </c>
      <c r="J24" s="902">
        <f>IF(OR(ISBLANK(F24), F24=""), Maquinaria_Calculo_Rendimiento!$B$5, Maquinaria_Calculo_Rendimiento!$B$3 - F24)</f>
      </c>
      <c r="K24" s="3296">
        <f>IF(I24="km/L", H24 / (1 + (J24 * Maquinaria_Calculo_Rendimiento!$B$4)), H24 * (1 + (J24 * Maquinaria_Calculo_Rendimiento!$B$4)))</f>
      </c>
      <c r="L24" t="s" s="2519">
        <v>262</v>
      </c>
      <c r="M24" s="903"/>
      <c r="N24" s="904"/>
      <c r="O24" s="905"/>
    </row>
    <row r="25" spans="1:15" ht="15">
      <c r="A25" s="906">
        <v>24</v>
      </c>
      <c r="B25" t="s" s="907">
        <v>344</v>
      </c>
      <c r="C25" s="908"/>
      <c r="D25" t="s" s="909">
        <v>379</v>
      </c>
      <c r="E25" t="s" s="910">
        <v>380</v>
      </c>
      <c r="F25" s="911"/>
      <c r="G25" s="912">
        <v>408531</v>
      </c>
      <c r="H25" s="913">
        <v>7.5</v>
      </c>
      <c r="I25" t="s" s="914">
        <v>329</v>
      </c>
      <c r="J25" s="915">
        <f>IF(OR(ISBLANK(F25), F25=""), Maquinaria_Calculo_Rendimiento!$B$5, Maquinaria_Calculo_Rendimiento!$B$3 - F25)</f>
      </c>
      <c r="K25" s="3297">
        <f>IF(I25="km/L", H25 / (1 + (J25 * Maquinaria_Calculo_Rendimiento!$B$4)), H25 * (1 + (J25 * Maquinaria_Calculo_Rendimiento!$B$4)))</f>
      </c>
      <c r="L25" t="s" s="2520">
        <v>263</v>
      </c>
      <c r="M25" s="916"/>
      <c r="N25" s="917"/>
      <c r="O25" s="918"/>
    </row>
    <row r="26" spans="1:15" ht="15">
      <c r="A26" s="919">
        <v>25</v>
      </c>
      <c r="B26" t="s" s="920">
        <v>383</v>
      </c>
      <c r="C26" s="921"/>
      <c r="D26" t="s" s="922">
        <v>384</v>
      </c>
      <c r="E26" t="s" s="923">
        <v>385</v>
      </c>
      <c r="F26" s="924"/>
      <c r="G26" s="925">
        <v>189989</v>
      </c>
      <c r="H26" s="926">
        <v>12</v>
      </c>
      <c r="I26" t="s" s="927">
        <v>329</v>
      </c>
      <c r="J26" s="928">
        <f>IF(OR(ISBLANK(F26), F26=""), Maquinaria_Calculo_Rendimiento!$B$5, Maquinaria_Calculo_Rendimiento!$B$3 - F26)</f>
      </c>
      <c r="K26" s="3298">
        <f>IF(I26="km/L", H26 / (1 + (J26 * Maquinaria_Calculo_Rendimiento!$B$4)), H26 * (1 + (J26 * Maquinaria_Calculo_Rendimiento!$B$4)))</f>
      </c>
      <c r="L26" t="s" s="2521">
        <v>264</v>
      </c>
      <c r="M26" s="929"/>
      <c r="N26" s="930"/>
      <c r="O26" s="931"/>
    </row>
    <row r="27" spans="1:15" ht="15">
      <c r="A27" s="932">
        <v>26</v>
      </c>
      <c r="B27" t="s" s="933">
        <v>386</v>
      </c>
      <c r="C27" s="934"/>
      <c r="D27" t="s" s="935">
        <v>341</v>
      </c>
      <c r="E27" s="936"/>
      <c r="F27" s="937"/>
      <c r="G27" t="s" s="938">
        <v>387</v>
      </c>
      <c r="H27" s="939">
        <v>30</v>
      </c>
      <c r="I27" t="s" s="940">
        <v>329</v>
      </c>
      <c r="J27" s="941">
        <f>IF(OR(ISBLANK(F27), F27=""), Maquinaria_Calculo_Rendimiento!$B$5, Maquinaria_Calculo_Rendimiento!$B$3 - F27)</f>
      </c>
      <c r="K27" s="3299">
        <f>IF(I27="km/L", H27 / (1 + (J27 * Maquinaria_Calculo_Rendimiento!$B$4)), H27 * (1 + (J27 * Maquinaria_Calculo_Rendimiento!$B$4)))</f>
      </c>
      <c r="L27" t="s" s="2522">
        <v>113</v>
      </c>
      <c r="M27" s="942"/>
      <c r="N27" s="943"/>
      <c r="O27" s="944"/>
    </row>
    <row r="28" spans="1:15" ht="15">
      <c r="A28" s="945">
        <v>27</v>
      </c>
      <c r="B28" t="s" s="946">
        <v>388</v>
      </c>
      <c r="C28" t="s" s="947">
        <v>335</v>
      </c>
      <c r="D28" t="s" s="948">
        <v>389</v>
      </c>
      <c r="E28" s="949">
        <v>4300</v>
      </c>
      <c r="F28" s="950">
        <v>2013</v>
      </c>
      <c r="G28" t="s" s="951">
        <v>390</v>
      </c>
      <c r="H28" s="952">
        <v>3.5</v>
      </c>
      <c r="I28" t="s" s="953">
        <v>391</v>
      </c>
      <c r="J28" s="954">
        <f>IF(OR(ISBLANK(F28), F28=""), Maquinaria_Calculo_Rendimiento!$B$5, Maquinaria_Calculo_Rendimiento!$B$3 - F28)</f>
      </c>
      <c r="K28" s="3300">
        <f>IF(I28="km/L", H28 / (1 + (J28 * Maquinaria_Calculo_Rendimiento!$B$4)), H28 * (1 + (J28 * Maquinaria_Calculo_Rendimiento!$B$4)))</f>
      </c>
      <c r="L28" t="s" s="2523">
        <v>124</v>
      </c>
      <c r="M28" s="955"/>
      <c r="N28" s="956"/>
      <c r="O28" s="957"/>
    </row>
    <row r="29" spans="1:15" ht="15">
      <c r="A29" s="958">
        <v>28</v>
      </c>
      <c r="B29" t="s" s="959">
        <v>388</v>
      </c>
      <c r="C29" t="s" s="960">
        <v>335</v>
      </c>
      <c r="D29" t="s" s="961">
        <v>389</v>
      </c>
      <c r="E29" t="s" s="962">
        <v>392</v>
      </c>
      <c r="F29" s="963">
        <v>1998</v>
      </c>
      <c r="G29" t="s" s="964">
        <v>393</v>
      </c>
      <c r="H29" s="965">
        <v>3.5</v>
      </c>
      <c r="I29" t="s" s="966">
        <v>391</v>
      </c>
      <c r="J29" s="967">
        <f>IF(OR(ISBLANK(F29), F29=""), Maquinaria_Calculo_Rendimiento!$B$5, Maquinaria_Calculo_Rendimiento!$B$3 - F29)</f>
      </c>
      <c r="K29" s="3301">
        <f>IF(I29="km/L", H29 / (1 + (J29 * Maquinaria_Calculo_Rendimiento!$B$4)), H29 * (1 + (J29 * Maquinaria_Calculo_Rendimiento!$B$4)))</f>
      </c>
      <c r="L29" t="s" s="2524">
        <v>265</v>
      </c>
      <c r="M29" s="968"/>
      <c r="N29" s="969"/>
      <c r="O29" s="970"/>
    </row>
    <row r="30" spans="1:15" ht="15">
      <c r="A30" s="971">
        <v>29</v>
      </c>
      <c r="B30" t="s" s="972">
        <v>394</v>
      </c>
      <c r="C30" t="s" s="973">
        <v>335</v>
      </c>
      <c r="D30" t="s" s="974">
        <v>389</v>
      </c>
      <c r="E30" t="s" s="975">
        <v>392</v>
      </c>
      <c r="F30" s="976">
        <v>1998</v>
      </c>
      <c r="G30" t="s" s="977">
        <v>395</v>
      </c>
      <c r="H30" s="978">
        <v>10</v>
      </c>
      <c r="I30" t="s" s="979">
        <v>329</v>
      </c>
      <c r="J30" s="980">
        <f>IF(OR(ISBLANK(F30), F30=""), Maquinaria_Calculo_Rendimiento!$B$5, Maquinaria_Calculo_Rendimiento!$B$3 - F30)</f>
      </c>
      <c r="K30" s="3302">
        <f>IF(I30="km/L", H30 / (1 + (J30 * Maquinaria_Calculo_Rendimiento!$B$4)), H30 * (1 + (J30 * Maquinaria_Calculo_Rendimiento!$B$4)))</f>
      </c>
      <c r="L30" t="s" s="2525">
        <v>61</v>
      </c>
      <c r="M30" s="981"/>
      <c r="N30" s="982"/>
      <c r="O30" s="983"/>
    </row>
    <row r="31" spans="1:15" ht="15">
      <c r="A31" s="984">
        <v>30</v>
      </c>
      <c r="B31" t="s" s="985">
        <v>396</v>
      </c>
      <c r="C31" s="986"/>
      <c r="D31" t="s" s="987">
        <v>397</v>
      </c>
      <c r="E31" s="988"/>
      <c r="F31" s="989">
        <v>2003</v>
      </c>
      <c r="G31" t="s" s="990">
        <v>398</v>
      </c>
      <c r="H31" s="991">
        <v>10</v>
      </c>
      <c r="I31" t="s" s="992">
        <v>329</v>
      </c>
      <c r="J31" s="993">
        <f>IF(OR(ISBLANK(F31), F31=""), Maquinaria_Calculo_Rendimiento!$B$5, Maquinaria_Calculo_Rendimiento!$B$3 - F31)</f>
      </c>
      <c r="K31" s="3303">
        <f>IF(I31="km/L", H31 / (1 + (J31 * Maquinaria_Calculo_Rendimiento!$B$4)), H31 * (1 + (J31 * Maquinaria_Calculo_Rendimiento!$B$4)))</f>
      </c>
      <c r="L31" t="s" s="2526">
        <v>122</v>
      </c>
      <c r="M31" s="994"/>
      <c r="N31" s="995"/>
      <c r="O31" s="996"/>
    </row>
    <row r="32" spans="1:15" ht="15">
      <c r="A32" s="997">
        <v>31</v>
      </c>
      <c r="B32" t="s" s="998">
        <v>399</v>
      </c>
      <c r="C32" t="s" s="999">
        <v>335</v>
      </c>
      <c r="D32" t="s" s="1000">
        <v>389</v>
      </c>
      <c r="E32" s="1001"/>
      <c r="F32" s="1002"/>
      <c r="G32" t="s" s="1003">
        <v>400</v>
      </c>
      <c r="H32" s="1004">
        <v>3.5</v>
      </c>
      <c r="I32" t="s" s="1005">
        <v>391</v>
      </c>
      <c r="J32" s="1006">
        <f>IF(OR(ISBLANK(F32), F32=""), Maquinaria_Calculo_Rendimiento!$B$5, Maquinaria_Calculo_Rendimiento!$B$3 - F32)</f>
      </c>
      <c r="K32" s="3304">
        <f>IF(I32="km/L", H32 / (1 + (J32 * Maquinaria_Calculo_Rendimiento!$B$4)), H32 * (1 + (J32 * Maquinaria_Calculo_Rendimiento!$B$4)))</f>
      </c>
      <c r="L32" t="s" s="2527">
        <v>63</v>
      </c>
      <c r="M32" s="1007"/>
      <c r="N32" s="1008"/>
      <c r="O32" s="1009"/>
    </row>
    <row r="33" spans="1:15" ht="15">
      <c r="A33" s="1010">
        <v>32</v>
      </c>
      <c r="B33" t="s" s="1011">
        <v>401</v>
      </c>
      <c r="C33" s="1012"/>
      <c r="D33" t="s" s="1013">
        <v>402</v>
      </c>
      <c r="E33" t="s" s="1014">
        <v>403</v>
      </c>
      <c r="F33" s="1015"/>
      <c r="G33" t="s" s="1016">
        <v>404</v>
      </c>
      <c r="H33" s="1017">
        <v>12</v>
      </c>
      <c r="I33" t="s" s="1018">
        <v>329</v>
      </c>
      <c r="J33" s="1019">
        <f>IF(OR(ISBLANK(F33), F33=""), Maquinaria_Calculo_Rendimiento!$B$5, Maquinaria_Calculo_Rendimiento!$B$3 - F33)</f>
      </c>
      <c r="K33" s="3305">
        <f>IF(I33="km/L", H33 / (1 + (J33 * Maquinaria_Calculo_Rendimiento!$B$4)), H33 * (1 + (J33 * Maquinaria_Calculo_Rendimiento!$B$4)))</f>
      </c>
      <c r="L33" t="s" s="2528">
        <v>266</v>
      </c>
      <c r="M33" s="1020"/>
      <c r="N33" s="1021"/>
      <c r="O33" s="1022"/>
    </row>
    <row r="34" spans="1:15">
      <c r="A34" s="1023"/>
      <c r="B34" s="1024"/>
      <c r="C34" s="1025"/>
      <c r="D34" s="1026"/>
      <c r="E34" s="1027"/>
      <c r="F34" s="1028"/>
      <c r="G34" s="1029"/>
      <c r="H34" s="1030"/>
      <c r="I34" s="1031"/>
      <c r="J34" s="1032"/>
      <c r="K34" s="1033"/>
      <c r="L34" s="1034"/>
      <c r="M34" s="1035"/>
      <c r="N34" s="1036"/>
      <c r="O34" s="1037"/>
    </row>
    <row r="35" spans="1:15">
      <c r="A35" s="1038"/>
      <c r="B35" s="1039"/>
      <c r="C35" s="1040"/>
      <c r="D35" s="1041"/>
      <c r="E35" s="1042"/>
      <c r="F35" s="1043"/>
      <c r="G35" s="1044"/>
      <c r="H35" s="1045"/>
      <c r="I35" s="1046"/>
      <c r="J35" s="1047"/>
      <c r="K35" s="1048"/>
      <c r="L35" s="1049"/>
      <c r="M35" s="1050"/>
      <c r="N35" s="1051"/>
      <c r="O35" s="1052"/>
    </row>
    <row r="36" spans="1:15">
      <c r="A36" s="1053"/>
      <c r="B36" s="1054"/>
      <c r="C36" s="1055"/>
      <c r="D36" s="1056"/>
      <c r="E36" s="1057"/>
      <c r="F36" s="1058"/>
      <c r="G36" s="1059"/>
      <c r="H36" s="1060"/>
      <c r="I36" s="1061"/>
      <c r="J36" s="1062"/>
      <c r="K36" s="1063"/>
      <c r="L36" s="1064"/>
      <c r="M36" s="1065"/>
      <c r="N36" s="1066"/>
      <c r="O36" s="1067"/>
    </row>
    <row r="37" spans="1:15">
      <c r="A37" s="1068"/>
      <c r="B37" s="1069"/>
      <c r="C37" s="1070"/>
      <c r="D37" s="1071"/>
      <c r="E37" s="1072"/>
      <c r="F37" s="1073"/>
      <c r="G37" s="1074"/>
      <c r="H37" s="1075"/>
      <c r="I37" s="1076"/>
      <c r="J37" s="1077"/>
      <c r="K37" s="1078"/>
      <c r="L37" s="1079"/>
      <c r="M37" s="1080"/>
      <c r="N37" s="1081"/>
      <c r="O37" s="1082"/>
    </row>
    <row r="38" spans="1:15">
      <c r="A38" s="1083"/>
      <c r="B38" s="1084"/>
      <c r="C38" s="1085"/>
      <c r="D38" s="1086"/>
      <c r="E38" s="1087"/>
      <c r="F38" s="1088"/>
      <c r="G38" s="1089"/>
      <c r="H38" s="1090"/>
      <c r="I38" s="1091"/>
      <c r="J38" s="1092"/>
      <c r="K38" s="1093"/>
      <c r="L38" s="1094"/>
      <c r="M38" s="1095"/>
      <c r="N38" s="1096"/>
      <c r="O38" s="1097"/>
    </row>
    <row r="39" spans="1:15">
      <c r="A39" s="1098"/>
      <c r="B39" s="1099"/>
      <c r="C39" s="1100"/>
      <c r="D39" s="1101"/>
      <c r="E39" s="1102"/>
      <c r="F39" s="1103"/>
      <c r="G39" s="1104"/>
      <c r="H39" s="1105"/>
      <c r="I39" s="1106"/>
      <c r="J39" s="1107"/>
      <c r="K39" s="1108"/>
      <c r="L39" s="1109"/>
      <c r="M39" s="1110"/>
      <c r="N39" s="1111"/>
      <c r="O39" s="1112"/>
    </row>
    <row r="40" spans="1:15">
      <c r="A40" s="1113"/>
      <c r="B40" s="1114"/>
      <c r="C40" s="1115"/>
      <c r="D40" s="1116"/>
      <c r="E40" s="1117"/>
      <c r="F40" s="1118"/>
      <c r="G40" s="1119"/>
      <c r="H40" s="1120"/>
      <c r="I40" s="1121"/>
      <c r="J40" s="1122"/>
      <c r="K40" s="1123"/>
      <c r="L40" s="1124"/>
      <c r="M40" s="1125"/>
      <c r="N40" s="1126"/>
      <c r="O40" s="1127"/>
    </row>
    <row r="41" spans="1:15">
      <c r="A41" s="1128"/>
      <c r="B41" s="1129"/>
      <c r="C41" s="1130"/>
      <c r="D41" s="1131"/>
      <c r="E41" s="1132"/>
      <c r="F41" s="1133"/>
      <c r="G41" s="1134"/>
      <c r="H41" s="1135"/>
      <c r="I41" s="1136"/>
      <c r="J41" s="1137"/>
      <c r="K41" s="1138"/>
      <c r="L41" s="1139"/>
      <c r="M41" s="1140"/>
      <c r="N41" s="1141"/>
      <c r="O41" s="1142"/>
    </row>
    <row r="42" spans="1:15">
      <c r="A42" s="1143"/>
      <c r="B42" s="1144"/>
      <c r="C42" s="1145"/>
      <c r="D42" s="1146"/>
      <c r="E42" s="1147"/>
      <c r="F42" s="1148"/>
      <c r="G42" s="1149"/>
      <c r="H42" s="1150"/>
      <c r="I42" s="1151"/>
      <c r="J42" s="1152"/>
      <c r="K42" s="1153"/>
      <c r="L42" s="1154"/>
      <c r="M42" s="1155"/>
      <c r="N42" s="1156"/>
      <c r="O42" s="1157"/>
    </row>
    <row r="43" spans="1:15">
      <c r="A43" s="1158"/>
      <c r="B43" s="1159"/>
      <c r="C43" s="1160"/>
      <c r="D43" s="1161"/>
      <c r="E43" s="1162"/>
      <c r="F43" s="1163"/>
      <c r="G43" s="1164"/>
      <c r="H43" s="1165"/>
      <c r="I43" s="1166"/>
      <c r="J43" s="1167"/>
      <c r="K43" s="1168"/>
      <c r="L43" s="1169"/>
      <c r="M43" s="1170"/>
      <c r="N43" s="1171"/>
      <c r="O43" s="1172"/>
    </row>
    <row r="44" spans="1:15">
      <c r="A44" s="1173"/>
      <c r="B44" s="1174"/>
      <c r="C44" s="1175"/>
      <c r="D44" s="1176"/>
      <c r="E44" s="1177"/>
      <c r="F44" s="1178"/>
      <c r="G44" s="1179"/>
      <c r="H44" s="1180"/>
      <c r="I44" s="1181"/>
      <c r="J44" s="1182"/>
      <c r="K44" s="1183"/>
      <c r="L44" s="1184"/>
      <c r="M44" s="1185"/>
      <c r="N44" s="1186"/>
      <c r="O44" s="1187"/>
    </row>
    <row r="45" spans="1:15">
      <c r="A45" s="1188"/>
      <c r="B45" s="1189"/>
      <c r="C45" s="1190"/>
      <c r="D45" s="1191"/>
      <c r="E45" s="1192"/>
      <c r="F45" s="1193"/>
      <c r="G45" s="1194"/>
      <c r="H45" s="1195"/>
      <c r="I45" s="1196"/>
      <c r="J45" s="1197"/>
      <c r="K45" s="1198"/>
      <c r="L45" s="1199"/>
      <c r="M45" s="1200"/>
      <c r="N45" s="1201"/>
      <c r="O45" s="1202"/>
    </row>
    <row r="46" spans="1:15">
      <c r="A46" s="1203"/>
      <c r="B46" s="1204"/>
      <c r="C46" s="1205"/>
      <c r="D46" s="1206"/>
      <c r="E46" s="1207"/>
      <c r="F46" s="1208"/>
      <c r="G46" s="1209"/>
      <c r="H46" s="1210"/>
      <c r="I46" s="1211"/>
      <c r="J46" s="1212"/>
      <c r="K46" s="1213"/>
      <c r="L46" s="1214"/>
      <c r="M46" s="1215"/>
      <c r="N46" s="1216"/>
      <c r="O46" s="1217"/>
    </row>
    <row r="47" spans="1:15">
      <c r="A47" s="1218"/>
      <c r="B47" s="1219"/>
      <c r="C47" s="1220"/>
      <c r="D47" s="1221"/>
      <c r="E47" s="1222"/>
      <c r="F47" s="1223"/>
      <c r="G47" s="1224"/>
      <c r="H47" s="1225"/>
      <c r="I47" s="1226"/>
      <c r="J47" s="1227"/>
      <c r="K47" s="1228"/>
      <c r="L47" s="1229"/>
      <c r="M47" s="1230"/>
      <c r="N47" s="1231"/>
      <c r="O47" s="1232"/>
    </row>
    <row r="48" spans="1:15">
      <c r="A48" s="1233"/>
      <c r="B48" s="1234"/>
      <c r="C48" s="1235"/>
      <c r="D48" s="1236"/>
      <c r="E48" s="1237"/>
      <c r="F48" s="1238"/>
      <c r="G48" s="1239"/>
      <c r="H48" s="1240"/>
      <c r="I48" s="1241"/>
      <c r="J48" s="1242"/>
      <c r="K48" s="1243"/>
      <c r="L48" s="1244"/>
      <c r="M48" s="1245"/>
      <c r="N48" s="1246"/>
      <c r="O48" s="1247"/>
    </row>
    <row r="49" spans="1:15">
      <c r="A49" s="1248"/>
      <c r="B49" s="1249"/>
      <c r="C49" s="1250"/>
      <c r="D49" s="1251"/>
      <c r="E49" s="1252"/>
      <c r="F49" s="1253"/>
      <c r="G49" s="1254"/>
      <c r="H49" s="1255"/>
      <c r="I49" s="1256"/>
      <c r="J49" s="1257"/>
      <c r="K49" s="1258"/>
      <c r="L49" s="1259"/>
      <c r="M49" s="1260"/>
      <c r="N49" s="1261"/>
      <c r="O49" s="1262"/>
    </row>
    <row r="50" spans="1:15">
      <c r="A50" s="1263"/>
      <c r="B50" s="1264"/>
      <c r="C50" s="1265"/>
      <c r="D50" s="1266"/>
      <c r="E50" s="1267"/>
      <c r="F50" s="1268"/>
      <c r="G50" s="1269"/>
      <c r="H50" s="1270"/>
      <c r="I50" s="1271"/>
      <c r="J50" s="1272"/>
      <c r="K50" s="1273"/>
      <c r="L50" s="1274"/>
      <c r="M50" s="1275"/>
      <c r="N50" s="1276"/>
      <c r="O50" s="1277"/>
    </row>
    <row r="51" spans="1:15">
      <c r="A51" s="1278"/>
      <c r="B51" s="1279"/>
      <c r="C51" s="1280"/>
      <c r="D51" s="1281"/>
      <c r="E51" s="1282"/>
      <c r="F51" s="1283"/>
      <c r="G51" s="1284"/>
      <c r="H51" s="1285"/>
      <c r="I51" s="1286"/>
      <c r="J51" s="1287"/>
      <c r="K51" s="1288"/>
      <c r="L51" s="1289"/>
      <c r="M51" s="1290"/>
      <c r="N51" s="1291"/>
      <c r="O51" s="1292"/>
    </row>
    <row r="52" spans="1:15">
      <c r="A52" s="1293"/>
      <c r="B52" s="1294"/>
      <c r="C52" s="1295"/>
      <c r="D52" s="1296"/>
      <c r="E52" s="1297"/>
      <c r="F52" s="1298"/>
      <c r="G52" s="1299"/>
      <c r="H52" s="1300"/>
      <c r="I52" s="1301"/>
      <c r="J52" s="1302"/>
      <c r="K52" s="1303"/>
      <c r="L52" s="1304"/>
      <c r="M52" s="1305"/>
      <c r="N52" s="1306"/>
      <c r="O52" s="1307"/>
    </row>
    <row r="53" spans="1:15">
      <c r="A53" s="1308"/>
      <c r="B53" s="1309"/>
      <c r="C53" s="1310"/>
      <c r="D53" s="1311"/>
      <c r="E53" s="1312"/>
      <c r="F53" s="1313"/>
      <c r="G53" s="1314"/>
      <c r="H53" s="1315"/>
      <c r="I53" s="1316"/>
      <c r="J53" s="1317"/>
      <c r="K53" s="1318"/>
      <c r="L53" s="1319"/>
      <c r="M53" s="1320"/>
      <c r="N53" s="1321"/>
      <c r="O53" s="1322"/>
    </row>
    <row r="54" spans="1:15">
      <c r="A54" s="1323"/>
      <c r="B54" s="1324"/>
      <c r="C54" s="1325"/>
      <c r="D54" s="1326"/>
      <c r="E54" s="1327"/>
      <c r="F54" s="1328"/>
      <c r="G54" s="1329"/>
      <c r="H54" s="1330"/>
      <c r="I54" s="1331"/>
      <c r="J54" s="1332"/>
      <c r="K54" s="1333"/>
      <c r="L54" s="1334"/>
      <c r="M54" s="1335"/>
      <c r="N54" s="1336"/>
      <c r="O54" s="1337"/>
    </row>
    <row r="55" spans="1:15">
      <c r="A55" s="1338"/>
      <c r="B55" s="1339"/>
      <c r="C55" s="1340"/>
      <c r="D55" s="1341"/>
      <c r="E55" s="1342"/>
      <c r="F55" s="1343"/>
      <c r="G55" s="1344"/>
      <c r="H55" s="1345"/>
      <c r="I55" s="1346"/>
      <c r="J55" s="1347"/>
      <c r="K55" s="1348"/>
      <c r="L55" s="1349"/>
      <c r="M55" s="1350"/>
      <c r="N55" s="1351"/>
      <c r="O55" s="1352"/>
    </row>
    <row r="56" spans="1:15">
      <c r="A56" s="1353"/>
      <c r="B56" s="1354"/>
      <c r="C56" s="1355"/>
      <c r="D56" s="1356"/>
      <c r="E56" s="1357"/>
      <c r="F56" s="1358"/>
      <c r="G56" s="1359"/>
      <c r="H56" s="1360"/>
      <c r="I56" s="1361"/>
      <c r="J56" s="1362"/>
      <c r="K56" s="1363"/>
      <c r="L56" s="1364"/>
      <c r="M56" s="1365"/>
      <c r="N56" s="1366"/>
      <c r="O56" s="1367"/>
    </row>
    <row r="57" spans="1:15">
      <c r="A57" s="1368"/>
      <c r="B57" s="1369"/>
      <c r="C57" s="1370"/>
      <c r="D57" s="1371"/>
      <c r="E57" s="1372"/>
      <c r="F57" s="1373"/>
      <c r="G57" s="1374"/>
      <c r="H57" s="1375"/>
      <c r="I57" s="1376"/>
      <c r="J57" s="1377"/>
      <c r="K57" s="1378"/>
      <c r="L57" s="1379"/>
      <c r="M57" s="1380"/>
      <c r="N57" s="1381"/>
      <c r="O57" s="1382"/>
    </row>
    <row r="58" spans="1:15">
      <c r="A58" s="1383"/>
      <c r="B58" s="1384"/>
      <c r="C58" s="1385"/>
      <c r="D58" s="1386"/>
      <c r="E58" s="1387"/>
      <c r="F58" s="1388"/>
      <c r="G58" s="1389"/>
      <c r="H58" s="1390"/>
      <c r="I58" s="1391"/>
      <c r="J58" s="1392"/>
      <c r="K58" s="1393"/>
      <c r="L58" s="1394"/>
      <c r="M58" s="1395"/>
      <c r="N58" s="1396"/>
      <c r="O58" s="1397"/>
    </row>
    <row r="59" spans="1:15">
      <c r="A59" s="1398"/>
      <c r="B59" s="1399"/>
      <c r="C59" s="1400"/>
      <c r="D59" s="1401"/>
      <c r="E59" s="1402"/>
      <c r="F59" s="1403"/>
      <c r="G59" s="1404"/>
      <c r="H59" s="1405"/>
      <c r="I59" s="1406"/>
      <c r="J59" s="1407"/>
      <c r="K59" s="1408"/>
      <c r="L59" s="1409"/>
      <c r="M59" s="1410"/>
      <c r="N59" s="1411"/>
      <c r="O59" s="1412"/>
    </row>
    <row r="60" spans="1:15">
      <c r="A60" s="1413"/>
      <c r="B60" s="1414"/>
      <c r="C60" s="1415"/>
      <c r="D60" s="1416"/>
      <c r="E60" s="1417"/>
      <c r="F60" s="1418"/>
      <c r="G60" s="1419"/>
      <c r="H60" s="1420"/>
      <c r="I60" s="1421"/>
      <c r="J60" s="1422"/>
      <c r="K60" s="1423"/>
      <c r="L60" s="1424"/>
      <c r="M60" s="1425"/>
      <c r="N60" s="1426"/>
      <c r="O60" s="1427"/>
    </row>
    <row r="61" spans="1:15">
      <c r="A61" s="1428"/>
      <c r="B61" s="1429"/>
      <c r="C61" s="1430"/>
      <c r="D61" s="1431"/>
      <c r="E61" s="1432"/>
      <c r="F61" s="1433"/>
      <c r="G61" s="1434"/>
      <c r="H61" s="1435"/>
      <c r="I61" s="1436"/>
      <c r="J61" s="1437"/>
      <c r="K61" s="1438"/>
      <c r="L61" s="1439"/>
      <c r="M61" s="1440"/>
      <c r="N61" s="1441"/>
      <c r="O61" s="1442"/>
    </row>
    <row r="62" spans="1:15">
      <c r="A62" s="1443"/>
      <c r="B62" s="1444"/>
      <c r="C62" s="1445"/>
      <c r="D62" s="1446"/>
      <c r="E62" s="1447"/>
      <c r="F62" s="1448"/>
      <c r="G62" s="1449"/>
      <c r="H62" s="1450"/>
      <c r="I62" s="1451"/>
      <c r="J62" s="1452"/>
      <c r="K62" s="1453"/>
      <c r="L62" s="1454"/>
      <c r="M62" s="1455"/>
      <c r="N62" s="1456"/>
      <c r="O62" s="1457"/>
    </row>
    <row r="63" spans="1:15">
      <c r="A63" s="1458"/>
      <c r="B63" s="1459"/>
      <c r="C63" s="1460"/>
      <c r="D63" s="1461"/>
      <c r="E63" s="1462"/>
      <c r="F63" s="1463"/>
      <c r="G63" s="1464"/>
      <c r="H63" s="1465"/>
      <c r="I63" s="1466"/>
      <c r="J63" s="1467"/>
      <c r="K63" s="1468"/>
      <c r="L63" s="1469"/>
      <c r="M63" s="1470"/>
      <c r="N63" s="1471"/>
      <c r="O63" s="1472"/>
    </row>
    <row r="64" spans="1:15">
      <c r="A64" s="1473"/>
      <c r="B64" s="1474"/>
      <c r="C64" s="1475"/>
      <c r="D64" s="1476"/>
      <c r="E64" s="1477"/>
      <c r="F64" s="1478"/>
      <c r="G64" s="1479"/>
      <c r="H64" s="1480"/>
      <c r="I64" s="1481"/>
      <c r="J64" s="1482"/>
      <c r="K64" s="1483"/>
      <c r="L64" s="1484"/>
      <c r="M64" s="1485"/>
      <c r="N64" s="1486"/>
      <c r="O64" s="1487"/>
    </row>
    <row r="65" spans="1:15">
      <c r="A65" s="1488"/>
      <c r="B65" s="1489"/>
      <c r="C65" s="1490"/>
      <c r="D65" s="1491"/>
      <c r="E65" s="1492"/>
      <c r="F65" s="1493"/>
      <c r="G65" s="1494"/>
      <c r="H65" s="1495"/>
      <c r="I65" s="1496"/>
      <c r="J65" s="1497"/>
      <c r="K65" s="1498"/>
      <c r="L65" s="1499"/>
      <c r="M65" s="1500"/>
      <c r="N65" s="1501"/>
      <c r="O65" s="1502"/>
    </row>
    <row r="66" spans="1:15">
      <c r="A66" s="1503"/>
      <c r="B66" s="1504"/>
      <c r="C66" s="1505"/>
      <c r="D66" s="1506"/>
      <c r="E66" s="1507"/>
      <c r="F66" s="1508"/>
      <c r="G66" s="1509"/>
      <c r="H66" s="1510"/>
      <c r="I66" s="1511"/>
      <c r="J66" s="1512"/>
      <c r="K66" s="1513"/>
      <c r="L66" s="1514"/>
      <c r="M66" s="1515"/>
      <c r="N66" s="1516"/>
      <c r="O66" s="1517"/>
    </row>
    <row r="67" spans="1:15">
      <c r="A67" s="1518"/>
      <c r="B67" s="1519"/>
      <c r="C67" s="1520"/>
      <c r="D67" s="1521"/>
      <c r="E67" s="1522"/>
      <c r="F67" s="1523"/>
      <c r="G67" s="1524"/>
      <c r="H67" s="1525"/>
      <c r="I67" s="1526"/>
      <c r="J67" s="1527"/>
      <c r="K67" s="1528"/>
      <c r="L67" s="1529"/>
      <c r="M67" s="1530"/>
      <c r="N67" s="1531"/>
      <c r="O67" s="1532"/>
    </row>
    <row r="68" spans="1:15">
      <c r="A68" s="1533"/>
      <c r="B68" s="1534"/>
      <c r="C68" s="1535"/>
      <c r="D68" s="1536"/>
      <c r="E68" s="1537"/>
      <c r="F68" s="1538"/>
      <c r="G68" s="1539"/>
      <c r="H68" s="1540"/>
      <c r="I68" s="1541"/>
      <c r="J68" s="1542"/>
      <c r="K68" s="1543"/>
      <c r="L68" s="1544"/>
      <c r="M68" s="1545"/>
      <c r="N68" s="1546"/>
      <c r="O68" s="1547"/>
    </row>
    <row r="69" spans="1:15">
      <c r="A69" s="1548"/>
      <c r="B69" s="1549"/>
      <c r="C69" s="1550"/>
      <c r="D69" s="1551"/>
      <c r="E69" s="1552"/>
      <c r="F69" s="1553"/>
      <c r="G69" s="1554"/>
      <c r="H69" s="1555"/>
      <c r="I69" s="1556"/>
      <c r="J69" s="1557"/>
      <c r="K69" s="1558"/>
      <c r="L69" s="1559"/>
      <c r="M69" s="1560"/>
      <c r="N69" s="1561"/>
      <c r="O69" s="1562"/>
    </row>
    <row r="70" spans="1:15">
      <c r="A70" s="1563"/>
      <c r="B70" s="1564"/>
      <c r="C70" s="1565"/>
      <c r="D70" s="1566"/>
      <c r="E70" s="1567"/>
      <c r="F70" s="1568"/>
      <c r="G70" s="1569"/>
      <c r="H70" s="1570"/>
      <c r="I70" s="1571"/>
      <c r="J70" s="1572"/>
      <c r="K70" s="1573"/>
      <c r="L70" s="1574"/>
      <c r="M70" s="1575"/>
      <c r="N70" s="1576"/>
      <c r="O70" s="1577"/>
    </row>
    <row r="71" spans="1:15">
      <c r="A71" s="1578"/>
      <c r="B71" s="1579"/>
      <c r="C71" s="1580"/>
      <c r="D71" s="1581"/>
      <c r="E71" s="1582"/>
      <c r="F71" s="1583"/>
      <c r="G71" s="1584"/>
      <c r="H71" s="1585"/>
      <c r="I71" s="1586"/>
      <c r="J71" s="1587"/>
      <c r="K71" s="1588"/>
      <c r="L71" s="1589"/>
      <c r="M71" s="1590"/>
      <c r="N71" s="1591"/>
      <c r="O71" s="1592"/>
    </row>
    <row r="72" spans="1:15">
      <c r="A72" s="1593"/>
      <c r="B72" s="1594"/>
      <c r="C72" s="1595"/>
      <c r="D72" s="1596"/>
      <c r="E72" s="1597"/>
      <c r="F72" s="1598"/>
      <c r="G72" s="1599"/>
      <c r="H72" s="1600"/>
      <c r="I72" s="1601"/>
      <c r="J72" s="1602"/>
      <c r="K72" s="1603"/>
      <c r="L72" s="1604"/>
      <c r="M72" s="1605"/>
      <c r="N72" s="1606"/>
      <c r="O72" s="1607"/>
    </row>
    <row r="73" spans="1:15">
      <c r="A73" s="1608"/>
      <c r="B73" s="1609"/>
      <c r="C73" s="1610"/>
      <c r="D73" s="1611"/>
      <c r="E73" s="1612"/>
      <c r="F73" s="1613"/>
      <c r="G73" s="1614"/>
      <c r="H73" s="1615"/>
      <c r="I73" s="1616"/>
      <c r="J73" s="1617"/>
      <c r="K73" s="1618"/>
      <c r="L73" s="1619"/>
      <c r="M73" s="1620"/>
      <c r="N73" s="1621"/>
      <c r="O73" s="1622"/>
    </row>
    <row r="74" spans="1:15">
      <c r="A74" s="1623"/>
      <c r="B74" s="1624"/>
      <c r="C74" s="1625"/>
      <c r="D74" s="1626"/>
      <c r="E74" s="1627"/>
      <c r="F74" s="1628"/>
      <c r="G74" s="1629"/>
      <c r="H74" s="1630"/>
      <c r="I74" s="1631"/>
      <c r="J74" s="1632"/>
      <c r="K74" s="1633"/>
      <c r="L74" s="1634"/>
      <c r="M74" s="1635"/>
      <c r="N74" s="1636"/>
      <c r="O74" s="1637"/>
    </row>
    <row r="75" spans="1:15">
      <c r="A75" s="1638"/>
      <c r="B75" s="1639"/>
      <c r="C75" s="1640"/>
      <c r="D75" s="1641"/>
      <c r="E75" s="1642"/>
      <c r="F75" s="1643"/>
      <c r="G75" s="1644"/>
      <c r="H75" s="1645"/>
      <c r="I75" s="1646"/>
      <c r="J75" s="1647"/>
      <c r="K75" s="1648"/>
      <c r="L75" s="1649"/>
      <c r="M75" s="1650"/>
      <c r="N75" s="1651"/>
      <c r="O75" s="1652"/>
    </row>
    <row r="76" spans="1:15">
      <c r="A76" s="1653"/>
      <c r="B76" s="1654"/>
      <c r="C76" s="1655"/>
      <c r="D76" s="1656"/>
      <c r="E76" s="1657"/>
      <c r="F76" s="1658"/>
      <c r="G76" s="1659"/>
      <c r="H76" s="1660"/>
      <c r="I76" s="1661"/>
      <c r="J76" s="1662"/>
      <c r="K76" s="1663"/>
      <c r="L76" s="1664"/>
      <c r="M76" s="1665"/>
      <c r="N76" s="1666"/>
      <c r="O76" s="1667"/>
    </row>
    <row r="77" spans="1:15">
      <c r="A77" s="1668"/>
      <c r="B77" s="1669"/>
      <c r="C77" s="1670"/>
      <c r="D77" s="1671"/>
      <c r="E77" s="1672"/>
      <c r="F77" s="1673"/>
      <c r="G77" s="1674"/>
      <c r="H77" s="1675"/>
      <c r="I77" s="1676"/>
      <c r="J77" s="1677"/>
      <c r="K77" s="1678"/>
      <c r="L77" s="1679"/>
      <c r="M77" s="1680"/>
      <c r="N77" s="1681"/>
      <c r="O77" s="1682"/>
    </row>
    <row r="78" spans="1:15">
      <c r="A78" s="1683"/>
      <c r="B78" s="1684"/>
      <c r="C78" s="1685"/>
      <c r="D78" s="1686"/>
      <c r="E78" s="1687"/>
      <c r="F78" s="1688"/>
      <c r="G78" s="1689"/>
      <c r="H78" s="1690"/>
      <c r="I78" s="1691"/>
      <c r="J78" s="1692"/>
      <c r="K78" s="1693"/>
      <c r="L78" s="1694"/>
      <c r="M78" s="1695"/>
      <c r="N78" s="1696"/>
      <c r="O78" s="1697"/>
    </row>
    <row r="79" spans="1:15">
      <c r="A79" s="1698"/>
      <c r="B79" s="1699"/>
      <c r="C79" s="1700"/>
      <c r="D79" s="1701"/>
      <c r="E79" s="1702"/>
      <c r="F79" s="1703"/>
      <c r="G79" s="1704"/>
      <c r="H79" s="1705"/>
      <c r="I79" s="1706"/>
      <c r="J79" s="1707"/>
      <c r="K79" s="1708"/>
      <c r="L79" s="1709"/>
      <c r="M79" s="1710"/>
      <c r="N79" s="1711"/>
      <c r="O79" s="1712"/>
    </row>
    <row r="80" spans="1:15">
      <c r="A80" s="1713"/>
      <c r="B80" s="1714"/>
      <c r="C80" s="1715"/>
      <c r="D80" s="1716"/>
      <c r="E80" s="1717"/>
      <c r="F80" s="1718"/>
      <c r="G80" s="1719"/>
      <c r="H80" s="1720"/>
      <c r="I80" s="1721"/>
      <c r="J80" s="1722"/>
      <c r="K80" s="1723"/>
      <c r="L80" s="1724"/>
      <c r="M80" s="1725"/>
      <c r="N80" s="1726"/>
      <c r="O80" s="1727"/>
    </row>
    <row r="81" spans="1:15">
      <c r="A81" s="1728"/>
      <c r="B81" s="1729"/>
      <c r="C81" s="1730"/>
      <c r="D81" s="1731"/>
      <c r="E81" s="1732"/>
      <c r="F81" s="1733"/>
      <c r="G81" s="1734"/>
      <c r="H81" s="1735"/>
      <c r="I81" s="1736"/>
      <c r="J81" s="1737"/>
      <c r="K81" s="1738"/>
      <c r="L81" s="1739"/>
      <c r="M81" s="1740"/>
      <c r="N81" s="1741"/>
      <c r="O81" s="1742"/>
    </row>
    <row r="82" spans="1:15">
      <c r="A82" s="1743"/>
      <c r="B82" s="1744"/>
      <c r="C82" s="1745"/>
      <c r="D82" s="1746"/>
      <c r="E82" s="1747"/>
      <c r="F82" s="1748"/>
      <c r="G82" s="1749"/>
      <c r="H82" s="1750"/>
      <c r="I82" s="1751"/>
      <c r="J82" s="1752"/>
      <c r="K82" s="1753"/>
      <c r="L82" s="1754"/>
      <c r="M82" s="1755"/>
      <c r="N82" s="1756"/>
      <c r="O82" s="1757"/>
    </row>
    <row r="83" spans="1:15">
      <c r="A83" s="1758"/>
      <c r="B83" s="1759"/>
      <c r="C83" s="1760"/>
      <c r="D83" s="1761"/>
      <c r="E83" s="1762"/>
      <c r="F83" s="1763"/>
      <c r="G83" s="1764"/>
      <c r="H83" s="1765"/>
      <c r="I83" s="1766"/>
      <c r="J83" s="1767"/>
      <c r="K83" s="1768"/>
      <c r="L83" s="1769"/>
      <c r="M83" s="1770"/>
      <c r="N83" s="1771"/>
      <c r="O83" s="1772"/>
    </row>
    <row r="84" spans="1:15">
      <c r="A84" s="1773"/>
      <c r="B84" s="1774"/>
      <c r="C84" s="1775"/>
      <c r="D84" s="1776"/>
      <c r="E84" s="1777"/>
      <c r="F84" s="1778"/>
      <c r="G84" s="1779"/>
      <c r="H84" s="1780"/>
      <c r="I84" s="1781"/>
      <c r="J84" s="1782"/>
      <c r="K84" s="1783"/>
      <c r="L84" s="1784"/>
      <c r="M84" s="1785"/>
      <c r="N84" s="1786"/>
      <c r="O84" s="1787"/>
    </row>
    <row r="85" spans="1:15">
      <c r="A85" s="1788"/>
      <c r="B85" s="1789"/>
      <c r="C85" s="1790"/>
      <c r="D85" s="1791"/>
      <c r="E85" s="1792"/>
      <c r="F85" s="1793"/>
      <c r="G85" s="1794"/>
      <c r="H85" s="1795"/>
      <c r="I85" s="1796"/>
      <c r="J85" s="1797"/>
      <c r="K85" s="1798"/>
      <c r="L85" s="1799"/>
      <c r="M85" s="1800"/>
      <c r="N85" s="1801"/>
      <c r="O85" s="1802"/>
    </row>
    <row r="86" spans="1:15">
      <c r="A86" s="1803"/>
      <c r="B86" s="1804"/>
      <c r="C86" s="1805"/>
      <c r="D86" s="1806"/>
      <c r="E86" s="1807"/>
      <c r="F86" s="1808"/>
      <c r="G86" s="1809"/>
      <c r="H86" s="1810"/>
      <c r="I86" s="1811"/>
      <c r="J86" s="1812"/>
      <c r="K86" s="1813"/>
      <c r="L86" s="1814"/>
      <c r="M86" s="1815"/>
      <c r="N86" s="1816"/>
      <c r="O86" s="1817"/>
    </row>
    <row r="87" spans="1:15">
      <c r="A87" s="1818"/>
      <c r="B87" s="1819"/>
      <c r="C87" s="1820"/>
      <c r="D87" s="1821"/>
      <c r="E87" s="1822"/>
      <c r="F87" s="1823"/>
      <c r="G87" s="1824"/>
      <c r="H87" s="1825"/>
      <c r="I87" s="1826"/>
      <c r="J87" s="1827"/>
      <c r="K87" s="1828"/>
      <c r="L87" s="1829"/>
      <c r="M87" s="1830"/>
      <c r="N87" s="1831"/>
      <c r="O87" s="1832"/>
    </row>
    <row r="88" spans="1:15">
      <c r="A88" s="1833"/>
      <c r="B88" s="1834"/>
      <c r="C88" s="1835"/>
      <c r="D88" s="1836"/>
      <c r="E88" s="1837"/>
      <c r="F88" s="1838"/>
      <c r="G88" s="1839"/>
      <c r="H88" s="1840"/>
      <c r="I88" s="1841"/>
      <c r="J88" s="1842"/>
      <c r="K88" s="1843"/>
      <c r="L88" s="1844"/>
      <c r="M88" s="1845"/>
      <c r="N88" s="1846"/>
      <c r="O88" s="1847"/>
    </row>
    <row r="89" spans="1:15">
      <c r="A89" s="1848"/>
      <c r="B89" s="1849"/>
      <c r="C89" s="1850"/>
      <c r="D89" s="1851"/>
      <c r="E89" s="1852"/>
      <c r="F89" s="1853"/>
      <c r="G89" s="1854"/>
      <c r="H89" s="1855"/>
      <c r="I89" s="1856"/>
      <c r="J89" s="1857"/>
      <c r="K89" s="1858"/>
      <c r="L89" s="1859"/>
      <c r="M89" s="1860"/>
      <c r="N89" s="1861"/>
      <c r="O89" s="1862"/>
    </row>
    <row r="90" spans="1:15">
      <c r="A90" s="1863"/>
      <c r="B90" s="1864"/>
      <c r="C90" s="1865"/>
      <c r="D90" s="1866"/>
      <c r="E90" s="1867"/>
      <c r="F90" s="1868"/>
      <c r="G90" s="1869"/>
      <c r="H90" s="1870"/>
      <c r="I90" s="1871"/>
      <c r="J90" s="1872"/>
      <c r="K90" s="1873"/>
      <c r="L90" s="1874"/>
      <c r="M90" s="1875"/>
      <c r="N90" s="1876"/>
      <c r="O90" s="1877"/>
    </row>
    <row r="91" spans="1:15">
      <c r="A91" s="1878"/>
      <c r="B91" s="1879"/>
      <c r="C91" s="1880"/>
      <c r="D91" s="1881"/>
      <c r="E91" s="1882"/>
      <c r="F91" s="1883"/>
      <c r="G91" s="1884"/>
      <c r="H91" s="1885"/>
      <c r="I91" s="1886"/>
      <c r="J91" s="1887"/>
      <c r="K91" s="1888"/>
      <c r="L91" s="1889"/>
      <c r="M91" s="1890"/>
      <c r="N91" s="1891"/>
      <c r="O91" s="1892"/>
    </row>
    <row r="92" spans="1:15">
      <c r="A92" s="1893"/>
      <c r="B92" s="1894"/>
      <c r="C92" s="1895"/>
      <c r="D92" s="1896"/>
      <c r="E92" s="1897"/>
      <c r="F92" s="1898"/>
      <c r="G92" s="1899"/>
      <c r="H92" s="1900"/>
      <c r="I92" s="1901"/>
      <c r="J92" s="1902"/>
      <c r="K92" s="1903"/>
      <c r="L92" s="1904"/>
      <c r="M92" s="1905"/>
      <c r="N92" s="1906"/>
      <c r="O92" s="1907"/>
    </row>
    <row r="93" spans="1:15">
      <c r="A93" s="1908"/>
      <c r="B93" s="1909"/>
      <c r="C93" s="1910"/>
      <c r="D93" s="1911"/>
      <c r="E93" s="1912"/>
      <c r="F93" s="1913"/>
      <c r="G93" s="1914"/>
      <c r="H93" s="1915"/>
      <c r="I93" s="1916"/>
      <c r="J93" s="1917"/>
      <c r="K93" s="1918"/>
      <c r="L93" s="1919"/>
      <c r="M93" s="1920"/>
      <c r="N93" s="1921"/>
      <c r="O93" s="1922"/>
    </row>
    <row r="94" spans="1:15">
      <c r="A94" s="1923"/>
      <c r="B94" s="1924"/>
      <c r="C94" s="1925"/>
      <c r="D94" s="1926"/>
      <c r="E94" s="1927"/>
      <c r="F94" s="1928"/>
      <c r="G94" s="1929"/>
      <c r="H94" s="1930"/>
      <c r="I94" s="1931"/>
      <c r="J94" s="1932"/>
      <c r="K94" s="1933"/>
      <c r="L94" s="1934"/>
      <c r="M94" s="1935"/>
      <c r="N94" s="1936"/>
      <c r="O94" s="1937"/>
    </row>
    <row r="95" spans="1:15">
      <c r="A95" s="1938"/>
      <c r="B95" s="1939"/>
      <c r="C95" s="1940"/>
      <c r="D95" s="1941"/>
      <c r="E95" s="1942"/>
      <c r="F95" s="1943"/>
      <c r="G95" s="1944"/>
      <c r="H95" s="1945"/>
      <c r="I95" s="1946"/>
      <c r="J95" s="1947"/>
      <c r="K95" s="1948"/>
      <c r="L95" s="1949"/>
      <c r="M95" s="1950"/>
      <c r="N95" s="1951"/>
      <c r="O95" s="1952"/>
    </row>
    <row r="96" spans="1:15">
      <c r="A96" s="1953"/>
      <c r="B96" s="1954"/>
      <c r="C96" s="1955"/>
      <c r="D96" s="1956"/>
      <c r="E96" s="1957"/>
      <c r="F96" s="1958"/>
      <c r="G96" s="1959"/>
      <c r="H96" s="1960"/>
      <c r="I96" s="1961"/>
      <c r="J96" s="1962"/>
      <c r="K96" s="1963"/>
      <c r="L96" s="1964"/>
      <c r="M96" s="1965"/>
      <c r="N96" s="1966"/>
      <c r="O96" s="1967"/>
    </row>
    <row r="97" spans="1:15">
      <c r="A97" s="1968"/>
      <c r="B97" s="1969"/>
      <c r="C97" s="1970"/>
      <c r="D97" s="1971"/>
      <c r="E97" s="1972"/>
      <c r="F97" s="1973"/>
      <c r="G97" s="1974"/>
      <c r="H97" s="1975"/>
      <c r="I97" s="1976"/>
      <c r="J97" s="1977"/>
      <c r="K97" s="1978"/>
      <c r="L97" s="1979"/>
      <c r="M97" s="1980"/>
      <c r="N97" s="1981"/>
      <c r="O97" s="1982"/>
    </row>
    <row r="98" spans="1:15">
      <c r="A98" s="1983"/>
      <c r="B98" s="1984"/>
      <c r="C98" s="1985"/>
      <c r="D98" s="1986"/>
      <c r="E98" s="1987"/>
      <c r="F98" s="1988"/>
      <c r="G98" s="1989"/>
      <c r="H98" s="1990"/>
      <c r="I98" s="1991"/>
      <c r="J98" s="1992"/>
      <c r="K98" s="1993"/>
      <c r="L98" s="1994"/>
      <c r="M98" s="1995"/>
      <c r="N98" s="1996"/>
      <c r="O98" s="199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/>
  <sheetViews>
    <sheetView workbookViewId="0">
      <selection sqref="A1:C1"/>
    </sheetView>
  </sheetViews>
  <sheetFormatPr baseColWidth="10" defaultRowHeight="13.8"/>
  <cols>
    <col min="1" max="1" width="38" customWidth="1"/>
    <col min="2" max="3" width="18" customWidth="1"/>
  </cols>
  <sheetData>
    <row r="1" spans="1:10" ht="31.95" customHeight="1">
      <c r="A1" t="s" s="3563">
        <v>405</v>
      </c>
      <c r="B1" s="3564"/>
      <c r="C1" s="3565"/>
      <c r="D1" s="1998"/>
      <c r="E1" s="1999"/>
      <c r="F1" s="2000"/>
      <c r="G1" s="2001"/>
      <c r="H1" s="2002"/>
      <c r="I1" s="2003"/>
      <c r="J1" s="2004"/>
    </row>
    <row r="2" spans="1:10">
      <c r="A2" s="2005"/>
      <c r="B2" s="2006"/>
      <c r="C2" s="2007"/>
      <c r="D2" s="2008"/>
      <c r="E2" s="2009"/>
      <c r="F2" s="2010"/>
      <c r="G2" s="2011"/>
      <c r="H2" s="2012"/>
      <c r="I2" s="2013"/>
      <c r="J2" s="2014"/>
    </row>
    <row r="3" spans="1:10" ht="15">
      <c r="A3" t="s" s="2015">
        <v>406</v>
      </c>
      <c r="B3" s="2016">
        <v>2026</v>
      </c>
      <c r="C3" s="2017"/>
      <c r="D3" s="2018"/>
      <c r="E3" s="2019"/>
      <c r="F3" s="2020"/>
      <c r="G3" s="2021"/>
      <c r="H3" s="2022"/>
      <c r="I3" s="2023"/>
      <c r="J3" s="2024"/>
    </row>
    <row r="4" spans="1:10" ht="15">
      <c r="A4" t="s" s="2025">
        <v>407</v>
      </c>
      <c r="B4" s="2026">
        <v>0.01</v>
      </c>
      <c r="C4" s="2027"/>
      <c r="D4" s="2028"/>
      <c r="E4" s="2029"/>
      <c r="F4" s="2030"/>
      <c r="G4" s="2031"/>
      <c r="H4" s="2032"/>
      <c r="I4" s="2033"/>
      <c r="J4" s="2034"/>
    </row>
    <row r="5" spans="1:10" ht="15">
      <c r="A5" t="s" s="2035">
        <v>408</v>
      </c>
      <c r="B5" s="2036">
        <v>10</v>
      </c>
      <c r="C5" s="2037"/>
      <c r="D5" s="2038"/>
      <c r="E5" s="2039"/>
      <c r="F5" s="2040"/>
      <c r="G5" s="2041"/>
      <c r="H5" s="2042"/>
      <c r="I5" s="2043"/>
      <c r="J5" s="2044"/>
    </row>
    <row r="6" spans="1:10">
      <c r="A6" s="2045"/>
      <c r="B6" s="2046"/>
      <c r="C6" s="2047"/>
      <c r="D6" s="2048"/>
      <c r="E6" s="2049"/>
      <c r="F6" s="2050"/>
      <c r="G6" s="2051"/>
      <c r="H6" s="2052"/>
      <c r="I6" s="2053"/>
      <c r="J6" s="2054"/>
    </row>
    <row r="7" spans="1:10" ht="19.2">
      <c r="A7" t="s" s="2055">
        <v>409</v>
      </c>
      <c r="B7" s="2056"/>
      <c r="C7" s="2057"/>
      <c r="D7" s="2058"/>
      <c r="E7" s="2059"/>
      <c r="F7" s="2060"/>
      <c r="G7" s="2061"/>
      <c r="H7" s="2062"/>
      <c r="I7" s="2063"/>
      <c r="J7" s="2064"/>
    </row>
    <row r="8" spans="1:10">
      <c r="A8" s="2065"/>
      <c r="B8" s="2066"/>
      <c r="C8" s="2067"/>
      <c r="D8" s="2068"/>
      <c r="E8" s="2069"/>
      <c r="F8" s="2070"/>
      <c r="G8" s="2071"/>
      <c r="H8" s="2072"/>
      <c r="I8" s="2073"/>
      <c r="J8" s="2074"/>
    </row>
    <row r="9" spans="1:10" ht="16.8">
      <c r="A9" t="s" s="2075">
        <v>410</v>
      </c>
      <c r="B9" s="2076"/>
      <c r="C9" s="2077"/>
      <c r="D9" s="2078"/>
      <c r="E9" s="2079"/>
      <c r="F9" s="2080"/>
      <c r="G9" s="2081"/>
      <c r="H9" s="2082"/>
      <c r="I9" s="2083"/>
      <c r="J9" s="2084"/>
    </row>
    <row r="10" spans="1:10" ht="16.8">
      <c r="A10" t="s" s="2085">
        <v>411</v>
      </c>
      <c r="B10" s="2086"/>
      <c r="C10" s="2087"/>
      <c r="D10" s="2088"/>
      <c r="E10" s="2089"/>
      <c r="F10" s="2090"/>
      <c r="G10" s="2091"/>
      <c r="H10" s="2092"/>
      <c r="I10" s="2093"/>
      <c r="J10" s="2094"/>
    </row>
    <row r="11" spans="1:10" ht="16.8">
      <c r="A11" t="s" s="2095">
        <v>412</v>
      </c>
      <c r="B11" s="2096"/>
      <c r="C11" s="2097"/>
      <c r="D11" s="2098"/>
      <c r="E11" s="2099"/>
      <c r="F11" s="2100"/>
      <c r="G11" s="2101"/>
      <c r="H11" s="2102"/>
      <c r="I11" s="2103"/>
      <c r="J11" s="2104"/>
    </row>
    <row r="12" spans="1:10">
      <c r="A12" s="2105"/>
      <c r="B12" s="2106"/>
      <c r="C12" s="2107"/>
      <c r="D12" s="2108"/>
      <c r="E12" s="2109"/>
      <c r="F12" s="2110"/>
      <c r="G12" s="2111"/>
      <c r="H12" s="2112"/>
      <c r="I12" s="2113"/>
      <c r="J12" s="2114"/>
    </row>
    <row r="13" spans="1:10" ht="16.8">
      <c r="A13" t="s" s="2115">
        <v>413</v>
      </c>
      <c r="B13" s="2116"/>
      <c r="C13" s="2117"/>
      <c r="D13" s="2118"/>
      <c r="E13" s="2119"/>
      <c r="F13" s="2120"/>
      <c r="G13" s="2121"/>
      <c r="H13" s="2122"/>
      <c r="I13" s="2123"/>
      <c r="J13" s="2124"/>
    </row>
    <row r="14" spans="1:10" ht="16.8">
      <c r="A14" t="s" s="2125">
        <v>414</v>
      </c>
      <c r="B14" s="2126"/>
      <c r="C14" s="2127"/>
      <c r="D14" s="2128"/>
      <c r="E14" s="2129"/>
      <c r="F14" s="2130"/>
      <c r="G14" s="2131"/>
      <c r="H14" s="2132"/>
      <c r="I14" s="2133"/>
      <c r="J14" s="2134"/>
    </row>
    <row r="15" spans="1:10" ht="16.8">
      <c r="A15" t="s" s="2135">
        <v>415</v>
      </c>
      <c r="B15" s="2136"/>
      <c r="C15" s="2137"/>
      <c r="D15" s="2138"/>
      <c r="E15" s="2139"/>
      <c r="F15" s="2140"/>
      <c r="G15" s="2141"/>
      <c r="H15" s="2142"/>
      <c r="I15" s="2143"/>
      <c r="J15" s="2144"/>
    </row>
    <row r="16" spans="1:10">
      <c r="A16" s="2145"/>
      <c r="B16" s="2146"/>
      <c r="C16" s="2147"/>
      <c r="D16" s="2148"/>
      <c r="E16" s="2149"/>
      <c r="F16" s="2150"/>
      <c r="G16" s="2151"/>
      <c r="H16" s="2152"/>
      <c r="I16" s="2153"/>
      <c r="J16" s="2154"/>
    </row>
    <row r="17" spans="1:10" ht="16.8">
      <c r="A17" t="s" s="2155">
        <v>416</v>
      </c>
      <c r="B17" s="2156"/>
      <c r="C17" s="2157"/>
      <c r="D17" s="2158"/>
      <c r="E17" s="2159"/>
      <c r="F17" s="2160"/>
      <c r="G17" s="2161"/>
      <c r="H17" s="2162"/>
      <c r="I17" s="2163"/>
      <c r="J17" s="2164"/>
    </row>
    <row r="18" spans="1:10" ht="16.8">
      <c r="A18" t="s" s="2165">
        <v>417</v>
      </c>
      <c r="B18" s="2166"/>
      <c r="C18" s="2167"/>
      <c r="D18" s="2168"/>
      <c r="E18" s="2169"/>
      <c r="F18" s="2170"/>
      <c r="G18" s="2171"/>
      <c r="H18" s="2172"/>
      <c r="I18" s="2173"/>
      <c r="J18" s="2174"/>
    </row>
    <row r="19" spans="1:10" ht="16.8">
      <c r="A19" t="s" s="2175">
        <v>418</v>
      </c>
      <c r="B19" s="2176"/>
      <c r="C19" s="2177"/>
      <c r="D19" s="2178"/>
      <c r="E19" s="2179"/>
      <c r="F19" s="2180"/>
      <c r="G19" s="2181"/>
      <c r="H19" s="2182"/>
      <c r="I19" s="2183"/>
      <c r="J19" s="2184"/>
    </row>
    <row r="20" spans="1:10">
      <c r="A20" s="2185"/>
      <c r="B20" s="2186"/>
      <c r="C20" s="2187"/>
      <c r="D20" s="2188"/>
      <c r="E20" s="2189"/>
      <c r="F20" s="2190"/>
      <c r="G20" s="2191"/>
      <c r="H20" s="2192"/>
      <c r="I20" s="2193"/>
      <c r="J20" s="2194"/>
    </row>
    <row r="21" spans="1:10" ht="16.8">
      <c r="A21" t="s" s="2195">
        <v>419</v>
      </c>
      <c r="B21" s="2196"/>
      <c r="C21" s="2197"/>
      <c r="D21" s="2198"/>
      <c r="E21" s="2199"/>
      <c r="F21" s="2200"/>
      <c r="G21" s="2201"/>
      <c r="H21" s="2202"/>
      <c r="I21" s="2203"/>
      <c r="J21" s="2204"/>
    </row>
    <row r="22" spans="1:10" ht="16.8">
      <c r="A22" t="s" s="2205">
        <v>420</v>
      </c>
      <c r="B22" s="2206"/>
      <c r="C22" s="2207"/>
      <c r="D22" s="2208"/>
      <c r="E22" s="2209"/>
      <c r="F22" s="2210"/>
      <c r="G22" s="2211"/>
      <c r="H22" s="2212"/>
      <c r="I22" s="2213"/>
      <c r="J22" s="2214"/>
    </row>
    <row r="23" spans="1:10" ht="16.8">
      <c r="A23" t="s" s="2215">
        <v>421</v>
      </c>
      <c r="B23" s="2216"/>
      <c r="C23" s="2217"/>
      <c r="D23" s="2218"/>
      <c r="E23" s="2219"/>
      <c r="F23" s="2220"/>
      <c r="G23" s="2221"/>
      <c r="H23" s="2222"/>
      <c r="I23" s="2223"/>
      <c r="J23" s="2224"/>
    </row>
    <row r="24" spans="1:10" ht="16.8">
      <c r="A24" t="s" s="2225">
        <v>422</v>
      </c>
      <c r="B24" s="2226"/>
      <c r="C24" s="2227"/>
      <c r="D24" s="2228"/>
      <c r="E24" s="2229"/>
      <c r="F24" s="2230"/>
      <c r="G24" s="2231"/>
      <c r="H24" s="2232"/>
      <c r="I24" s="2233"/>
      <c r="J24" s="2234"/>
    </row>
    <row r="25" spans="1:10">
      <c r="A25" s="2235"/>
      <c r="B25" s="2236"/>
      <c r="C25" s="2237"/>
      <c r="D25" s="2238"/>
      <c r="E25" s="2239"/>
      <c r="F25" s="2240"/>
      <c r="G25" s="2241"/>
      <c r="H25" s="2242"/>
      <c r="I25" s="2243"/>
      <c r="J25" s="2244"/>
    </row>
    <row r="26" spans="1:10">
      <c r="A26" s="2245"/>
      <c r="B26" s="2246"/>
      <c r="C26" s="2247"/>
      <c r="D26" s="2248"/>
      <c r="E26" s="2249"/>
      <c r="F26" s="2250"/>
      <c r="G26" s="2251"/>
      <c r="H26" s="2252"/>
      <c r="I26" s="2253"/>
      <c r="J26" s="2254"/>
    </row>
    <row r="27" spans="1:10">
      <c r="A27" s="2255"/>
      <c r="B27" s="2256"/>
      <c r="C27" s="2257"/>
      <c r="D27" s="2258"/>
      <c r="E27" s="2259"/>
      <c r="F27" s="2260"/>
      <c r="G27" s="2261"/>
      <c r="H27" s="2262"/>
      <c r="I27" s="2263"/>
      <c r="J27" s="2264"/>
    </row>
    <row r="28" spans="1:10">
      <c r="A28" s="2265"/>
      <c r="B28" s="2266"/>
      <c r="C28" s="2267"/>
      <c r="D28" s="2268"/>
      <c r="E28" s="2269"/>
      <c r="F28" s="2270"/>
      <c r="G28" s="2271"/>
      <c r="H28" s="2272"/>
      <c r="I28" s="2273"/>
      <c r="J28" s="2274"/>
    </row>
    <row r="29" spans="1:10">
      <c r="A29" s="2275"/>
      <c r="B29" s="2276"/>
      <c r="C29" s="2277"/>
      <c r="D29" s="2278"/>
      <c r="E29" s="2279"/>
      <c r="F29" s="2280"/>
      <c r="G29" s="2281"/>
      <c r="H29" s="2282"/>
      <c r="I29" s="2283"/>
      <c r="J29" s="2284"/>
    </row>
    <row r="30" spans="1:10">
      <c r="A30" s="2285"/>
      <c r="B30" s="2286"/>
      <c r="C30" s="2287"/>
      <c r="D30" s="2288"/>
      <c r="E30" s="2289"/>
      <c r="F30" s="2290"/>
      <c r="G30" s="2291"/>
      <c r="H30" s="2292"/>
      <c r="I30" s="2293"/>
      <c r="J30" s="2294"/>
    </row>
    <row r="31" spans="1:10">
      <c r="A31" s="2295"/>
      <c r="B31" s="2296"/>
      <c r="C31" s="2297"/>
      <c r="D31" s="2298"/>
      <c r="E31" s="2299"/>
      <c r="F31" s="2300"/>
      <c r="G31" s="2301"/>
      <c r="H31" s="2302"/>
      <c r="I31" s="2303"/>
      <c r="J31" s="2304"/>
    </row>
    <row r="32" spans="1:10">
      <c r="A32" s="2305"/>
      <c r="B32" s="2306"/>
      <c r="C32" s="2307"/>
      <c r="D32" s="2308"/>
      <c r="E32" s="2309"/>
      <c r="F32" s="2310"/>
      <c r="G32" s="2311"/>
      <c r="H32" s="2312"/>
      <c r="I32" s="2313"/>
      <c r="J32" s="2314"/>
    </row>
    <row r="33" spans="1:10">
      <c r="A33" s="2315"/>
      <c r="B33" s="2316"/>
      <c r="C33" s="2317"/>
      <c r="D33" s="2318"/>
      <c r="E33" s="2319"/>
      <c r="F33" s="2320"/>
      <c r="G33" s="2321"/>
      <c r="H33" s="2322"/>
      <c r="I33" s="2323"/>
      <c r="J33" s="2324"/>
    </row>
    <row r="34" spans="1:10">
      <c r="A34" s="2325"/>
      <c r="B34" s="2326"/>
      <c r="C34" s="2327"/>
      <c r="D34" s="2328"/>
      <c r="E34" s="2329"/>
      <c r="F34" s="2330"/>
      <c r="G34" s="2331"/>
      <c r="H34" s="2332"/>
      <c r="I34" s="2333"/>
      <c r="J34" s="2334"/>
    </row>
    <row r="35" spans="1:10">
      <c r="A35" s="2335"/>
      <c r="B35" s="2336"/>
      <c r="C35" s="2337"/>
      <c r="D35" s="2338"/>
      <c r="E35" s="2339"/>
      <c r="F35" s="2340"/>
      <c r="G35" s="2341"/>
      <c r="H35" s="2342"/>
      <c r="I35" s="2343"/>
      <c r="J35" s="2344"/>
    </row>
    <row r="36" spans="1:10">
      <c r="A36" s="2345"/>
      <c r="B36" s="2346"/>
      <c r="C36" s="2347"/>
      <c r="D36" s="2348"/>
      <c r="E36" s="2349"/>
      <c r="F36" s="2350"/>
      <c r="G36" s="2351"/>
      <c r="H36" s="2352"/>
      <c r="I36" s="2353"/>
      <c r="J36" s="2354"/>
    </row>
    <row r="37" spans="1:10">
      <c r="A37" s="2355"/>
      <c r="B37" s="2356"/>
      <c r="C37" s="2357"/>
      <c r="D37" s="2358"/>
      <c r="E37" s="2359"/>
      <c r="F37" s="2360"/>
      <c r="G37" s="2361"/>
      <c r="H37" s="2362"/>
      <c r="I37" s="2363"/>
      <c r="J37" s="2364"/>
    </row>
    <row r="38" spans="1:10">
      <c r="A38" s="2365"/>
      <c r="B38" s="2366"/>
      <c r="C38" s="2367"/>
      <c r="D38" s="2368"/>
      <c r="E38" s="2369"/>
      <c r="F38" s="2370"/>
      <c r="G38" s="2371"/>
      <c r="H38" s="2372"/>
      <c r="I38" s="2373"/>
      <c r="J38" s="2374"/>
    </row>
    <row r="39" spans="1:10">
      <c r="A39" s="2375"/>
      <c r="B39" s="2376"/>
      <c r="C39" s="2377"/>
      <c r="D39" s="2378"/>
      <c r="E39" s="2379"/>
      <c r="F39" s="2380"/>
      <c r="G39" s="2381"/>
      <c r="H39" s="2382"/>
      <c r="I39" s="2383"/>
      <c r="J39" s="2384"/>
    </row>
    <row r="40" spans="1:10">
      <c r="A40" s="2385"/>
      <c r="B40" s="2386"/>
      <c r="C40" s="2387"/>
      <c r="D40" s="2388"/>
      <c r="E40" s="2389"/>
      <c r="F40" s="2390"/>
      <c r="G40" s="2391"/>
      <c r="H40" s="2392"/>
      <c r="I40" s="2393"/>
      <c r="J40" s="2394"/>
    </row>
    <row r="41" spans="1:10">
      <c r="A41" s="2395"/>
      <c r="B41" s="2396"/>
      <c r="C41" s="2397"/>
      <c r="D41" s="2398"/>
      <c r="E41" s="2399"/>
      <c r="F41" s="2400"/>
      <c r="G41" s="2401"/>
      <c r="H41" s="2402"/>
      <c r="I41" s="2403"/>
      <c r="J41" s="2404"/>
    </row>
    <row r="42" spans="1:10">
      <c r="A42" s="2405"/>
      <c r="B42" s="2406"/>
      <c r="C42" s="2407"/>
      <c r="D42" s="2408"/>
      <c r="E42" s="2409"/>
      <c r="F42" s="2410"/>
      <c r="G42" s="2411"/>
      <c r="H42" s="2412"/>
      <c r="I42" s="2413"/>
      <c r="J42" s="2414"/>
    </row>
    <row r="43" spans="1:10">
      <c r="A43" s="2415"/>
      <c r="B43" s="2416"/>
      <c r="C43" s="2417"/>
      <c r="D43" s="2418"/>
      <c r="E43" s="2419"/>
      <c r="F43" s="2420"/>
      <c r="G43" s="2421"/>
      <c r="H43" s="2422"/>
      <c r="I43" s="2423"/>
      <c r="J43" s="2424"/>
    </row>
    <row r="44" spans="1:10">
      <c r="A44" s="2425"/>
      <c r="B44" s="2426"/>
      <c r="C44" s="2427"/>
      <c r="D44" s="2428"/>
      <c r="E44" s="2429"/>
      <c r="F44" s="2430"/>
      <c r="G44" s="2431"/>
      <c r="H44" s="2432"/>
      <c r="I44" s="2433"/>
      <c r="J44" s="2434"/>
    </row>
    <row r="45" spans="1:10">
      <c r="A45" s="2435"/>
      <c r="B45" s="2436"/>
      <c r="C45" s="2437"/>
      <c r="D45" s="2438"/>
      <c r="E45" s="2439"/>
      <c r="F45" s="2440"/>
      <c r="G45" s="2441"/>
      <c r="H45" s="2442"/>
      <c r="I45" s="2443"/>
      <c r="J45" s="2444"/>
    </row>
    <row r="46" spans="1:10">
      <c r="A46" s="2445"/>
      <c r="B46" s="2446"/>
      <c r="C46" s="2447"/>
      <c r="D46" s="2448"/>
      <c r="E46" s="2449"/>
      <c r="F46" s="2450"/>
      <c r="G46" s="2451"/>
      <c r="H46" s="2452"/>
      <c r="I46" s="2453"/>
      <c r="J46" s="2454"/>
    </row>
    <row r="47" spans="1:10">
      <c r="A47" s="2455"/>
      <c r="B47" s="2456"/>
      <c r="C47" s="2457"/>
      <c r="D47" s="2458"/>
      <c r="E47" s="2459"/>
      <c r="F47" s="2460"/>
      <c r="G47" s="2461"/>
      <c r="H47" s="2462"/>
      <c r="I47" s="2463"/>
      <c r="J47" s="2464"/>
    </row>
    <row r="48" spans="1:10">
      <c r="A48" s="2465"/>
      <c r="B48" s="2466"/>
      <c r="C48" s="2467"/>
      <c r="D48" s="2468"/>
      <c r="E48" s="2469"/>
      <c r="F48" s="2470"/>
      <c r="G48" s="2471"/>
      <c r="H48" s="2472"/>
      <c r="I48" s="2473"/>
      <c r="J48" s="2474"/>
    </row>
    <row r="49" spans="1:10">
      <c r="A49" s="2475"/>
      <c r="B49" s="2476"/>
      <c r="C49" s="2477"/>
      <c r="D49" s="2478"/>
      <c r="E49" s="2479"/>
      <c r="F49" s="2480"/>
      <c r="G49" s="2481"/>
      <c r="H49" s="2482"/>
      <c r="I49" s="2483"/>
      <c r="J49" s="2484"/>
    </row>
    <row r="50" spans="1:10">
      <c r="A50" s="2485"/>
      <c r="B50" s="2486"/>
      <c r="C50" s="2487"/>
      <c r="D50" s="2488"/>
      <c r="E50" s="2489"/>
      <c r="F50" s="2490"/>
      <c r="G50" s="2491"/>
      <c r="H50" s="2492"/>
      <c r="I50" s="2493"/>
      <c r="J50" s="2494"/>
    </row>
  </sheetData>
  <mergeCells count="1">
    <mergeCell ref="A1:C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94F695-8EA8-46BF-9D5B-CB9799FA26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Dashboard</vt:lpstr>
      <vt:lpstr>Dashboard_Ejecutivo</vt:lpstr>
      <vt:lpstr>Captura_Pegaso</vt:lpstr>
      <vt:lpstr>Captura_Marimba_M01</vt:lpstr>
      <vt:lpstr>Captura_Jalisco</vt:lpstr>
      <vt:lpstr>Captura_Obra</vt:lpstr>
      <vt:lpstr>Solicitudes</vt:lpstr>
      <vt:lpstr>Conciliacion</vt:lpstr>
      <vt:lpstr>Catalogos</vt:lpstr>
      <vt:lpstr>Instrucciones</vt:lpstr>
      <vt:lpstr>Maquinaria_Inventario</vt:lpstr>
      <vt:lpstr>Maquinaria_Calculo_Rendimiento</vt:lpstr>
      <vt:lpstr>Dashboard!Área_de_impresión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Jaramillo Rangel</dc:creator>
  <cp:lastModifiedBy>GRUPO TRUJANO 03</cp:lastModifiedBy>
  <dcterms:created xsi:type="dcterms:W3CDTF">2026-06-08T23:01:45Z</dcterms:created>
  <dcterms:modified xsi:type="dcterms:W3CDTF">2026-06-23T19:12:20Z</dcterms:modified>
</cp:coreProperties>
</file>